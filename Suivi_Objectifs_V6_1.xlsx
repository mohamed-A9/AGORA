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fatih\Desktop\agora\"/>
    </mc:Choice>
  </mc:AlternateContent>
  <xr:revisionPtr revIDLastSave="0" documentId="13_ncr:1_{6AA48BB0-39F7-4DE1-A60D-CE9BEF6D37D8}" xr6:coauthVersionLast="47" xr6:coauthVersionMax="47" xr10:uidLastSave="{00000000-0000-0000-0000-000000000000}"/>
  <bookViews>
    <workbookView xWindow="22944" yWindow="2328" windowWidth="23232" windowHeight="13872" tabRatio="433" firstSheet="5" activeTab="6" xr2:uid="{00000000-000D-0000-FFFF-FFFF00000000}"/>
  </bookViews>
  <sheets>
    <sheet name="Caché" sheetId="1" state="hidden" r:id="rId1"/>
    <sheet name="PARAMS" sheetId="2" state="hidden" r:id="rId2"/>
    <sheet name="BASE_OBJECTIFS" sheetId="3" state="hidden" r:id="rId3"/>
    <sheet name="Actualiser_ICI" sheetId="4" state="hidden" r:id="rId4"/>
    <sheet name="MyR_CMD_Non_Susp" sheetId="5" state="hidden" r:id="rId5"/>
    <sheet name="Suivi_JOURNALIER" sheetId="6" r:id="rId6"/>
    <sheet name="Suivi_MENSUEL" sheetId="7" r:id="rId7"/>
  </sheets>
  <definedNames>
    <definedName name="_xlnm._FilterDatabase" localSheetId="2" hidden="1">BASE_OBJECTIFS!$A$1:$F$1153</definedName>
    <definedName name="_xlnm._FilterDatabase" localSheetId="4" hidden="1">MyR_CMD_Non_Susp!$A$1:$H$4373</definedName>
    <definedName name="ANNEE_N">Caché!$B$1</definedName>
    <definedName name="ANNEE_N_MOINS_DEUX">Caché!$B$3</definedName>
    <definedName name="ANNEE_N_MOINS_UN">Caché!$B$2</definedName>
    <definedName name="Aujourdhui">Caché!$E$1</definedName>
    <definedName name="Aujourdhuiplus7">Caché!$E$2</definedName>
    <definedName name="DonnéesExternes_1" localSheetId="2" hidden="1">BASE_OBJECTIFS!#REF!</definedName>
    <definedName name="Segment_Années__DATE_PIEC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M15" i="7"/>
  <c r="M13" i="7"/>
  <c r="M8" i="7" s="1"/>
  <c r="M12" i="7"/>
  <c r="M11" i="7"/>
  <c r="M10" i="7"/>
  <c r="M9" i="7"/>
  <c r="M5" i="7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B3" i="1"/>
  <c r="E2" i="1"/>
  <c r="B2" i="1"/>
  <c r="E1" i="1"/>
  <c r="N4" i="6" s="1"/>
  <c r="B1" i="1"/>
  <c r="N18" i="6"/>
  <c r="N16" i="6"/>
  <c r="N15" i="6"/>
  <c r="N17" i="6" s="1"/>
  <c r="N14" i="6"/>
  <c r="N13" i="6"/>
  <c r="C11" i="6"/>
  <c r="C9" i="7" s="1"/>
  <c r="N10" i="6"/>
  <c r="N9" i="6"/>
  <c r="N5" i="6"/>
  <c r="N8" i="6" l="1"/>
  <c r="N6" i="6"/>
  <c r="C10" i="6"/>
  <c r="M14" i="7"/>
  <c r="E13" i="7" s="1"/>
  <c r="F13" i="7"/>
  <c r="E14" i="7" l="1"/>
  <c r="C13" i="7"/>
  <c r="L9" i="6"/>
  <c r="I9" i="6" s="1"/>
  <c r="N11" i="6"/>
  <c r="N12" i="6" s="1"/>
  <c r="N7" i="6"/>
  <c r="D13" i="7"/>
  <c r="F14" i="7"/>
  <c r="G13" i="7"/>
  <c r="C14" i="7" l="1"/>
  <c r="E15" i="7"/>
  <c r="G14" i="7"/>
  <c r="B42" i="6"/>
  <c r="B18" i="6"/>
  <c r="B20" i="6"/>
  <c r="B22" i="6"/>
  <c r="B30" i="6"/>
  <c r="B34" i="6"/>
  <c r="C34" i="6" s="1"/>
  <c r="B39" i="6"/>
  <c r="B44" i="6"/>
  <c r="B40" i="6"/>
  <c r="B19" i="6"/>
  <c r="C19" i="6" s="1"/>
  <c r="B21" i="6"/>
  <c r="C21" i="6" s="1"/>
  <c r="B28" i="6"/>
  <c r="B32" i="6"/>
  <c r="B33" i="6"/>
  <c r="B37" i="6"/>
  <c r="B41" i="6"/>
  <c r="B43" i="6"/>
  <c r="B14" i="6"/>
  <c r="B15" i="6"/>
  <c r="B16" i="6"/>
  <c r="B23" i="6"/>
  <c r="B24" i="6"/>
  <c r="B25" i="6"/>
  <c r="B26" i="6"/>
  <c r="B27" i="6"/>
  <c r="B29" i="6"/>
  <c r="B31" i="6"/>
  <c r="B35" i="6"/>
  <c r="B36" i="6"/>
  <c r="B38" i="6"/>
  <c r="B17" i="6"/>
  <c r="D14" i="7"/>
  <c r="F15" i="7"/>
  <c r="C40" i="6"/>
  <c r="D40" i="6"/>
  <c r="C42" i="6"/>
  <c r="D42" i="6"/>
  <c r="C18" i="6"/>
  <c r="D18" i="6"/>
  <c r="D19" i="6"/>
  <c r="C20" i="6"/>
  <c r="D20" i="6"/>
  <c r="D21" i="6"/>
  <c r="C22" i="6"/>
  <c r="D22" i="6"/>
  <c r="C28" i="6"/>
  <c r="D28" i="6"/>
  <c r="D30" i="6"/>
  <c r="C30" i="6"/>
  <c r="D32" i="6"/>
  <c r="C32" i="6"/>
  <c r="D33" i="6"/>
  <c r="C33" i="6"/>
  <c r="D34" i="6"/>
  <c r="C15" i="7" l="1"/>
  <c r="E16" i="7"/>
  <c r="D39" i="6"/>
  <c r="C39" i="6"/>
  <c r="C44" i="6"/>
  <c r="D44" i="6"/>
  <c r="I5" i="6" s="1"/>
  <c r="F9" i="6" s="1"/>
  <c r="D37" i="6"/>
  <c r="C37" i="6"/>
  <c r="C41" i="6"/>
  <c r="D41" i="6"/>
  <c r="D43" i="6"/>
  <c r="C43" i="6"/>
  <c r="C14" i="6"/>
  <c r="D14" i="6"/>
  <c r="D15" i="6"/>
  <c r="C15" i="6"/>
  <c r="C16" i="6"/>
  <c r="D16" i="6"/>
  <c r="D23" i="6"/>
  <c r="C23" i="6"/>
  <c r="C24" i="6"/>
  <c r="D24" i="6"/>
  <c r="C25" i="6"/>
  <c r="D25" i="6"/>
  <c r="C26" i="6"/>
  <c r="D26" i="6"/>
  <c r="C27" i="6"/>
  <c r="D27" i="6"/>
  <c r="D29" i="6"/>
  <c r="C29" i="6"/>
  <c r="D31" i="6"/>
  <c r="C31" i="6"/>
  <c r="D35" i="6"/>
  <c r="C35" i="6"/>
  <c r="D36" i="6"/>
  <c r="C36" i="6"/>
  <c r="D38" i="6"/>
  <c r="C38" i="6"/>
  <c r="C17" i="6"/>
  <c r="D17" i="6"/>
  <c r="G15" i="7"/>
  <c r="D15" i="7"/>
  <c r="F16" i="7"/>
  <c r="C16" i="7" l="1"/>
  <c r="E17" i="7"/>
  <c r="L5" i="6"/>
  <c r="G16" i="7"/>
  <c r="D16" i="7"/>
  <c r="F17" i="7"/>
  <c r="C17" i="7" l="1"/>
  <c r="E18" i="7"/>
  <c r="G17" i="7"/>
  <c r="D17" i="7"/>
  <c r="F18" i="7"/>
  <c r="D18" i="7" s="1"/>
  <c r="C18" i="7" l="1"/>
  <c r="E19" i="7"/>
  <c r="G18" i="7"/>
  <c r="F19" i="7"/>
  <c r="C19" i="7" l="1"/>
  <c r="E20" i="7"/>
  <c r="G19" i="7"/>
  <c r="D19" i="7"/>
  <c r="F20" i="7"/>
  <c r="C20" i="7" l="1"/>
  <c r="E21" i="7"/>
  <c r="G20" i="7"/>
  <c r="F21" i="7"/>
  <c r="D20" i="7"/>
  <c r="C21" i="7" l="1"/>
  <c r="E22" i="7"/>
  <c r="G21" i="7"/>
  <c r="F22" i="7"/>
  <c r="D21" i="7"/>
  <c r="C22" i="7" l="1"/>
  <c r="E23" i="7"/>
  <c r="C23" i="7" s="1"/>
  <c r="E24" i="7"/>
  <c r="C24" i="7" s="1"/>
  <c r="G22" i="7"/>
  <c r="D22" i="7"/>
  <c r="F23" i="7"/>
  <c r="G23" i="7" l="1"/>
  <c r="D23" i="7"/>
  <c r="F24" i="7"/>
  <c r="G24" i="7" l="1"/>
  <c r="D2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FATIH</author>
  </authors>
  <commentList>
    <comment ref="A1" authorId="0" shapeId="0" xr:uid="{4D7F7D76-DF72-4830-AC65-500EF4185A97}">
      <text>
        <r>
          <rPr>
            <b/>
            <sz val="9"/>
            <color indexed="81"/>
            <rFont val="Tahoma"/>
            <family val="2"/>
          </rPr>
          <t>boMyReport.6.1.1.5_x000D_
eJztW+tS48gVhgEMtrnM7M4mO8nUrJaa2YJUsfjCxdRkt0rIMggs2Ug2NxdxCVsQZWSLsmx2SPkN8j/vMM+QnzxAXinqbsmWrJbVZiwnVWGmmDHd59L9faevpz1l/omIyp3eaq+YH6Pmz4Jwzehap9FcsArmhGtR/+27V1NTL8zf5ost/W9KrT01a/4SKz3cKUh9egrVzwpyQ5maMT8tcwbf0doqqjeAwFQc/VJS25oCCoCRpbzcvO0oOb3V6GgKkAI1SzlV0ep51WirzVsDtMWhD+tiTo+zWbrEgt9ecNkVkeFF5pDmiwf540x+DziJQhXQ3BnLFCrhZeOT3ZCVrGrcafIDKDtWm/VFy8G8dJIHPgbtwgahZssl5XN7xpJfssr2H4BWsiIykiiV90W2WBBLp4d7zNEBtJI9yZZTh13Q8s2iyDEslWUppnCFBwW2xLJMBdi8gs2Q9E6rpsBucvV3wzVA2xc5o9BSb9UmaDakayWvXiuapjCyVjObUfenDJQu5DrNWlvVmzbETrYWnGxF6Gbz8Yvi4Std3N4TTvGYozoyzFdNfKCScJK53DrqIncjgrziNoLBdMklMFkI53ldNYROw4PheZLNXezhMUR1ZBhu+cbYhXi2dUl3rQaMLXSR2VFCF2mEjrt7ogHd9oCeO0nvJbPuiWaKeKKx504vYcguGWGUHa/pi2JmW4L8PDXkkYkhIY8EJgv9a6bKFHieFRmOzlNJao3R1HUPFdtl7vLgbPxUILtkVNDuIM+cXdInaWjlNHFeLp53cT35uoHk8RE4kDwak2Vzhv7sXQAO0un0SQjkIbtk5CV8Z6jds2QyyXfNho9t0kMmR5n0kEboXMWdXMX50obAliilSR17OCtxRwKTcXP2wnIRp29vW8qtDLxME/No8+LlEfki4zHjC/rldqa8dd51dGpsfCLTo/CJNCa8eZBYpsSWRQ+XZxe5k6ML7/jDs4Gkydhg3JCdnfD7Qg5Z4Rj6uNiVWPEUcLDG6I2G0qqpsra+KRXK0gbSoJKjE+PxEkiMR+MrabB4pTttPadqbaU1DZTn8mrzk2EPiPm8KqtGn7ZF6+gDC128vXGtG06kLCbfQW4cQlXn56SXWFASOenImnozyHOALTLa/z0tqVKnVlMMQ72h1ihBb5r/skb7VK0r5qenLJRX1Lr59+MTdT/6x0i6fJA7L3Z9QQaOg2PwH1/XZcLeEXTEbm4cMo6Cd9qKyThngBiENdOg9TFBb1gh5x9lQHvZksoqbVnV4FZ4CmLiLH5hYTJXkq81Je6YXWEpdBuwGwkyuuSaG/zMekABXYif/VVpKWg82u0fLLMGVESUa2oTrmdxVHnQ0jt3zs+D2vaIjRflltJsQxmHGdNoVMzluHxJZOGAXCjcKS25rbeWrfEYQ3bAEI1gB9V7M6TWrIBaqwzcSsD7hKv19eBA/WGYGdMCkH0JMQXTV8NcxP+u1AcvQQCei4fyvdq8tSY4exZzFo6OaEzqXKPlK/Gyp1xfGYgX543UN/tslX+QHoy20qju04V9+gBURySlda+0IkgNluR0rW6WnJrsKDCA53i9rmh/zJ5torJNEPNys64YVE1v3GlKG0hFoRQg4JWnHnMbZg2zXj+m+9spx3gAUgucYW59bOycd2T4SfV72z1FmwvNDfUTVVRaauPxSzDnvqreO7eX9sjw28HH2BJdooocy9g3b75Dmuboy8L5uPb1AW7IVqbfV0DzYesT3X5PCDYZiw5NzIYi1q+d7Inq234vqLW8ettUjPUgYo539lO74ROD3JAR80Mf3i6mRwQExfsWMPxEe5Wh0xN10uO8og64jR3XjbV9W3OcFgXpiAz+31VAOxH84BPxsIj3FXGo9yrDHALzTLXEsaIUFPbMUTm7I4Ye9sgNGe4rFdjyrtUDAsDnkQYG7DlYMeEzpVAlWgpSbL7MbRPBh0TJ4HtVgd6FQtdqBwGAUVsHA+G8VTVxEPPcgRAIYp6jU6xEBCISJY1B6L1rtYIoBpEkJgZhxWRXwChTpcUSx+QDAWST2cO0EPoEgNyQgf9dRWRzrMgK5sTb6wfRvNvTw827vcr/ZorPnSnDLVGccM6kj8mQWq7QglBlrbQeUZRCBVyUworQoZl3DXJ36i4gvYUD63CbSx0SpoXiFb7AoWwQAVIRKI0BahaUjxkV1x2zM7HmzjIBO7OSqQRsAHffmmcWQ282ZQ2cSE9lraMY9tYHVzd/JDfvVXQKxdUv5B6/3LeGCMzycsvwq5yjTV3Nr3aGl1Vfs0cdtenf6I6qWSdPvFv98V++tVFJuTPPwdctxdd+odbWh9QvCPr9UAPR7OOXGpQY1zRq035+XjpK5cnC+625AO2z+bx59gdhjoLz8QvVIIv3ZZc6Ju4XnfVjjn/i7GbAVVnoy1j/Ri6YkPcVZ0eS+FtYklS0ywwuFe0SmOxZzpG8DEjUjXtsSMf5yxzh1L9Uoc/ZFNhMmP8RTf5QEDP5g/IwJ/8FvkT5b3x55iLNbMHun0hbGTYH7EU541Q11GvTnTf3SIbxYJ4xwCsZ6N+YK6hQooVS1+4T0UnEUsKdRKyqyaZ8Yx8okeU5iUV368M4SRVT+e3MpDlBXsk4eV1BfUl2+70iYsVSw7FiVU32gBNBXi1GfsJgU60ikWqymqrSO7vFYyEkZgi9kzG0sYaj6E/esbS+mUwkgql707PXN9LXdWbEbADCWiowbycC3gKMiyB7ychdHJZThLPXP6fXKsNnwe7w6quNCllcdMnEEGkEjBeDGk7cMofLMQcK/jWAM3kYs8NpbOlI++hJko4ErYnA3X3S3n9Yv0b6CTV3wLypCAU+0c0WJIljxSvqF2oVia4GU/YK6jp1QK0n5TgLpAa7FSXvVsrKsYGM170y5d/JBalj3CnNeseVlrWF3P3+4JM+ov78K7Vq2yHA4A/OZJJbGQuGI7s0CMkIief0eEDYCEjVjArGG0fihgCLfibnK6DYckAxM+UX9FbJK1RCmWdCkWNoSso7xXlYSYDbYVa9uVFAy7LKWoXJc6y5xKH/rAPSR3tE2B8cLs0y5GmVIMn/EeOK1DoW9AiyMYh4nBzxHf/gm00lUpCF15yRfWjKDbV2qMh1pQWrkQNHQWTVlN9edSFuz7NLPQtgtcMmuly3iNSvv1DAGsnRFN0m2hpYmNDF4uhxGetNxgl/mKYTBEH2c9BC3ttTgaFGsMJ+CFpgoR0sGiQnqyfC9MQ3NLsDj1/IkCJ5VvPzCJb9XtmEiFeaeDV03oq6wfsR81UDuIzbKgRz/duB7xq41LGguG+Fv2LK3/af8hfoHE+LXCLlKJsxJ0enCFvOifRxKkUwBv/imn2f8l7x46rdInNiNhti/mv7J5n+uREaMNwXQZx6LIb1OAyCLLetl0r2CTmGSmEi84Z/QAeyU1XXlDb0aYnnZXP7DmgHE0OspLdljdE1vRVNbW9vJMBfULFU1A0VjBBcnQCftHvqYEiK+m9Jy1OoTlJhO1mROtfQZtiOFkP3Yu0HLpXrloyCBEahtZUIOSAc+5XwILTQg48GZy0v0X259gkKrwBhx08obei/2Ewu90a048UmeooLJ6envtiED38dLzbfp+q1+s3Wzu5G5iZ9vbG1lZQ3Mqmb642dTOZmb0dO1XcVGYj3n27Ge8+ZO59HerTpfm+MRuHTvsxsXyT43vKRPPMf9sY5nHyQxw3sQ+CNUqbCM/7fIhjy2D54cXs31DTm0vbtMPnJZpBe477vEkQv+krK8K/nEHyfJZi0TRPZpNXCAcJw7b4iuefws4jh6Xs/2bFzFP7XAcZz/zad9BtZ1s2bZ1hZ5QNfYDE32UmCzfmP/qYtG9jt4Btfreed4PNO8Hkn+H+yE3welM+D8nlQ/g8Nyv8AaDuqdQ==</t>
        </r>
      </text>
    </comment>
  </commentList>
</comments>
</file>

<file path=xl/sharedStrings.xml><?xml version="1.0" encoding="utf-8"?>
<sst xmlns="http://schemas.openxmlformats.org/spreadsheetml/2006/main" count="22177" uniqueCount="98">
  <si>
    <t>Suivi Commercial – Dashboard Journalier (k€)</t>
  </si>
  <si>
    <t>FILTRES</t>
  </si>
  <si>
    <t>Réalisé MTD (k€)</t>
  </si>
  <si>
    <t>Objectif 2026 MTD (k€)</t>
  </si>
  <si>
    <t>% Atteinte MTD</t>
  </si>
  <si>
    <t>Année</t>
  </si>
  <si>
    <t>Mois</t>
  </si>
  <si>
    <t>Mai</t>
  </si>
  <si>
    <t>Niveau de suivi</t>
  </si>
  <si>
    <t>Secteur</t>
  </si>
  <si>
    <t>Valeur</t>
  </si>
  <si>
    <t>Tous</t>
  </si>
  <si>
    <t>Écart MTD (k€)</t>
  </si>
  <si>
    <t>Objectif 2026 Jour (k€)</t>
  </si>
  <si>
    <t>Objectif 2026 Mensuel (k€)</t>
  </si>
  <si>
    <t>Axe</t>
  </si>
  <si>
    <t>Nbr Jrs a Travaillé</t>
  </si>
  <si>
    <t>Derniére Opération</t>
  </si>
  <si>
    <t>Date</t>
  </si>
  <si>
    <t>Cumul Réalisé (k€)</t>
  </si>
  <si>
    <t>Cumul Objectif (k€)</t>
  </si>
  <si>
    <t>Année en cours</t>
  </si>
  <si>
    <t>Aujourd'hui</t>
  </si>
  <si>
    <t>Année N-1</t>
  </si>
  <si>
    <t>Aujoud'hui + 7</t>
  </si>
  <si>
    <t>Année N-2</t>
  </si>
  <si>
    <t>MoisNum</t>
  </si>
  <si>
    <t>Commercials</t>
  </si>
  <si>
    <t>Axes</t>
  </si>
  <si>
    <t>Années</t>
  </si>
  <si>
    <t>NbJoursTrav</t>
  </si>
  <si>
    <t>Secteurs</t>
  </si>
  <si>
    <t>Nb jours travaillés (FR)</t>
  </si>
  <si>
    <t>Week-ends (jours)</t>
  </si>
  <si>
    <t>Jours fériés en semaine non comptés</t>
  </si>
  <si>
    <t>Janvier</t>
  </si>
  <si>
    <t>1 (Jour de l’An)</t>
  </si>
  <si>
    <t>Février</t>
  </si>
  <si>
    <t>EUFRAD08</t>
  </si>
  <si>
    <t>1P</t>
  </si>
  <si>
    <t>DISTRIBUTION</t>
  </si>
  <si>
    <t>Mars</t>
  </si>
  <si>
    <t>EUFRAD10</t>
  </si>
  <si>
    <t>4P</t>
  </si>
  <si>
    <t>INDUSTRIE</t>
  </si>
  <si>
    <t>Avril</t>
  </si>
  <si>
    <t>EUFRAD12</t>
  </si>
  <si>
    <t>DI</t>
  </si>
  <si>
    <t>KAM</t>
  </si>
  <si>
    <t>1 (Lundi de Pâques)</t>
  </si>
  <si>
    <t>EUFRAD14</t>
  </si>
  <si>
    <t>PE</t>
  </si>
  <si>
    <t>3 (Fête du Travail, Victoire 1945, Ascension)</t>
  </si>
  <si>
    <t>Juin</t>
  </si>
  <si>
    <t>EUFRAD18</t>
  </si>
  <si>
    <t>PP</t>
  </si>
  <si>
    <t>Juillet</t>
  </si>
  <si>
    <t>EUFRAI00</t>
  </si>
  <si>
    <t>TA</t>
  </si>
  <si>
    <t>1 (Fête Nationale)</t>
  </si>
  <si>
    <t>Août</t>
  </si>
  <si>
    <t>EUFRAI20</t>
  </si>
  <si>
    <t>1 (Assomption)</t>
  </si>
  <si>
    <t>Septembre</t>
  </si>
  <si>
    <t>EUFRAI26</t>
  </si>
  <si>
    <t>Octobre</t>
  </si>
  <si>
    <t>EUFRAI34</t>
  </si>
  <si>
    <t>Novembre</t>
  </si>
  <si>
    <t>EUFRAI35</t>
  </si>
  <si>
    <t>1 (Toussaint)</t>
  </si>
  <si>
    <t>Décembre</t>
  </si>
  <si>
    <t>EUFRAI36</t>
  </si>
  <si>
    <t>1 (Noël)</t>
  </si>
  <si>
    <t>EUFRAI37</t>
  </si>
  <si>
    <t>EUFRAI38</t>
  </si>
  <si>
    <t>EUFRAK32</t>
  </si>
  <si>
    <t>EUFRAK38</t>
  </si>
  <si>
    <t>COMMERCIAL</t>
  </si>
  <si>
    <t>AXE</t>
  </si>
  <si>
    <t>Mois_Num</t>
  </si>
  <si>
    <t>MT_K_EUR</t>
  </si>
  <si>
    <t>SECTEUR</t>
  </si>
  <si>
    <t>EUFRAD60</t>
  </si>
  <si>
    <t>AUTRE</t>
  </si>
  <si>
    <t>« Cliquez sur n'importe quelle cellule de cette zone, puis actualisez l'ensemble des feuilles MyReport</t>
  </si>
  <si>
    <t>DATE</t>
  </si>
  <si>
    <t>C_COMMERCIAL 1 (Cli)</t>
  </si>
  <si>
    <t>MT-NET en K</t>
  </si>
  <si>
    <t>Distribution</t>
  </si>
  <si>
    <t>Industrie</t>
  </si>
  <si>
    <t>Suivi Commercial – Dashboard Mensuel (k€)</t>
  </si>
  <si>
    <t xml:space="preserve">Mois Actuel </t>
  </si>
  <si>
    <t>Réalisé (k€)</t>
  </si>
  <si>
    <t>Objectif (k€)</t>
  </si>
  <si>
    <t>% Atteinte</t>
  </si>
  <si>
    <t>Réalisé mois (k€)</t>
  </si>
  <si>
    <t>Objectif mois (k€)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</si>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</sst>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d/m;@"/>
    <numFmt numFmtId="166" formatCode="dd/mm"/>
    <numFmt numFmtId="167" formatCode="0.0%"/>
  </numFmts>
  <fonts count="15" x14ac:knownFonts="1">
    <font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name val="Cambria"/>
      <family val="1"/>
      <charset val="1"/>
    </font>
    <font>
      <b/>
      <sz val="11"/>
      <color rgb="FFFFFFFF"/>
      <name val="Aptos Narrow"/>
      <family val="2"/>
      <charset val="1"/>
    </font>
    <font>
      <b/>
      <sz val="22"/>
      <color theme="1"/>
      <name val="Aptos Narrow"/>
      <family val="2"/>
      <charset val="1"/>
    </font>
    <font>
      <b/>
      <sz val="20"/>
      <color rgb="FFFFFFFF"/>
      <name val="Aptos Narrow"/>
      <family val="2"/>
      <charset val="1"/>
    </font>
    <font>
      <b/>
      <sz val="22"/>
      <color rgb="FF1F4E79"/>
      <name val="Aptos Narrow"/>
      <family val="2"/>
      <charset val="1"/>
    </font>
    <font>
      <b/>
      <sz val="48"/>
      <color rgb="FF000000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b/>
      <sz val="18"/>
      <name val="Aptos Narrow"/>
      <family val="2"/>
      <charset val="1"/>
    </font>
    <font>
      <b/>
      <sz val="18"/>
      <color theme="0"/>
      <name val="Aptos Narrow"/>
      <family val="2"/>
    </font>
    <font>
      <b/>
      <sz val="18"/>
      <color theme="9" tint="0.59999389629810485"/>
      <name val="Aptos Narrow"/>
      <family val="2"/>
    </font>
    <font>
      <b/>
      <sz val="11"/>
      <color rgb="FF0071B8"/>
      <name val="Century Gothic"/>
      <family val="2"/>
    </font>
    <font>
      <sz val="11"/>
      <color rgb="FF5F6A77"/>
      <name val="Century Gothic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rgb="FF1F4E79"/>
        <bgColor rgb="FF156082"/>
      </patternFill>
    </fill>
    <fill>
      <patternFill patternType="solid">
        <fgColor rgb="FFFFFFFF"/>
        <bgColor rgb="FFF2F2F2"/>
      </patternFill>
    </fill>
    <fill>
      <patternFill patternType="solid">
        <fgColor rgb="FF5B9BD5"/>
        <bgColor rgb="FF9999A5"/>
      </patternFill>
    </fill>
    <fill>
      <patternFill patternType="solid">
        <fgColor theme="1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rgb="FF0071B8"/>
      </right>
      <top/>
      <bottom style="medium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medium">
        <color rgb="FF0071B8"/>
      </bottom>
      <diagonal/>
    </border>
    <border>
      <left style="dotted">
        <color rgb="FF0071B8"/>
      </left>
      <right/>
      <top/>
      <bottom style="medium">
        <color rgb="FF0071B8"/>
      </bottom>
      <diagonal/>
    </border>
    <border>
      <left/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/>
      <top/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/>
      <top style="dotted">
        <color rgb="FF0071B8"/>
      </top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/>
      <top style="dotted">
        <color rgb="FF0071B8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rgb="FFD9D9D9"/>
      </right>
      <top/>
      <bottom style="medium">
        <color auto="1"/>
      </bottom>
      <diagonal/>
    </border>
    <border>
      <left style="medium">
        <color theme="1"/>
      </left>
      <right style="thin">
        <color rgb="FFD9D9D9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rgb="FFD9D9D9"/>
      </right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thin">
        <color rgb="FFD9D9D9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0" fillId="4" borderId="16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6" xfId="0" applyFill="1" applyBorder="1" applyAlignment="1">
      <alignment horizontal="center"/>
    </xf>
    <xf numFmtId="164" fontId="0" fillId="4" borderId="16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6" fontId="0" fillId="4" borderId="1" xfId="0" applyNumberFormat="1" applyFill="1" applyBorder="1"/>
    <xf numFmtId="4" fontId="0" fillId="4" borderId="1" xfId="0" applyNumberFormat="1" applyFill="1" applyBorder="1"/>
    <xf numFmtId="0" fontId="3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left" vertical="center"/>
    </xf>
    <xf numFmtId="0" fontId="9" fillId="4" borderId="29" xfId="0" applyFont="1" applyFill="1" applyBorder="1" applyAlignment="1">
      <alignment horizontal="left" vertical="center"/>
    </xf>
    <xf numFmtId="0" fontId="9" fillId="4" borderId="30" xfId="0" applyFont="1" applyFill="1" applyBorder="1" applyAlignment="1">
      <alignment horizontal="left" vertical="center"/>
    </xf>
    <xf numFmtId="14" fontId="13" fillId="8" borderId="7" xfId="0" applyNumberFormat="1" applyFont="1" applyFill="1" applyBorder="1" applyAlignment="1">
      <alignment vertical="center"/>
    </xf>
    <xf numFmtId="14" fontId="13" fillId="8" borderId="10" xfId="0" applyNumberFormat="1" applyFont="1" applyFill="1" applyBorder="1" applyAlignment="1">
      <alignment vertical="center"/>
    </xf>
    <xf numFmtId="14" fontId="13" fillId="8" borderId="13" xfId="0" applyNumberFormat="1" applyFont="1" applyFill="1" applyBorder="1" applyAlignment="1">
      <alignment vertical="center"/>
    </xf>
    <xf numFmtId="49" fontId="13" fillId="8" borderId="8" xfId="0" applyNumberFormat="1" applyFont="1" applyFill="1" applyBorder="1" applyAlignment="1">
      <alignment vertical="center"/>
    </xf>
    <xf numFmtId="49" fontId="13" fillId="8" borderId="11" xfId="0" applyNumberFormat="1" applyFont="1" applyFill="1" applyBorder="1" applyAlignment="1">
      <alignment vertical="center"/>
    </xf>
    <xf numFmtId="49" fontId="13" fillId="8" borderId="14" xfId="0" applyNumberFormat="1" applyFont="1" applyFill="1" applyBorder="1" applyAlignment="1">
      <alignment vertical="center"/>
    </xf>
    <xf numFmtId="4" fontId="13" fillId="8" borderId="8" xfId="0" applyNumberFormat="1" applyFont="1" applyFill="1" applyBorder="1" applyAlignment="1">
      <alignment vertical="center"/>
    </xf>
    <xf numFmtId="4" fontId="13" fillId="8" borderId="11" xfId="0" applyNumberFormat="1" applyFont="1" applyFill="1" applyBorder="1" applyAlignment="1">
      <alignment vertical="center"/>
    </xf>
    <xf numFmtId="4" fontId="13" fillId="8" borderId="14" xfId="0" applyNumberFormat="1" applyFont="1" applyFill="1" applyBorder="1" applyAlignment="1">
      <alignment vertical="center"/>
    </xf>
    <xf numFmtId="3" fontId="0" fillId="4" borderId="1" xfId="0" applyNumberFormat="1" applyFill="1" applyBorder="1"/>
    <xf numFmtId="0" fontId="11" fillId="6" borderId="27" xfId="0" applyFont="1" applyFill="1" applyBorder="1" applyAlignment="1">
      <alignment horizontal="center" vertical="center"/>
    </xf>
    <xf numFmtId="0" fontId="0" fillId="0" borderId="27" xfId="0" applyBorder="1"/>
    <xf numFmtId="4" fontId="7" fillId="4" borderId="33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39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40" xfId="0" applyBorder="1"/>
    <xf numFmtId="0" fontId="11" fillId="6" borderId="25" xfId="0" applyFont="1" applyFill="1" applyBorder="1" applyAlignment="1">
      <alignment horizontal="center" vertical="center"/>
    </xf>
    <xf numFmtId="0" fontId="0" fillId="0" borderId="25" xfId="0" applyBorder="1"/>
    <xf numFmtId="0" fontId="6" fillId="4" borderId="34" xfId="0" applyFont="1" applyFill="1" applyBorder="1" applyAlignment="1">
      <alignment horizontal="center" vertical="center"/>
    </xf>
    <xf numFmtId="0" fontId="0" fillId="0" borderId="35" xfId="0" applyBorder="1"/>
    <xf numFmtId="0" fontId="0" fillId="0" borderId="42" xfId="0" applyBorder="1"/>
    <xf numFmtId="0" fontId="10" fillId="6" borderId="27" xfId="0" applyFont="1" applyFill="1" applyBorder="1" applyAlignment="1">
      <alignment horizontal="center" vertical="center"/>
    </xf>
    <xf numFmtId="4" fontId="7" fillId="4" borderId="37" xfId="0" applyNumberFormat="1" applyFont="1" applyFill="1" applyBorder="1" applyAlignment="1">
      <alignment horizontal="center" vertical="center"/>
    </xf>
    <xf numFmtId="0" fontId="0" fillId="0" borderId="38" xfId="0" applyBorder="1"/>
    <xf numFmtId="0" fontId="0" fillId="0" borderId="41" xfId="0" applyBorder="1"/>
    <xf numFmtId="0" fontId="5" fillId="3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164" fontId="11" fillId="6" borderId="27" xfId="0" applyNumberFormat="1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0" fillId="0" borderId="36" xfId="0" applyBorder="1"/>
    <xf numFmtId="164" fontId="10" fillId="6" borderId="28" xfId="0" applyNumberFormat="1" applyFont="1" applyFill="1" applyBorder="1" applyAlignment="1">
      <alignment horizontal="center" vertical="center"/>
    </xf>
    <xf numFmtId="0" fontId="0" fillId="0" borderId="28" xfId="0" applyBorder="1"/>
    <xf numFmtId="167" fontId="7" fillId="4" borderId="24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24" xfId="0" applyBorder="1"/>
    <xf numFmtId="0" fontId="8" fillId="5" borderId="43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4" fontId="7" fillId="4" borderId="2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0" fillId="4" borderId="2" xfId="0" applyFill="1" applyBorder="1" applyAlignment="1">
      <alignment horizontal="center" vertical="center"/>
    </xf>
    <xf numFmtId="0" fontId="0" fillId="0" borderId="26" xfId="0" applyBorder="1"/>
    <xf numFmtId="0" fontId="0" fillId="5" borderId="2" xfId="0" applyFill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167" fontId="0" fillId="4" borderId="45" xfId="0" applyNumberFormat="1" applyFill="1" applyBorder="1"/>
    <xf numFmtId="0" fontId="12" fillId="8" borderId="4" xfId="0" applyNumberFormat="1" applyFont="1" applyFill="1" applyBorder="1" applyAlignment="1">
      <alignment horizontal="center" vertical="center"/>
    </xf>
    <xf numFmtId="0" fontId="12" fillId="8" borderId="5" xfId="0" applyNumberFormat="1" applyFont="1" applyFill="1" applyBorder="1" applyAlignment="1">
      <alignment horizontal="center" vertical="center"/>
    </xf>
    <xf numFmtId="0" fontId="12" fillId="8" borderId="6" xfId="0" applyNumberFormat="1" applyFont="1" applyFill="1" applyBorder="1" applyAlignment="1">
      <alignment horizontal="center" vertical="center"/>
    </xf>
    <xf numFmtId="0" fontId="13" fillId="8" borderId="8" xfId="0" applyNumberFormat="1" applyFont="1" applyFill="1" applyBorder="1" applyAlignment="1">
      <alignment vertical="center"/>
    </xf>
    <xf numFmtId="0" fontId="13" fillId="8" borderId="11" xfId="0" applyNumberFormat="1" applyFont="1" applyFill="1" applyBorder="1" applyAlignment="1">
      <alignment vertical="center"/>
    </xf>
    <xf numFmtId="0" fontId="13" fillId="8" borderId="14" xfId="0" applyNumberFormat="1" applyFont="1" applyFill="1" applyBorder="1" applyAlignment="1">
      <alignment vertical="center"/>
    </xf>
    <xf numFmtId="0" fontId="13" fillId="8" borderId="9" xfId="0" applyNumberFormat="1" applyFont="1" applyFill="1" applyBorder="1" applyAlignment="1">
      <alignment vertical="center"/>
    </xf>
    <xf numFmtId="0" fontId="13" fillId="8" borderId="12" xfId="0" applyNumberFormat="1" applyFont="1" applyFill="1" applyBorder="1" applyAlignment="1">
      <alignment vertical="center"/>
    </xf>
    <xf numFmtId="0" fontId="13" fillId="8" borderId="15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u/>
      </font>
      <fill>
        <patternFill>
          <bgColor theme="6" tint="0.3997619556260872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B8B8B"/>
      <rgbColor rgb="FF800080"/>
      <rgbColor rgb="FF156082"/>
      <rgbColor rgb="FFBFBFBF"/>
      <rgbColor rgb="FF7F7F7F"/>
      <rgbColor rgb="FF5B9BD5"/>
      <rgbColor rgb="FFC0504D"/>
      <rgbColor rgb="FFEBF1DE"/>
      <rgbColor rgb="FFDAEEF3"/>
      <rgbColor rgb="FF660066"/>
      <rgbColor rgb="FFFF8080"/>
      <rgbColor rgb="FF0071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DDD9C4"/>
      <rgbColor rgb="FFE4DFEC"/>
      <rgbColor rgb="FFFF99CC"/>
      <rgbColor rgb="FFCC99FF"/>
      <rgbColor rgb="FFFFC7CE"/>
      <rgbColor rgb="FF3366FF"/>
      <rgbColor rgb="FF47D45A"/>
      <rgbColor rgb="FF99CC00"/>
      <rgbColor rgb="FFFFCC00"/>
      <rgbColor rgb="FFFF9900"/>
      <rgbColor rgb="FFE97132"/>
      <rgbColor rgb="FF5F6A77"/>
      <rgbColor rgb="FF9999A5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tx1"/>
                </a:solidFill>
              </a:rPr>
              <a:t>Cumul Réalisé vs Objectif</a:t>
            </a:r>
          </a:p>
        </c:rich>
      </c:tx>
      <c:layout>
        <c:manualLayout>
          <c:xMode val="edge"/>
          <c:yMode val="edge"/>
          <c:x val="0.44583794884132699"/>
          <c:y val="1.416666806102375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Suivi_JOURNALIER!$C$13</c:f>
              <c:strCache>
                <c:ptCount val="1"/>
                <c:pt idx="0">
                  <c:v>Cumul Réalisé (k€)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Suivi_JOURNALIER!$B$14:$B$44</c:f>
              <c:numCache>
                <c:formatCode>dd/mm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Suivi_JOURNALIER!$C$14:$C$44</c:f>
              <c:numCache>
                <c:formatCode>#,##0.00</c:formatCode>
                <c:ptCount val="31"/>
                <c:pt idx="0">
                  <c:v>1.2936000000000001</c:v>
                </c:pt>
                <c:pt idx="1">
                  <c:v>1.2936000000000001</c:v>
                </c:pt>
                <c:pt idx="2">
                  <c:v>1.2936000000000001</c:v>
                </c:pt>
                <c:pt idx="3">
                  <c:v>109.2076264</c:v>
                </c:pt>
                <c:pt idx="4">
                  <c:v>155.94117335999999</c:v>
                </c:pt>
                <c:pt idx="5">
                  <c:v>180.85154425999997</c:v>
                </c:pt>
                <c:pt idx="6">
                  <c:v>302.84611330999996</c:v>
                </c:pt>
                <c:pt idx="7">
                  <c:v>302.84611330999996</c:v>
                </c:pt>
                <c:pt idx="8">
                  <c:v>302.84611330999996</c:v>
                </c:pt>
                <c:pt idx="9">
                  <c:v>302.84611330999996</c:v>
                </c:pt>
                <c:pt idx="10">
                  <c:v>494.46920530999989</c:v>
                </c:pt>
                <c:pt idx="11">
                  <c:v>535.18488421999996</c:v>
                </c:pt>
                <c:pt idx="12">
                  <c:v>620.90528052800005</c:v>
                </c:pt>
                <c:pt idx="13">
                  <c:v>621.55208052800003</c:v>
                </c:pt>
                <c:pt idx="14">
                  <c:v>623.25075552800001</c:v>
                </c:pt>
                <c:pt idx="15">
                  <c:v>624.30352052800004</c:v>
                </c:pt>
                <c:pt idx="16">
                  <c:v>624.30352052800004</c:v>
                </c:pt>
                <c:pt idx="17">
                  <c:v>669.66023967799981</c:v>
                </c:pt>
                <c:pt idx="18">
                  <c:v>742.14866209799993</c:v>
                </c:pt>
                <c:pt idx="19">
                  <c:v>817.74496274799992</c:v>
                </c:pt>
                <c:pt idx="20">
                  <c:v>1247.0752903479997</c:v>
                </c:pt>
                <c:pt idx="21">
                  <c:v>1423.6612352479995</c:v>
                </c:pt>
                <c:pt idx="22">
                  <c:v>1423.6612352479995</c:v>
                </c:pt>
                <c:pt idx="23">
                  <c:v>1423.6612352479995</c:v>
                </c:pt>
                <c:pt idx="24">
                  <c:v>1423.6612352479995</c:v>
                </c:pt>
                <c:pt idx="25">
                  <c:v>1506.1047276879997</c:v>
                </c:pt>
                <c:pt idx="26">
                  <c:v>1675.5943641280001</c:v>
                </c:pt>
                <c:pt idx="27">
                  <c:v>1754.4449416780001</c:v>
                </c:pt>
                <c:pt idx="28">
                  <c:v>1799.5067991780002</c:v>
                </c:pt>
                <c:pt idx="29">
                  <c:v>1802.1430741780002</c:v>
                </c:pt>
                <c:pt idx="30">
                  <c:v>1802.1430741780002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26-4B96-B221-A893AA2EFEBD}"/>
            </c:ext>
          </c:extLst>
        </c:ser>
        <c:ser>
          <c:idx val="1"/>
          <c:order val="1"/>
          <c:tx>
            <c:strRef>
              <c:f>Suivi_JOURNALIER!$D$13</c:f>
              <c:strCache>
                <c:ptCount val="1"/>
                <c:pt idx="0">
                  <c:v>Cumul Objectif (k€)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Suivi_JOURNALIER!$B$14:$B$44</c:f>
              <c:numCache>
                <c:formatCode>dd/mm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Suivi_JOURNALIER!$D$14:$D$44</c:f>
              <c:numCache>
                <c:formatCode>#,##0.00</c:formatCode>
                <c:ptCount val="31"/>
                <c:pt idx="0">
                  <c:v>91.54743119647722</c:v>
                </c:pt>
                <c:pt idx="1">
                  <c:v>183.09486239295444</c:v>
                </c:pt>
                <c:pt idx="2">
                  <c:v>274.64229358943163</c:v>
                </c:pt>
                <c:pt idx="3">
                  <c:v>366.18972478590888</c:v>
                </c:pt>
                <c:pt idx="4">
                  <c:v>457.73715598238613</c:v>
                </c:pt>
                <c:pt idx="5">
                  <c:v>549.28458717886326</c:v>
                </c:pt>
                <c:pt idx="6">
                  <c:v>640.83201837534057</c:v>
                </c:pt>
                <c:pt idx="7">
                  <c:v>732.37944957181776</c:v>
                </c:pt>
                <c:pt idx="8">
                  <c:v>823.92688076829506</c:v>
                </c:pt>
                <c:pt idx="9">
                  <c:v>915.47431196477226</c:v>
                </c:pt>
                <c:pt idx="10">
                  <c:v>1007.0217431612494</c:v>
                </c:pt>
                <c:pt idx="11">
                  <c:v>1098.5691743577265</c:v>
                </c:pt>
                <c:pt idx="12">
                  <c:v>1190.1166055542039</c:v>
                </c:pt>
                <c:pt idx="13">
                  <c:v>1281.6640367506811</c:v>
                </c:pt>
                <c:pt idx="14">
                  <c:v>1373.2114679471583</c:v>
                </c:pt>
                <c:pt idx="15">
                  <c:v>1464.7588991436355</c:v>
                </c:pt>
                <c:pt idx="16">
                  <c:v>1556.3063303401127</c:v>
                </c:pt>
                <c:pt idx="17">
                  <c:v>1647.8537615365901</c:v>
                </c:pt>
                <c:pt idx="18">
                  <c:v>1739.4011927330671</c:v>
                </c:pt>
                <c:pt idx="19">
                  <c:v>1830.9486239295445</c:v>
                </c:pt>
                <c:pt idx="20">
                  <c:v>1922.4960551260217</c:v>
                </c:pt>
                <c:pt idx="21">
                  <c:v>2014.0434863224989</c:v>
                </c:pt>
                <c:pt idx="22">
                  <c:v>2105.5909175189763</c:v>
                </c:pt>
                <c:pt idx="23">
                  <c:v>2197.138348715453</c:v>
                </c:pt>
                <c:pt idx="24">
                  <c:v>2288.6857799119307</c:v>
                </c:pt>
                <c:pt idx="25">
                  <c:v>2380.2332111084079</c:v>
                </c:pt>
                <c:pt idx="26">
                  <c:v>2471.7806423048851</c:v>
                </c:pt>
                <c:pt idx="27">
                  <c:v>2563.3280735013623</c:v>
                </c:pt>
                <c:pt idx="28">
                  <c:v>2654.875504697839</c:v>
                </c:pt>
                <c:pt idx="29">
                  <c:v>2746.4229358943167</c:v>
                </c:pt>
                <c:pt idx="30">
                  <c:v>2837.9703670907938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6-4B96-B221-A893AA2E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alpha val="33000"/>
                </a:schemeClr>
              </a:solidFill>
              <a:prstDash val="lgDashDotDot"/>
              <a:round/>
            </a:ln>
          </c:spPr>
        </c:dropLines>
        <c:smooth val="0"/>
        <c:axId val="1048101055"/>
        <c:axId val="1048102495"/>
      </c:lineChart>
      <c:dateAx>
        <c:axId val="1048101055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102495"/>
        <c:crosses val="autoZero"/>
        <c:auto val="1"/>
        <c:lblOffset val="100"/>
        <c:baseTimeUnit val="days"/>
      </c:dateAx>
      <c:valAx>
        <c:axId val="104810249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1010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1137778155055571"/>
          <c:y val="0.1026272114303266"/>
          <c:w val="0.18911000125596131"/>
          <c:h val="3.539180278326867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gradFill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path path="circle">
        <a:fillToRect l="50000" t="50000" r="50000" b="50000"/>
      </a:path>
      <a:tileRect/>
    </a:gradFill>
    <a:ln w="1905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Aptos Narrow"/>
              </a:rPr>
              <a:t>Réalisé vs Objectif 2026 (k€)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Suivi_MENSUEL!$E$12</c:f>
              <c:strCache>
                <c:ptCount val="1"/>
                <c:pt idx="0">
                  <c:v>Réalisé (k€)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dLbl>
              <c:idx val="4"/>
              <c:layout>
                <c:manualLayout>
                  <c:x val="-7.023383775607474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8D-415C-BBE4-4A0404498930}"/>
                </c:ext>
              </c:extLst>
            </c:dLbl>
            <c:dLbl>
              <c:idx val="5"/>
              <c:layout>
                <c:manualLayout>
                  <c:x val="0"/>
                  <c:y val="-8.80222712518338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8D-415C-BBE4-4A040449893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Suivi_MENSUEL!$B$13:$B$24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Suivi_MENSUEL!$E$13:$E$24</c:f>
              <c:numCache>
                <c:formatCode>#,##0</c:formatCode>
                <c:ptCount val="12"/>
                <c:pt idx="0">
                  <c:v>2621.5010458029992</c:v>
                </c:pt>
                <c:pt idx="1">
                  <c:v>5561.6663488869999</c:v>
                </c:pt>
                <c:pt idx="2">
                  <c:v>8936.899525801</c:v>
                </c:pt>
                <c:pt idx="3">
                  <c:v>11861.759252824995</c:v>
                </c:pt>
                <c:pt idx="4">
                  <c:v>13663.902327002996</c:v>
                </c:pt>
                <c:pt idx="5">
                  <c:v>13730.932868810996</c:v>
                </c:pt>
                <c:pt idx="6">
                  <c:v>13730.932868810996</c:v>
                </c:pt>
                <c:pt idx="7">
                  <c:v>13730.932868810996</c:v>
                </c:pt>
                <c:pt idx="8">
                  <c:v>13730.932868810996</c:v>
                </c:pt>
                <c:pt idx="9">
                  <c:v>13730.932868810996</c:v>
                </c:pt>
                <c:pt idx="10">
                  <c:v>13730.932868810996</c:v>
                </c:pt>
                <c:pt idx="11">
                  <c:v>13730.932868810996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8D-415C-BBE4-4A0404498930}"/>
            </c:ext>
          </c:extLst>
        </c:ser>
        <c:ser>
          <c:idx val="1"/>
          <c:order val="1"/>
          <c:tx>
            <c:strRef>
              <c:f>Suivi_MENSUEL!$F$12</c:f>
              <c:strCache>
                <c:ptCount val="1"/>
                <c:pt idx="0">
                  <c:v>Objectif (k€)</c:v>
                </c:pt>
              </c:strCache>
            </c:strRef>
          </c:tx>
          <c:spPr>
            <a:solidFill>
              <a:srgbClr val="E9713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Suivi_MENSUEL!$B$13:$B$24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Suivi_MENSUEL!$F$13:$F$24</c:f>
              <c:numCache>
                <c:formatCode>#,##0</c:formatCode>
                <c:ptCount val="12"/>
                <c:pt idx="0">
                  <c:v>2163.3783654504541</c:v>
                </c:pt>
                <c:pt idx="1">
                  <c:v>4779.7674487446802</c:v>
                </c:pt>
                <c:pt idx="2">
                  <c:v>7822.9188319290924</c:v>
                </c:pt>
                <c:pt idx="3">
                  <c:v>10917.514936411917</c:v>
                </c:pt>
                <c:pt idx="4">
                  <c:v>13755.485303502712</c:v>
                </c:pt>
                <c:pt idx="5">
                  <c:v>17667.479159691589</c:v>
                </c:pt>
                <c:pt idx="6">
                  <c:v>20318.464139570911</c:v>
                </c:pt>
                <c:pt idx="7">
                  <c:v>22051.071211255239</c:v>
                </c:pt>
                <c:pt idx="8">
                  <c:v>24917.27865398772</c:v>
                </c:pt>
                <c:pt idx="9">
                  <c:v>27995.502219779159</c:v>
                </c:pt>
                <c:pt idx="10">
                  <c:v>30669.116856181699</c:v>
                </c:pt>
                <c:pt idx="11">
                  <c:v>33205.428320070649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8D-415C-BBE4-4A040449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97245"/>
        <c:axId val="23046762"/>
      </c:barChart>
      <c:catAx>
        <c:axId val="362972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23046762"/>
        <c:crosses val="autoZero"/>
        <c:auto val="1"/>
        <c:lblAlgn val="ctr"/>
        <c:lblOffset val="100"/>
        <c:noMultiLvlLbl val="0"/>
      </c:catAx>
      <c:valAx>
        <c:axId val="2304676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Aptos Narrow"/>
                  </a:rPr>
                  <a:t>k€</a:t>
                </a:r>
              </a:p>
            </c:rich>
          </c:tx>
          <c:layout>
            <c:manualLayout>
              <c:xMode val="edge"/>
              <c:yMode val="edge"/>
              <c:x val="1.6230089831660001E-2"/>
              <c:y val="0.35873837599463099"/>
            </c:manualLayout>
          </c:layout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3629724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481468818704989"/>
          <c:y val="3.345711562010141E-3"/>
          <c:w val="8.9492261743144202E-2"/>
          <c:h val="0.127585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261000</xdr:colOff>
      <xdr:row>23</xdr:row>
      <xdr:rowOff>131400</xdr:rowOff>
    </xdr:from>
    <xdr:to>
      <xdr:col>20</xdr:col>
      <xdr:colOff>199080</xdr:colOff>
      <xdr:row>32</xdr:row>
      <xdr:rowOff>79560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9120" y="4532040"/>
          <a:ext cx="17209800" cy="16624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20138</xdr:colOff>
      <xdr:row>12</xdr:row>
      <xdr:rowOff>26295</xdr:rowOff>
    </xdr:from>
    <xdr:to>
      <xdr:col>13</xdr:col>
      <xdr:colOff>0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119919</xdr:colOff>
      <xdr:row>2</xdr:row>
      <xdr:rowOff>30480</xdr:rowOff>
    </xdr:from>
    <xdr:to>
      <xdr:col>15</xdr:col>
      <xdr:colOff>304800</xdr:colOff>
      <xdr:row>24</xdr:row>
      <xdr:rowOff>30770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zoomScaleNormal="100" workbookViewId="0">
      <selection activeCell="E32" sqref="E32"/>
    </sheetView>
  </sheetViews>
  <sheetFormatPr baseColWidth="10" defaultColWidth="11.42578125" defaultRowHeight="15" x14ac:dyDescent="0.25"/>
  <cols>
    <col min="1" max="1" width="14.7109375" customWidth="1"/>
    <col min="4" max="4" width="17" customWidth="1"/>
  </cols>
  <sheetData>
    <row r="1" spans="1:5" ht="15" customHeight="1" x14ac:dyDescent="0.25">
      <c r="A1" t="s">
        <v>21</v>
      </c>
      <c r="B1">
        <f ca="1">YEAR(TODAY())</f>
        <v>2026</v>
      </c>
      <c r="D1" t="s">
        <v>22</v>
      </c>
      <c r="E1" s="1">
        <f ca="1">TODAY()</f>
        <v>46175</v>
      </c>
    </row>
    <row r="2" spans="1:5" ht="15" customHeight="1" x14ac:dyDescent="0.25">
      <c r="A2" t="s">
        <v>23</v>
      </c>
      <c r="B2">
        <f ca="1">YEAR(TODAY())-1</f>
        <v>2025</v>
      </c>
      <c r="D2" t="s">
        <v>24</v>
      </c>
      <c r="E2" s="1">
        <f ca="1">TODAY()+7</f>
        <v>46182</v>
      </c>
    </row>
    <row r="3" spans="1:5" ht="15" customHeight="1" x14ac:dyDescent="0.25">
      <c r="A3" t="s">
        <v>25</v>
      </c>
      <c r="B3">
        <f ca="1">YEAR(TODAY())-2</f>
        <v>2024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topLeftCell="C1" zoomScaleNormal="100" workbookViewId="0">
      <selection activeCell="M24" sqref="M24"/>
    </sheetView>
  </sheetViews>
  <sheetFormatPr baseColWidth="10" defaultColWidth="9.140625" defaultRowHeight="15" x14ac:dyDescent="0.25"/>
  <cols>
    <col min="1" max="1" width="13.140625" customWidth="1"/>
    <col min="2" max="2" width="12" customWidth="1"/>
    <col min="4" max="4" width="16" customWidth="1"/>
    <col min="6" max="6" width="10" customWidth="1"/>
    <col min="8" max="8" width="10" customWidth="1"/>
    <col min="10" max="12" width="12" customWidth="1"/>
    <col min="13" max="13" width="13.42578125" customWidth="1"/>
    <col min="15" max="15" width="12.42578125" customWidth="1"/>
    <col min="16" max="16" width="21.7109375" customWidth="1"/>
    <col min="17" max="17" width="17.85546875" customWidth="1"/>
    <col min="18" max="18" width="39.5703125" customWidth="1"/>
    <col min="20" max="20" width="15" customWidth="1"/>
    <col min="21" max="21" width="13.42578125" customWidth="1"/>
  </cols>
  <sheetData>
    <row r="1" spans="1:21" ht="15" customHeight="1" x14ac:dyDescent="0.25">
      <c r="A1" s="2" t="s">
        <v>26</v>
      </c>
      <c r="B1" s="2" t="s">
        <v>6</v>
      </c>
      <c r="D1" s="2" t="s">
        <v>27</v>
      </c>
      <c r="F1" s="2" t="s">
        <v>28</v>
      </c>
      <c r="H1" s="2" t="s">
        <v>29</v>
      </c>
      <c r="J1" s="2" t="s">
        <v>6</v>
      </c>
      <c r="K1" s="2" t="s">
        <v>30</v>
      </c>
      <c r="L1" s="3"/>
      <c r="M1" s="4" t="s">
        <v>31</v>
      </c>
      <c r="O1" s="5" t="s">
        <v>6</v>
      </c>
      <c r="P1" s="5" t="s">
        <v>32</v>
      </c>
      <c r="Q1" s="5" t="s">
        <v>33</v>
      </c>
      <c r="R1" s="5" t="s">
        <v>34</v>
      </c>
      <c r="T1" s="4"/>
      <c r="U1" s="4"/>
    </row>
    <row r="2" spans="1:21" ht="15" customHeight="1" x14ac:dyDescent="0.25">
      <c r="A2">
        <v>1</v>
      </c>
      <c r="B2" t="s">
        <v>35</v>
      </c>
      <c r="D2" t="s">
        <v>11</v>
      </c>
      <c r="F2" t="s">
        <v>11</v>
      </c>
      <c r="H2">
        <v>2023</v>
      </c>
      <c r="J2" t="s">
        <v>35</v>
      </c>
      <c r="K2">
        <v>21</v>
      </c>
      <c r="M2" t="s">
        <v>11</v>
      </c>
      <c r="O2" s="6" t="s">
        <v>35</v>
      </c>
      <c r="P2" s="7">
        <v>21</v>
      </c>
      <c r="Q2" s="7">
        <v>8</v>
      </c>
      <c r="R2" s="6" t="s">
        <v>36</v>
      </c>
    </row>
    <row r="3" spans="1:21" ht="15" customHeight="1" x14ac:dyDescent="0.25">
      <c r="A3">
        <v>2</v>
      </c>
      <c r="B3" t="s">
        <v>37</v>
      </c>
      <c r="D3" t="s">
        <v>38</v>
      </c>
      <c r="F3" t="s">
        <v>39</v>
      </c>
      <c r="H3">
        <v>2022</v>
      </c>
      <c r="J3" t="s">
        <v>37</v>
      </c>
      <c r="K3">
        <v>20</v>
      </c>
      <c r="M3" t="s">
        <v>40</v>
      </c>
      <c r="O3" s="6" t="s">
        <v>37</v>
      </c>
      <c r="P3" s="7">
        <v>20</v>
      </c>
      <c r="Q3" s="7">
        <v>8</v>
      </c>
      <c r="R3" s="6">
        <v>0</v>
      </c>
    </row>
    <row r="4" spans="1:21" ht="15" customHeight="1" x14ac:dyDescent="0.25">
      <c r="A4">
        <v>3</v>
      </c>
      <c r="B4" t="s">
        <v>41</v>
      </c>
      <c r="D4" t="s">
        <v>42</v>
      </c>
      <c r="F4" t="s">
        <v>43</v>
      </c>
      <c r="H4">
        <v>2024</v>
      </c>
      <c r="J4" t="s">
        <v>41</v>
      </c>
      <c r="K4">
        <v>22</v>
      </c>
      <c r="M4" t="s">
        <v>44</v>
      </c>
      <c r="O4" s="6" t="s">
        <v>41</v>
      </c>
      <c r="P4" s="7">
        <v>22</v>
      </c>
      <c r="Q4" s="7">
        <v>10</v>
      </c>
      <c r="R4" s="6">
        <v>0</v>
      </c>
    </row>
    <row r="5" spans="1:21" ht="15" customHeight="1" x14ac:dyDescent="0.25">
      <c r="A5">
        <v>4</v>
      </c>
      <c r="B5" t="s">
        <v>45</v>
      </c>
      <c r="D5" t="s">
        <v>46</v>
      </c>
      <c r="F5" t="s">
        <v>47</v>
      </c>
      <c r="H5">
        <v>2025</v>
      </c>
      <c r="J5" t="s">
        <v>45</v>
      </c>
      <c r="K5">
        <v>21</v>
      </c>
      <c r="M5" t="s">
        <v>48</v>
      </c>
      <c r="O5" s="6" t="s">
        <v>45</v>
      </c>
      <c r="P5" s="7">
        <v>21</v>
      </c>
      <c r="Q5" s="7">
        <v>8</v>
      </c>
      <c r="R5" s="6" t="s">
        <v>49</v>
      </c>
    </row>
    <row r="6" spans="1:21" ht="15" customHeight="1" x14ac:dyDescent="0.25">
      <c r="A6">
        <v>5</v>
      </c>
      <c r="B6" t="s">
        <v>7</v>
      </c>
      <c r="D6" t="s">
        <v>50</v>
      </c>
      <c r="F6" t="s">
        <v>51</v>
      </c>
      <c r="H6">
        <v>2026</v>
      </c>
      <c r="J6" t="s">
        <v>7</v>
      </c>
      <c r="K6">
        <v>17</v>
      </c>
      <c r="O6" s="6" t="s">
        <v>7</v>
      </c>
      <c r="P6" s="7">
        <v>17</v>
      </c>
      <c r="Q6" s="7">
        <v>8</v>
      </c>
      <c r="R6" s="6" t="s">
        <v>52</v>
      </c>
    </row>
    <row r="7" spans="1:21" ht="15" customHeight="1" x14ac:dyDescent="0.25">
      <c r="A7">
        <v>6</v>
      </c>
      <c r="B7" t="s">
        <v>53</v>
      </c>
      <c r="D7" t="s">
        <v>54</v>
      </c>
      <c r="F7" t="s">
        <v>55</v>
      </c>
      <c r="H7">
        <v>2027</v>
      </c>
      <c r="J7" t="s">
        <v>53</v>
      </c>
      <c r="K7">
        <v>22</v>
      </c>
      <c r="O7" s="6" t="s">
        <v>53</v>
      </c>
      <c r="P7" s="7">
        <v>22</v>
      </c>
      <c r="Q7" s="7">
        <v>8</v>
      </c>
      <c r="R7" s="6">
        <v>0</v>
      </c>
    </row>
    <row r="8" spans="1:21" ht="15" customHeight="1" x14ac:dyDescent="0.25">
      <c r="A8">
        <v>7</v>
      </c>
      <c r="B8" t="s">
        <v>56</v>
      </c>
      <c r="D8" t="s">
        <v>57</v>
      </c>
      <c r="F8" t="s">
        <v>58</v>
      </c>
      <c r="H8">
        <v>2028</v>
      </c>
      <c r="J8" t="s">
        <v>56</v>
      </c>
      <c r="K8">
        <v>22</v>
      </c>
      <c r="O8" s="6" t="s">
        <v>56</v>
      </c>
      <c r="P8" s="7">
        <v>22</v>
      </c>
      <c r="Q8" s="7">
        <v>8</v>
      </c>
      <c r="R8" s="6" t="s">
        <v>59</v>
      </c>
    </row>
    <row r="9" spans="1:21" ht="15" customHeight="1" x14ac:dyDescent="0.25">
      <c r="A9">
        <v>8</v>
      </c>
      <c r="B9" t="s">
        <v>60</v>
      </c>
      <c r="D9" t="s">
        <v>61</v>
      </c>
      <c r="H9">
        <v>2029</v>
      </c>
      <c r="J9" t="s">
        <v>60</v>
      </c>
      <c r="K9">
        <v>21</v>
      </c>
      <c r="O9" s="6" t="s">
        <v>60</v>
      </c>
      <c r="P9" s="7">
        <v>21</v>
      </c>
      <c r="Q9" s="7">
        <v>10</v>
      </c>
      <c r="R9" s="6" t="s">
        <v>62</v>
      </c>
    </row>
    <row r="10" spans="1:21" ht="15" customHeight="1" x14ac:dyDescent="0.25">
      <c r="A10">
        <v>9</v>
      </c>
      <c r="B10" t="s">
        <v>63</v>
      </c>
      <c r="D10" t="s">
        <v>64</v>
      </c>
      <c r="H10">
        <v>2030</v>
      </c>
      <c r="J10" t="s">
        <v>63</v>
      </c>
      <c r="K10">
        <v>22</v>
      </c>
      <c r="O10" s="6" t="s">
        <v>63</v>
      </c>
      <c r="P10" s="7">
        <v>22</v>
      </c>
      <c r="Q10" s="7">
        <v>8</v>
      </c>
      <c r="R10" s="6">
        <v>0</v>
      </c>
    </row>
    <row r="11" spans="1:21" ht="15" customHeight="1" x14ac:dyDescent="0.25">
      <c r="A11">
        <v>10</v>
      </c>
      <c r="B11" t="s">
        <v>65</v>
      </c>
      <c r="D11" t="s">
        <v>66</v>
      </c>
      <c r="J11" t="s">
        <v>65</v>
      </c>
      <c r="K11">
        <v>22</v>
      </c>
      <c r="O11" s="6" t="s">
        <v>65</v>
      </c>
      <c r="P11" s="7">
        <v>22</v>
      </c>
      <c r="Q11" s="7">
        <v>8</v>
      </c>
      <c r="R11" s="6">
        <v>0</v>
      </c>
    </row>
    <row r="12" spans="1:21" ht="15" customHeight="1" x14ac:dyDescent="0.25">
      <c r="A12">
        <v>11</v>
      </c>
      <c r="B12" t="s">
        <v>67</v>
      </c>
      <c r="D12" t="s">
        <v>68</v>
      </c>
      <c r="J12" t="s">
        <v>67</v>
      </c>
      <c r="K12">
        <v>20</v>
      </c>
      <c r="O12" s="6" t="s">
        <v>67</v>
      </c>
      <c r="P12" s="7">
        <v>20</v>
      </c>
      <c r="Q12" s="7">
        <v>10</v>
      </c>
      <c r="R12" s="6" t="s">
        <v>69</v>
      </c>
    </row>
    <row r="13" spans="1:21" ht="15" customHeight="1" x14ac:dyDescent="0.25">
      <c r="A13">
        <v>12</v>
      </c>
      <c r="B13" t="s">
        <v>70</v>
      </c>
      <c r="D13" t="s">
        <v>71</v>
      </c>
      <c r="J13" t="s">
        <v>70</v>
      </c>
      <c r="K13">
        <v>22</v>
      </c>
      <c r="O13" s="6" t="s">
        <v>70</v>
      </c>
      <c r="P13" s="7">
        <v>22</v>
      </c>
      <c r="Q13" s="7">
        <v>8</v>
      </c>
      <c r="R13" s="6" t="s">
        <v>72</v>
      </c>
    </row>
    <row r="14" spans="1:21" ht="15" customHeight="1" x14ac:dyDescent="0.25">
      <c r="D14" t="s">
        <v>73</v>
      </c>
    </row>
    <row r="15" spans="1:21" ht="15" customHeight="1" x14ac:dyDescent="0.25">
      <c r="D15" t="s">
        <v>74</v>
      </c>
    </row>
    <row r="16" spans="1:21" ht="15" customHeight="1" x14ac:dyDescent="0.25">
      <c r="D16" t="s">
        <v>75</v>
      </c>
    </row>
    <row r="17" spans="4:4" ht="15" customHeight="1" x14ac:dyDescent="0.25">
      <c r="D17" t="s">
        <v>76</v>
      </c>
    </row>
    <row r="18" spans="4:4" ht="15" customHeight="1" x14ac:dyDescent="0.25"/>
    <row r="19" spans="4:4" ht="15" customHeight="1" x14ac:dyDescent="0.25"/>
    <row r="20" spans="4:4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153"/>
  <sheetViews>
    <sheetView topLeftCell="A734" zoomScaleNormal="100" workbookViewId="0">
      <selection activeCell="E2" sqref="E2:E1142"/>
    </sheetView>
  </sheetViews>
  <sheetFormatPr baseColWidth="10" defaultColWidth="11.42578125" defaultRowHeight="15" x14ac:dyDescent="0.25"/>
  <cols>
    <col min="1" max="1" width="21.42578125" customWidth="1"/>
    <col min="6" max="6" width="13.42578125" customWidth="1"/>
  </cols>
  <sheetData>
    <row r="1" spans="1:6" ht="15" customHeight="1" x14ac:dyDescent="0.25">
      <c r="A1" t="s">
        <v>77</v>
      </c>
      <c r="B1" t="s">
        <v>78</v>
      </c>
      <c r="C1" t="s">
        <v>79</v>
      </c>
      <c r="D1" t="s">
        <v>6</v>
      </c>
      <c r="E1" t="s">
        <v>80</v>
      </c>
      <c r="F1" t="s">
        <v>81</v>
      </c>
    </row>
    <row r="2" spans="1:6" ht="15" customHeight="1" x14ac:dyDescent="0.25">
      <c r="A2" t="s">
        <v>38</v>
      </c>
      <c r="B2" t="s">
        <v>39</v>
      </c>
      <c r="C2">
        <v>1</v>
      </c>
      <c r="D2" t="s">
        <v>35</v>
      </c>
      <c r="E2">
        <v>0</v>
      </c>
      <c r="F2" t="s">
        <v>40</v>
      </c>
    </row>
    <row r="3" spans="1:6" ht="15" hidden="1" customHeight="1" x14ac:dyDescent="0.25">
      <c r="A3" t="s">
        <v>38</v>
      </c>
      <c r="B3" t="s">
        <v>39</v>
      </c>
      <c r="C3">
        <v>2</v>
      </c>
      <c r="D3" t="s">
        <v>37</v>
      </c>
      <c r="E3">
        <v>0</v>
      </c>
      <c r="F3" t="s">
        <v>40</v>
      </c>
    </row>
    <row r="4" spans="1:6" ht="15" hidden="1" customHeight="1" x14ac:dyDescent="0.25">
      <c r="A4" t="s">
        <v>38</v>
      </c>
      <c r="B4" t="s">
        <v>39</v>
      </c>
      <c r="C4">
        <v>3</v>
      </c>
      <c r="D4" t="s">
        <v>41</v>
      </c>
      <c r="E4">
        <v>0</v>
      </c>
      <c r="F4" t="s">
        <v>40</v>
      </c>
    </row>
    <row r="5" spans="1:6" ht="15" hidden="1" customHeight="1" x14ac:dyDescent="0.25">
      <c r="A5" t="s">
        <v>38</v>
      </c>
      <c r="B5" t="s">
        <v>39</v>
      </c>
      <c r="C5">
        <v>4</v>
      </c>
      <c r="D5" t="s">
        <v>45</v>
      </c>
      <c r="E5">
        <v>0</v>
      </c>
      <c r="F5" t="s">
        <v>40</v>
      </c>
    </row>
    <row r="6" spans="1:6" ht="15" hidden="1" customHeight="1" x14ac:dyDescent="0.25">
      <c r="A6" t="s">
        <v>38</v>
      </c>
      <c r="B6" t="s">
        <v>39</v>
      </c>
      <c r="C6">
        <v>5</v>
      </c>
      <c r="D6" t="s">
        <v>7</v>
      </c>
      <c r="E6">
        <v>0</v>
      </c>
      <c r="F6" t="s">
        <v>40</v>
      </c>
    </row>
    <row r="7" spans="1:6" ht="15" hidden="1" customHeight="1" x14ac:dyDescent="0.25">
      <c r="A7" t="s">
        <v>38</v>
      </c>
      <c r="B7" t="s">
        <v>39</v>
      </c>
      <c r="C7">
        <v>6</v>
      </c>
      <c r="D7" t="s">
        <v>53</v>
      </c>
      <c r="E7">
        <v>0</v>
      </c>
      <c r="F7" t="s">
        <v>40</v>
      </c>
    </row>
    <row r="8" spans="1:6" ht="15" hidden="1" customHeight="1" x14ac:dyDescent="0.25">
      <c r="A8" t="s">
        <v>38</v>
      </c>
      <c r="B8" t="s">
        <v>39</v>
      </c>
      <c r="C8">
        <v>7</v>
      </c>
      <c r="D8" t="s">
        <v>56</v>
      </c>
      <c r="E8">
        <v>0</v>
      </c>
      <c r="F8" t="s">
        <v>40</v>
      </c>
    </row>
    <row r="9" spans="1:6" ht="15" hidden="1" customHeight="1" x14ac:dyDescent="0.25">
      <c r="A9" t="s">
        <v>38</v>
      </c>
      <c r="B9" t="s">
        <v>39</v>
      </c>
      <c r="C9">
        <v>8</v>
      </c>
      <c r="D9" t="s">
        <v>60</v>
      </c>
      <c r="E9">
        <v>0</v>
      </c>
      <c r="F9" t="s">
        <v>40</v>
      </c>
    </row>
    <row r="10" spans="1:6" ht="15" hidden="1" customHeight="1" x14ac:dyDescent="0.25">
      <c r="A10" t="s">
        <v>38</v>
      </c>
      <c r="B10" t="s">
        <v>39</v>
      </c>
      <c r="C10">
        <v>9</v>
      </c>
      <c r="D10" t="s">
        <v>63</v>
      </c>
      <c r="E10">
        <v>9.016</v>
      </c>
      <c r="F10" t="s">
        <v>40</v>
      </c>
    </row>
    <row r="11" spans="1:6" ht="15" hidden="1" customHeight="1" x14ac:dyDescent="0.25">
      <c r="A11" t="s">
        <v>38</v>
      </c>
      <c r="B11" t="s">
        <v>39</v>
      </c>
      <c r="C11">
        <v>10</v>
      </c>
      <c r="D11" t="s">
        <v>65</v>
      </c>
      <c r="E11">
        <v>0</v>
      </c>
      <c r="F11" t="s">
        <v>40</v>
      </c>
    </row>
    <row r="12" spans="1:6" ht="15" hidden="1" customHeight="1" x14ac:dyDescent="0.25">
      <c r="A12" t="s">
        <v>38</v>
      </c>
      <c r="B12" t="s">
        <v>39</v>
      </c>
      <c r="C12">
        <v>11</v>
      </c>
      <c r="D12" t="s">
        <v>67</v>
      </c>
      <c r="E12">
        <v>0</v>
      </c>
      <c r="F12" t="s">
        <v>40</v>
      </c>
    </row>
    <row r="13" spans="1:6" ht="15" hidden="1" customHeight="1" x14ac:dyDescent="0.25">
      <c r="A13" t="s">
        <v>38</v>
      </c>
      <c r="B13" t="s">
        <v>39</v>
      </c>
      <c r="C13">
        <v>12</v>
      </c>
      <c r="D13" t="s">
        <v>70</v>
      </c>
      <c r="E13">
        <v>0</v>
      </c>
      <c r="F13" t="s">
        <v>40</v>
      </c>
    </row>
    <row r="14" spans="1:6" ht="15" customHeight="1" x14ac:dyDescent="0.25">
      <c r="A14" t="s">
        <v>38</v>
      </c>
      <c r="B14" t="s">
        <v>43</v>
      </c>
      <c r="C14">
        <v>1</v>
      </c>
      <c r="D14" t="s">
        <v>35</v>
      </c>
      <c r="E14">
        <v>115.3994</v>
      </c>
      <c r="F14" t="s">
        <v>40</v>
      </c>
    </row>
    <row r="15" spans="1:6" ht="15" hidden="1" customHeight="1" x14ac:dyDescent="0.25">
      <c r="A15" t="s">
        <v>38</v>
      </c>
      <c r="B15" t="s">
        <v>43</v>
      </c>
      <c r="C15">
        <v>2</v>
      </c>
      <c r="D15" t="s">
        <v>37</v>
      </c>
      <c r="E15">
        <v>145.0025</v>
      </c>
      <c r="F15" t="s">
        <v>40</v>
      </c>
    </row>
    <row r="16" spans="1:6" ht="15" hidden="1" customHeight="1" x14ac:dyDescent="0.25">
      <c r="A16" t="s">
        <v>38</v>
      </c>
      <c r="B16" t="s">
        <v>43</v>
      </c>
      <c r="C16">
        <v>3</v>
      </c>
      <c r="D16" t="s">
        <v>41</v>
      </c>
      <c r="E16">
        <v>173.74979999999999</v>
      </c>
      <c r="F16" t="s">
        <v>40</v>
      </c>
    </row>
    <row r="17" spans="1:6" ht="15" hidden="1" customHeight="1" x14ac:dyDescent="0.25">
      <c r="A17" t="s">
        <v>38</v>
      </c>
      <c r="B17" t="s">
        <v>43</v>
      </c>
      <c r="C17">
        <v>4</v>
      </c>
      <c r="D17" t="s">
        <v>45</v>
      </c>
      <c r="E17">
        <v>241.72239999999999</v>
      </c>
      <c r="F17" t="s">
        <v>40</v>
      </c>
    </row>
    <row r="18" spans="1:6" ht="15" hidden="1" customHeight="1" x14ac:dyDescent="0.25">
      <c r="A18" t="s">
        <v>38</v>
      </c>
      <c r="B18" t="s">
        <v>43</v>
      </c>
      <c r="C18">
        <v>5</v>
      </c>
      <c r="D18" t="s">
        <v>7</v>
      </c>
      <c r="E18">
        <v>162.9906</v>
      </c>
      <c r="F18" t="s">
        <v>40</v>
      </c>
    </row>
    <row r="19" spans="1:6" ht="15" hidden="1" customHeight="1" x14ac:dyDescent="0.25">
      <c r="A19" t="s">
        <v>38</v>
      </c>
      <c r="B19" t="s">
        <v>43</v>
      </c>
      <c r="C19">
        <v>6</v>
      </c>
      <c r="D19" t="s">
        <v>53</v>
      </c>
      <c r="E19">
        <v>314.1225</v>
      </c>
      <c r="F19" t="s">
        <v>40</v>
      </c>
    </row>
    <row r="20" spans="1:6" ht="15" hidden="1" customHeight="1" x14ac:dyDescent="0.25">
      <c r="A20" t="s">
        <v>38</v>
      </c>
      <c r="B20" t="s">
        <v>43</v>
      </c>
      <c r="C20">
        <v>7</v>
      </c>
      <c r="D20" t="s">
        <v>56</v>
      </c>
      <c r="E20">
        <v>183.06659999999999</v>
      </c>
      <c r="F20" t="s">
        <v>40</v>
      </c>
    </row>
    <row r="21" spans="1:6" ht="15" hidden="1" customHeight="1" x14ac:dyDescent="0.25">
      <c r="A21" t="s">
        <v>38</v>
      </c>
      <c r="B21" t="s">
        <v>43</v>
      </c>
      <c r="C21">
        <v>8</v>
      </c>
      <c r="D21" t="s">
        <v>60</v>
      </c>
      <c r="E21">
        <v>131.33320000000001</v>
      </c>
      <c r="F21" t="s">
        <v>40</v>
      </c>
    </row>
    <row r="22" spans="1:6" ht="15" hidden="1" customHeight="1" x14ac:dyDescent="0.25">
      <c r="A22" t="s">
        <v>38</v>
      </c>
      <c r="B22" t="s">
        <v>43</v>
      </c>
      <c r="C22">
        <v>9</v>
      </c>
      <c r="D22" t="s">
        <v>63</v>
      </c>
      <c r="E22">
        <v>137.20079999999999</v>
      </c>
      <c r="F22" t="s">
        <v>40</v>
      </c>
    </row>
    <row r="23" spans="1:6" ht="15" hidden="1" customHeight="1" x14ac:dyDescent="0.25">
      <c r="A23" t="s">
        <v>38</v>
      </c>
      <c r="B23" t="s">
        <v>43</v>
      </c>
      <c r="C23">
        <v>10</v>
      </c>
      <c r="D23" t="s">
        <v>65</v>
      </c>
      <c r="E23">
        <v>278.13470000000001</v>
      </c>
      <c r="F23" t="s">
        <v>40</v>
      </c>
    </row>
    <row r="24" spans="1:6" ht="15" hidden="1" customHeight="1" x14ac:dyDescent="0.25">
      <c r="A24" t="s">
        <v>38</v>
      </c>
      <c r="B24" t="s">
        <v>43</v>
      </c>
      <c r="C24">
        <v>11</v>
      </c>
      <c r="D24" t="s">
        <v>67</v>
      </c>
      <c r="E24">
        <v>164.91679999999999</v>
      </c>
      <c r="F24" t="s">
        <v>40</v>
      </c>
    </row>
    <row r="25" spans="1:6" ht="15" hidden="1" customHeight="1" x14ac:dyDescent="0.25">
      <c r="A25" t="s">
        <v>38</v>
      </c>
      <c r="B25" t="s">
        <v>43</v>
      </c>
      <c r="C25">
        <v>12</v>
      </c>
      <c r="D25" t="s">
        <v>70</v>
      </c>
      <c r="E25">
        <v>79.170400000000001</v>
      </c>
      <c r="F25" t="s">
        <v>40</v>
      </c>
    </row>
    <row r="26" spans="1:6" ht="15" customHeight="1" x14ac:dyDescent="0.25">
      <c r="A26" t="s">
        <v>38</v>
      </c>
      <c r="B26" t="s">
        <v>47</v>
      </c>
      <c r="C26">
        <v>1</v>
      </c>
      <c r="D26" t="s">
        <v>35</v>
      </c>
      <c r="E26">
        <v>0</v>
      </c>
      <c r="F26" t="s">
        <v>40</v>
      </c>
    </row>
    <row r="27" spans="1:6" ht="15" hidden="1" customHeight="1" x14ac:dyDescent="0.25">
      <c r="A27" t="s">
        <v>38</v>
      </c>
      <c r="B27" t="s">
        <v>47</v>
      </c>
      <c r="C27">
        <v>2</v>
      </c>
      <c r="D27" t="s">
        <v>37</v>
      </c>
      <c r="E27">
        <v>0.15076999999999999</v>
      </c>
      <c r="F27" t="s">
        <v>40</v>
      </c>
    </row>
    <row r="28" spans="1:6" ht="15" hidden="1" customHeight="1" x14ac:dyDescent="0.25">
      <c r="A28" t="s">
        <v>38</v>
      </c>
      <c r="B28" t="s">
        <v>47</v>
      </c>
      <c r="C28">
        <v>3</v>
      </c>
      <c r="D28" t="s">
        <v>41</v>
      </c>
      <c r="E28">
        <v>1.85077</v>
      </c>
      <c r="F28" t="s">
        <v>40</v>
      </c>
    </row>
    <row r="29" spans="1:6" ht="15" hidden="1" customHeight="1" x14ac:dyDescent="0.25">
      <c r="A29" t="s">
        <v>38</v>
      </c>
      <c r="B29" t="s">
        <v>47</v>
      </c>
      <c r="C29">
        <v>4</v>
      </c>
      <c r="D29" t="s">
        <v>45</v>
      </c>
      <c r="E29">
        <v>0.32801999999999998</v>
      </c>
      <c r="F29" t="s">
        <v>40</v>
      </c>
    </row>
    <row r="30" spans="1:6" ht="15" hidden="1" customHeight="1" x14ac:dyDescent="0.25">
      <c r="A30" t="s">
        <v>38</v>
      </c>
      <c r="B30" t="s">
        <v>47</v>
      </c>
      <c r="C30">
        <v>5</v>
      </c>
      <c r="D30" t="s">
        <v>7</v>
      </c>
      <c r="E30">
        <v>27.372</v>
      </c>
      <c r="F30" t="s">
        <v>40</v>
      </c>
    </row>
    <row r="31" spans="1:6" ht="15" hidden="1" customHeight="1" x14ac:dyDescent="0.25">
      <c r="A31" t="s">
        <v>38</v>
      </c>
      <c r="B31" t="s">
        <v>47</v>
      </c>
      <c r="C31">
        <v>6</v>
      </c>
      <c r="D31" t="s">
        <v>53</v>
      </c>
      <c r="E31">
        <v>11.403269999999999</v>
      </c>
      <c r="F31" t="s">
        <v>40</v>
      </c>
    </row>
    <row r="32" spans="1:6" ht="15" hidden="1" customHeight="1" x14ac:dyDescent="0.25">
      <c r="A32" t="s">
        <v>38</v>
      </c>
      <c r="B32" t="s">
        <v>47</v>
      </c>
      <c r="C32">
        <v>7</v>
      </c>
      <c r="D32" t="s">
        <v>56</v>
      </c>
      <c r="E32">
        <v>0.32801999999999998</v>
      </c>
      <c r="F32" t="s">
        <v>40</v>
      </c>
    </row>
    <row r="33" spans="1:6" ht="15" hidden="1" customHeight="1" x14ac:dyDescent="0.25">
      <c r="A33" t="s">
        <v>38</v>
      </c>
      <c r="B33" t="s">
        <v>47</v>
      </c>
      <c r="C33">
        <v>8</v>
      </c>
      <c r="D33" t="s">
        <v>60</v>
      </c>
      <c r="E33">
        <v>0.15076999999999999</v>
      </c>
      <c r="F33" t="s">
        <v>40</v>
      </c>
    </row>
    <row r="34" spans="1:6" ht="15" hidden="1" customHeight="1" x14ac:dyDescent="0.25">
      <c r="A34" t="s">
        <v>38</v>
      </c>
      <c r="B34" t="s">
        <v>47</v>
      </c>
      <c r="C34">
        <v>9</v>
      </c>
      <c r="D34" t="s">
        <v>63</v>
      </c>
      <c r="E34">
        <v>0.61077000000000004</v>
      </c>
      <c r="F34" t="s">
        <v>40</v>
      </c>
    </row>
    <row r="35" spans="1:6" ht="15" hidden="1" customHeight="1" x14ac:dyDescent="0.25">
      <c r="A35" t="s">
        <v>38</v>
      </c>
      <c r="B35" t="s">
        <v>47</v>
      </c>
      <c r="C35">
        <v>10</v>
      </c>
      <c r="D35" t="s">
        <v>65</v>
      </c>
      <c r="E35">
        <v>0.32801999999999998</v>
      </c>
      <c r="F35" t="s">
        <v>40</v>
      </c>
    </row>
    <row r="36" spans="1:6" ht="15" hidden="1" customHeight="1" x14ac:dyDescent="0.25">
      <c r="A36" t="s">
        <v>38</v>
      </c>
      <c r="B36" t="s">
        <v>47</v>
      </c>
      <c r="C36">
        <v>11</v>
      </c>
      <c r="D36" t="s">
        <v>67</v>
      </c>
      <c r="E36">
        <v>0.15076999999999999</v>
      </c>
      <c r="F36" t="s">
        <v>40</v>
      </c>
    </row>
    <row r="37" spans="1:6" ht="15" hidden="1" customHeight="1" x14ac:dyDescent="0.25">
      <c r="A37" t="s">
        <v>38</v>
      </c>
      <c r="B37" t="s">
        <v>47</v>
      </c>
      <c r="C37">
        <v>12</v>
      </c>
      <c r="D37" t="s">
        <v>70</v>
      </c>
      <c r="E37">
        <v>0.15076999999999999</v>
      </c>
      <c r="F37" t="s">
        <v>40</v>
      </c>
    </row>
    <row r="38" spans="1:6" ht="15" customHeight="1" x14ac:dyDescent="0.25">
      <c r="A38" t="s">
        <v>38</v>
      </c>
      <c r="B38" t="s">
        <v>51</v>
      </c>
      <c r="C38">
        <v>1</v>
      </c>
      <c r="D38" t="s">
        <v>35</v>
      </c>
      <c r="E38">
        <v>0</v>
      </c>
      <c r="F38" t="s">
        <v>40</v>
      </c>
    </row>
    <row r="39" spans="1:6" ht="15" hidden="1" customHeight="1" x14ac:dyDescent="0.25">
      <c r="A39" t="s">
        <v>38</v>
      </c>
      <c r="B39" t="s">
        <v>51</v>
      </c>
      <c r="C39">
        <v>2</v>
      </c>
      <c r="D39" t="s">
        <v>37</v>
      </c>
      <c r="E39">
        <v>0</v>
      </c>
      <c r="F39" t="s">
        <v>40</v>
      </c>
    </row>
    <row r="40" spans="1:6" ht="15" hidden="1" customHeight="1" x14ac:dyDescent="0.25">
      <c r="A40" t="s">
        <v>38</v>
      </c>
      <c r="B40" t="s">
        <v>51</v>
      </c>
      <c r="C40">
        <v>3</v>
      </c>
      <c r="D40" t="s">
        <v>41</v>
      </c>
      <c r="E40">
        <v>0.97</v>
      </c>
      <c r="F40" t="s">
        <v>40</v>
      </c>
    </row>
    <row r="41" spans="1:6" ht="15" hidden="1" customHeight="1" x14ac:dyDescent="0.25">
      <c r="A41" t="s">
        <v>38</v>
      </c>
      <c r="B41" t="s">
        <v>51</v>
      </c>
      <c r="C41">
        <v>4</v>
      </c>
      <c r="D41" t="s">
        <v>45</v>
      </c>
      <c r="E41">
        <v>0.77600000000000002</v>
      </c>
      <c r="F41" t="s">
        <v>40</v>
      </c>
    </row>
    <row r="42" spans="1:6" ht="15" hidden="1" customHeight="1" x14ac:dyDescent="0.25">
      <c r="A42" t="s">
        <v>38</v>
      </c>
      <c r="B42" t="s">
        <v>51</v>
      </c>
      <c r="C42">
        <v>5</v>
      </c>
      <c r="D42" t="s">
        <v>7</v>
      </c>
      <c r="E42">
        <v>0.58199999999999996</v>
      </c>
      <c r="F42" t="s">
        <v>40</v>
      </c>
    </row>
    <row r="43" spans="1:6" ht="15" hidden="1" customHeight="1" x14ac:dyDescent="0.25">
      <c r="A43" t="s">
        <v>38</v>
      </c>
      <c r="B43" t="s">
        <v>51</v>
      </c>
      <c r="C43">
        <v>6</v>
      </c>
      <c r="D43" t="s">
        <v>53</v>
      </c>
      <c r="E43">
        <v>0</v>
      </c>
      <c r="F43" t="s">
        <v>40</v>
      </c>
    </row>
    <row r="44" spans="1:6" ht="15" hidden="1" customHeight="1" x14ac:dyDescent="0.25">
      <c r="A44" t="s">
        <v>38</v>
      </c>
      <c r="B44" t="s">
        <v>51</v>
      </c>
      <c r="C44">
        <v>7</v>
      </c>
      <c r="D44" t="s">
        <v>56</v>
      </c>
      <c r="E44">
        <v>0.38800000000000001</v>
      </c>
      <c r="F44" t="s">
        <v>40</v>
      </c>
    </row>
    <row r="45" spans="1:6" ht="15" hidden="1" customHeight="1" x14ac:dyDescent="0.25">
      <c r="A45" t="s">
        <v>38</v>
      </c>
      <c r="B45" t="s">
        <v>51</v>
      </c>
      <c r="C45">
        <v>8</v>
      </c>
      <c r="D45" t="s">
        <v>60</v>
      </c>
      <c r="E45">
        <v>0.19400000000000001</v>
      </c>
      <c r="F45" t="s">
        <v>40</v>
      </c>
    </row>
    <row r="46" spans="1:6" ht="15" hidden="1" customHeight="1" x14ac:dyDescent="0.25">
      <c r="A46" t="s">
        <v>38</v>
      </c>
      <c r="B46" t="s">
        <v>51</v>
      </c>
      <c r="C46">
        <v>9</v>
      </c>
      <c r="D46" t="s">
        <v>63</v>
      </c>
      <c r="E46">
        <v>0</v>
      </c>
      <c r="F46" t="s">
        <v>40</v>
      </c>
    </row>
    <row r="47" spans="1:6" ht="15" hidden="1" customHeight="1" x14ac:dyDescent="0.25">
      <c r="A47" t="s">
        <v>38</v>
      </c>
      <c r="B47" t="s">
        <v>51</v>
      </c>
      <c r="C47">
        <v>10</v>
      </c>
      <c r="D47" t="s">
        <v>65</v>
      </c>
      <c r="E47">
        <v>0.38800000000000001</v>
      </c>
      <c r="F47" t="s">
        <v>40</v>
      </c>
    </row>
    <row r="48" spans="1:6" ht="15" hidden="1" customHeight="1" x14ac:dyDescent="0.25">
      <c r="A48" t="s">
        <v>38</v>
      </c>
      <c r="B48" t="s">
        <v>51</v>
      </c>
      <c r="C48">
        <v>11</v>
      </c>
      <c r="D48" t="s">
        <v>67</v>
      </c>
      <c r="E48">
        <v>0</v>
      </c>
      <c r="F48" t="s">
        <v>40</v>
      </c>
    </row>
    <row r="49" spans="1:6" ht="15" hidden="1" customHeight="1" x14ac:dyDescent="0.25">
      <c r="A49" t="s">
        <v>38</v>
      </c>
      <c r="B49" t="s">
        <v>51</v>
      </c>
      <c r="C49">
        <v>12</v>
      </c>
      <c r="D49" t="s">
        <v>70</v>
      </c>
      <c r="E49">
        <v>0</v>
      </c>
      <c r="F49" t="s">
        <v>40</v>
      </c>
    </row>
    <row r="50" spans="1:6" ht="15" customHeight="1" x14ac:dyDescent="0.25">
      <c r="A50" t="s">
        <v>38</v>
      </c>
      <c r="B50" t="s">
        <v>55</v>
      </c>
      <c r="C50">
        <v>1</v>
      </c>
      <c r="D50" t="s">
        <v>35</v>
      </c>
      <c r="E50">
        <v>2.0699999999999998</v>
      </c>
      <c r="F50" t="s">
        <v>40</v>
      </c>
    </row>
    <row r="51" spans="1:6" ht="15" hidden="1" customHeight="1" x14ac:dyDescent="0.25">
      <c r="A51" t="s">
        <v>38</v>
      </c>
      <c r="B51" t="s">
        <v>55</v>
      </c>
      <c r="C51">
        <v>2</v>
      </c>
      <c r="D51" t="s">
        <v>37</v>
      </c>
      <c r="E51">
        <v>1.46</v>
      </c>
      <c r="F51" t="s">
        <v>40</v>
      </c>
    </row>
    <row r="52" spans="1:6" ht="15" hidden="1" customHeight="1" x14ac:dyDescent="0.25">
      <c r="A52" t="s">
        <v>38</v>
      </c>
      <c r="B52" t="s">
        <v>55</v>
      </c>
      <c r="C52">
        <v>3</v>
      </c>
      <c r="D52" t="s">
        <v>41</v>
      </c>
      <c r="E52">
        <v>0.91</v>
      </c>
      <c r="F52" t="s">
        <v>40</v>
      </c>
    </row>
    <row r="53" spans="1:6" ht="15" hidden="1" customHeight="1" x14ac:dyDescent="0.25">
      <c r="A53" t="s">
        <v>38</v>
      </c>
      <c r="B53" t="s">
        <v>55</v>
      </c>
      <c r="C53">
        <v>4</v>
      </c>
      <c r="D53" t="s">
        <v>45</v>
      </c>
      <c r="E53">
        <v>3.43</v>
      </c>
      <c r="F53" t="s">
        <v>40</v>
      </c>
    </row>
    <row r="54" spans="1:6" ht="15" hidden="1" customHeight="1" x14ac:dyDescent="0.25">
      <c r="A54" t="s">
        <v>38</v>
      </c>
      <c r="B54" t="s">
        <v>55</v>
      </c>
      <c r="C54">
        <v>5</v>
      </c>
      <c r="D54" t="s">
        <v>7</v>
      </c>
      <c r="E54">
        <v>0.91</v>
      </c>
      <c r="F54" t="s">
        <v>40</v>
      </c>
    </row>
    <row r="55" spans="1:6" ht="15" hidden="1" customHeight="1" x14ac:dyDescent="0.25">
      <c r="A55" t="s">
        <v>38</v>
      </c>
      <c r="B55" t="s">
        <v>55</v>
      </c>
      <c r="C55">
        <v>6</v>
      </c>
      <c r="D55" t="s">
        <v>53</v>
      </c>
      <c r="E55">
        <v>4.8899999999999997</v>
      </c>
      <c r="F55" t="s">
        <v>40</v>
      </c>
    </row>
    <row r="56" spans="1:6" ht="15" hidden="1" customHeight="1" x14ac:dyDescent="0.25">
      <c r="A56" t="s">
        <v>38</v>
      </c>
      <c r="B56" t="s">
        <v>55</v>
      </c>
      <c r="C56">
        <v>7</v>
      </c>
      <c r="D56" t="s">
        <v>56</v>
      </c>
      <c r="E56">
        <v>2.54</v>
      </c>
      <c r="F56" t="s">
        <v>40</v>
      </c>
    </row>
    <row r="57" spans="1:6" ht="15" hidden="1" customHeight="1" x14ac:dyDescent="0.25">
      <c r="A57" t="s">
        <v>38</v>
      </c>
      <c r="B57" t="s">
        <v>55</v>
      </c>
      <c r="C57">
        <v>8</v>
      </c>
      <c r="D57" t="s">
        <v>60</v>
      </c>
      <c r="E57">
        <v>1.99</v>
      </c>
      <c r="F57" t="s">
        <v>40</v>
      </c>
    </row>
    <row r="58" spans="1:6" ht="15" hidden="1" customHeight="1" x14ac:dyDescent="0.25">
      <c r="A58" t="s">
        <v>38</v>
      </c>
      <c r="B58" t="s">
        <v>55</v>
      </c>
      <c r="C58">
        <v>9</v>
      </c>
      <c r="D58" t="s">
        <v>63</v>
      </c>
      <c r="E58">
        <v>4.1500000000000004</v>
      </c>
      <c r="F58" t="s">
        <v>40</v>
      </c>
    </row>
    <row r="59" spans="1:6" ht="15" hidden="1" customHeight="1" x14ac:dyDescent="0.25">
      <c r="A59" t="s">
        <v>38</v>
      </c>
      <c r="B59" t="s">
        <v>55</v>
      </c>
      <c r="C59">
        <v>10</v>
      </c>
      <c r="D59" t="s">
        <v>65</v>
      </c>
      <c r="E59">
        <v>6.33</v>
      </c>
      <c r="F59" t="s">
        <v>40</v>
      </c>
    </row>
    <row r="60" spans="1:6" ht="15" hidden="1" customHeight="1" x14ac:dyDescent="0.25">
      <c r="A60" t="s">
        <v>38</v>
      </c>
      <c r="B60" t="s">
        <v>55</v>
      </c>
      <c r="C60">
        <v>11</v>
      </c>
      <c r="D60" t="s">
        <v>67</v>
      </c>
      <c r="E60">
        <v>3.36</v>
      </c>
      <c r="F60" t="s">
        <v>40</v>
      </c>
    </row>
    <row r="61" spans="1:6" ht="15" hidden="1" customHeight="1" x14ac:dyDescent="0.25">
      <c r="A61" t="s">
        <v>38</v>
      </c>
      <c r="B61" t="s">
        <v>55</v>
      </c>
      <c r="C61">
        <v>12</v>
      </c>
      <c r="D61" t="s">
        <v>70</v>
      </c>
      <c r="E61">
        <v>0</v>
      </c>
      <c r="F61" t="s">
        <v>40</v>
      </c>
    </row>
    <row r="62" spans="1:6" ht="15" customHeight="1" x14ac:dyDescent="0.25">
      <c r="A62" t="s">
        <v>38</v>
      </c>
      <c r="B62" t="s">
        <v>58</v>
      </c>
      <c r="C62">
        <v>1</v>
      </c>
      <c r="D62" t="s">
        <v>35</v>
      </c>
      <c r="E62">
        <v>2.8222</v>
      </c>
      <c r="F62" t="s">
        <v>40</v>
      </c>
    </row>
    <row r="63" spans="1:6" ht="15" hidden="1" customHeight="1" x14ac:dyDescent="0.25">
      <c r="A63" t="s">
        <v>38</v>
      </c>
      <c r="B63" t="s">
        <v>58</v>
      </c>
      <c r="C63">
        <v>2</v>
      </c>
      <c r="D63" t="s">
        <v>37</v>
      </c>
      <c r="E63">
        <v>2.794</v>
      </c>
      <c r="F63" t="s">
        <v>40</v>
      </c>
    </row>
    <row r="64" spans="1:6" ht="15" hidden="1" customHeight="1" x14ac:dyDescent="0.25">
      <c r="A64" t="s">
        <v>38</v>
      </c>
      <c r="B64" t="s">
        <v>58</v>
      </c>
      <c r="C64">
        <v>3</v>
      </c>
      <c r="D64" t="s">
        <v>41</v>
      </c>
      <c r="E64">
        <v>4.6550000000000002</v>
      </c>
      <c r="F64" t="s">
        <v>40</v>
      </c>
    </row>
    <row r="65" spans="1:6" ht="15" hidden="1" customHeight="1" x14ac:dyDescent="0.25">
      <c r="A65" t="s">
        <v>38</v>
      </c>
      <c r="B65" t="s">
        <v>58</v>
      </c>
      <c r="C65">
        <v>4</v>
      </c>
      <c r="D65" t="s">
        <v>45</v>
      </c>
      <c r="E65">
        <v>4.0891999999999999</v>
      </c>
      <c r="F65" t="s">
        <v>40</v>
      </c>
    </row>
    <row r="66" spans="1:6" ht="15" hidden="1" customHeight="1" x14ac:dyDescent="0.25">
      <c r="A66" t="s">
        <v>38</v>
      </c>
      <c r="B66" t="s">
        <v>58</v>
      </c>
      <c r="C66">
        <v>5</v>
      </c>
      <c r="D66" t="s">
        <v>7</v>
      </c>
      <c r="E66">
        <v>0.86399999999999999</v>
      </c>
      <c r="F66" t="s">
        <v>40</v>
      </c>
    </row>
    <row r="67" spans="1:6" ht="15" hidden="1" customHeight="1" x14ac:dyDescent="0.25">
      <c r="A67" t="s">
        <v>38</v>
      </c>
      <c r="B67" t="s">
        <v>58</v>
      </c>
      <c r="C67">
        <v>6</v>
      </c>
      <c r="D67" t="s">
        <v>53</v>
      </c>
      <c r="E67">
        <v>3.2989999999999999</v>
      </c>
      <c r="F67" t="s">
        <v>40</v>
      </c>
    </row>
    <row r="68" spans="1:6" ht="15" hidden="1" customHeight="1" x14ac:dyDescent="0.25">
      <c r="A68" t="s">
        <v>38</v>
      </c>
      <c r="B68" t="s">
        <v>58</v>
      </c>
      <c r="C68">
        <v>7</v>
      </c>
      <c r="D68" t="s">
        <v>56</v>
      </c>
      <c r="E68">
        <v>0.66800000000000004</v>
      </c>
      <c r="F68" t="s">
        <v>40</v>
      </c>
    </row>
    <row r="69" spans="1:6" ht="15" hidden="1" customHeight="1" x14ac:dyDescent="0.25">
      <c r="A69" t="s">
        <v>38</v>
      </c>
      <c r="B69" t="s">
        <v>58</v>
      </c>
      <c r="C69">
        <v>8</v>
      </c>
      <c r="D69" t="s">
        <v>60</v>
      </c>
      <c r="E69">
        <v>3.3466999999999998</v>
      </c>
      <c r="F69" t="s">
        <v>40</v>
      </c>
    </row>
    <row r="70" spans="1:6" ht="15" hidden="1" customHeight="1" x14ac:dyDescent="0.25">
      <c r="A70" t="s">
        <v>38</v>
      </c>
      <c r="B70" t="s">
        <v>58</v>
      </c>
      <c r="C70">
        <v>9</v>
      </c>
      <c r="D70" t="s">
        <v>63</v>
      </c>
      <c r="E70">
        <v>4.6959999999999997</v>
      </c>
      <c r="F70" t="s">
        <v>40</v>
      </c>
    </row>
    <row r="71" spans="1:6" ht="15" hidden="1" customHeight="1" x14ac:dyDescent="0.25">
      <c r="A71" t="s">
        <v>38</v>
      </c>
      <c r="B71" t="s">
        <v>58</v>
      </c>
      <c r="C71">
        <v>10</v>
      </c>
      <c r="D71" t="s">
        <v>65</v>
      </c>
      <c r="E71">
        <v>3.0417000000000001</v>
      </c>
      <c r="F71" t="s">
        <v>40</v>
      </c>
    </row>
    <row r="72" spans="1:6" ht="15" hidden="1" customHeight="1" x14ac:dyDescent="0.25">
      <c r="A72" t="s">
        <v>38</v>
      </c>
      <c r="B72" t="s">
        <v>58</v>
      </c>
      <c r="C72">
        <v>11</v>
      </c>
      <c r="D72" t="s">
        <v>67</v>
      </c>
      <c r="E72">
        <v>3.2328000000000001</v>
      </c>
      <c r="F72" t="s">
        <v>40</v>
      </c>
    </row>
    <row r="73" spans="1:6" ht="15" hidden="1" customHeight="1" x14ac:dyDescent="0.25">
      <c r="A73" t="s">
        <v>38</v>
      </c>
      <c r="B73" t="s">
        <v>58</v>
      </c>
      <c r="C73">
        <v>12</v>
      </c>
      <c r="D73" t="s">
        <v>70</v>
      </c>
      <c r="E73">
        <v>3</v>
      </c>
      <c r="F73" t="s">
        <v>40</v>
      </c>
    </row>
    <row r="74" spans="1:6" ht="15" customHeight="1" x14ac:dyDescent="0.25">
      <c r="A74" t="s">
        <v>42</v>
      </c>
      <c r="B74" t="s">
        <v>39</v>
      </c>
      <c r="C74">
        <v>1</v>
      </c>
      <c r="D74" t="s">
        <v>35</v>
      </c>
      <c r="E74">
        <v>0</v>
      </c>
      <c r="F74" t="s">
        <v>40</v>
      </c>
    </row>
    <row r="75" spans="1:6" ht="15" hidden="1" customHeight="1" x14ac:dyDescent="0.25">
      <c r="A75" t="s">
        <v>42</v>
      </c>
      <c r="B75" t="s">
        <v>39</v>
      </c>
      <c r="C75">
        <v>2</v>
      </c>
      <c r="D75" t="s">
        <v>37</v>
      </c>
      <c r="E75">
        <v>0</v>
      </c>
      <c r="F75" t="s">
        <v>40</v>
      </c>
    </row>
    <row r="76" spans="1:6" ht="15" hidden="1" customHeight="1" x14ac:dyDescent="0.25">
      <c r="A76" t="s">
        <v>42</v>
      </c>
      <c r="B76" t="s">
        <v>39</v>
      </c>
      <c r="C76">
        <v>3</v>
      </c>
      <c r="D76" t="s">
        <v>41</v>
      </c>
      <c r="E76">
        <v>0</v>
      </c>
      <c r="F76" t="s">
        <v>40</v>
      </c>
    </row>
    <row r="77" spans="1:6" ht="15" hidden="1" customHeight="1" x14ac:dyDescent="0.25">
      <c r="A77" t="s">
        <v>42</v>
      </c>
      <c r="B77" t="s">
        <v>39</v>
      </c>
      <c r="C77">
        <v>4</v>
      </c>
      <c r="D77" t="s">
        <v>45</v>
      </c>
      <c r="E77">
        <v>0</v>
      </c>
      <c r="F77" t="s">
        <v>40</v>
      </c>
    </row>
    <row r="78" spans="1:6" ht="15" hidden="1" customHeight="1" x14ac:dyDescent="0.25">
      <c r="A78" t="s">
        <v>42</v>
      </c>
      <c r="B78" t="s">
        <v>39</v>
      </c>
      <c r="C78">
        <v>5</v>
      </c>
      <c r="D78" t="s">
        <v>7</v>
      </c>
      <c r="E78">
        <v>0</v>
      </c>
      <c r="F78" t="s">
        <v>40</v>
      </c>
    </row>
    <row r="79" spans="1:6" ht="15" hidden="1" customHeight="1" x14ac:dyDescent="0.25">
      <c r="A79" t="s">
        <v>42</v>
      </c>
      <c r="B79" t="s">
        <v>39</v>
      </c>
      <c r="C79">
        <v>6</v>
      </c>
      <c r="D79" t="s">
        <v>53</v>
      </c>
      <c r="E79">
        <v>0</v>
      </c>
      <c r="F79" t="s">
        <v>40</v>
      </c>
    </row>
    <row r="80" spans="1:6" ht="15" hidden="1" customHeight="1" x14ac:dyDescent="0.25">
      <c r="A80" t="s">
        <v>42</v>
      </c>
      <c r="B80" t="s">
        <v>39</v>
      </c>
      <c r="C80">
        <v>7</v>
      </c>
      <c r="D80" t="s">
        <v>56</v>
      </c>
      <c r="E80">
        <v>40.18</v>
      </c>
      <c r="F80" t="s">
        <v>40</v>
      </c>
    </row>
    <row r="81" spans="1:6" ht="15" hidden="1" customHeight="1" x14ac:dyDescent="0.25">
      <c r="A81" t="s">
        <v>42</v>
      </c>
      <c r="B81" t="s">
        <v>39</v>
      </c>
      <c r="C81">
        <v>8</v>
      </c>
      <c r="D81" t="s">
        <v>60</v>
      </c>
      <c r="E81">
        <v>0</v>
      </c>
      <c r="F81" t="s">
        <v>40</v>
      </c>
    </row>
    <row r="82" spans="1:6" ht="15" hidden="1" customHeight="1" x14ac:dyDescent="0.25">
      <c r="A82" t="s">
        <v>42</v>
      </c>
      <c r="B82" t="s">
        <v>39</v>
      </c>
      <c r="C82">
        <v>9</v>
      </c>
      <c r="D82" t="s">
        <v>63</v>
      </c>
      <c r="E82">
        <v>0</v>
      </c>
      <c r="F82" t="s">
        <v>40</v>
      </c>
    </row>
    <row r="83" spans="1:6" ht="15" hidden="1" customHeight="1" x14ac:dyDescent="0.25">
      <c r="A83" t="s">
        <v>42</v>
      </c>
      <c r="B83" t="s">
        <v>39</v>
      </c>
      <c r="C83">
        <v>10</v>
      </c>
      <c r="D83" t="s">
        <v>65</v>
      </c>
      <c r="E83">
        <v>0</v>
      </c>
      <c r="F83" t="s">
        <v>40</v>
      </c>
    </row>
    <row r="84" spans="1:6" ht="15" hidden="1" customHeight="1" x14ac:dyDescent="0.25">
      <c r="A84" t="s">
        <v>42</v>
      </c>
      <c r="B84" t="s">
        <v>39</v>
      </c>
      <c r="C84">
        <v>11</v>
      </c>
      <c r="D84" t="s">
        <v>67</v>
      </c>
      <c r="E84">
        <v>0</v>
      </c>
      <c r="F84" t="s">
        <v>40</v>
      </c>
    </row>
    <row r="85" spans="1:6" ht="15" hidden="1" customHeight="1" x14ac:dyDescent="0.25">
      <c r="A85" t="s">
        <v>42</v>
      </c>
      <c r="B85" t="s">
        <v>39</v>
      </c>
      <c r="C85">
        <v>12</v>
      </c>
      <c r="D85" t="s">
        <v>70</v>
      </c>
      <c r="E85">
        <v>0</v>
      </c>
      <c r="F85" t="s">
        <v>40</v>
      </c>
    </row>
    <row r="86" spans="1:6" ht="15" customHeight="1" x14ac:dyDescent="0.25">
      <c r="A86" t="s">
        <v>42</v>
      </c>
      <c r="B86" t="s">
        <v>43</v>
      </c>
      <c r="C86">
        <v>1</v>
      </c>
      <c r="D86" t="s">
        <v>35</v>
      </c>
      <c r="E86">
        <v>104.1746</v>
      </c>
      <c r="F86" t="s">
        <v>40</v>
      </c>
    </row>
    <row r="87" spans="1:6" ht="15" hidden="1" customHeight="1" x14ac:dyDescent="0.25">
      <c r="A87" t="s">
        <v>42</v>
      </c>
      <c r="B87" t="s">
        <v>43</v>
      </c>
      <c r="C87">
        <v>2</v>
      </c>
      <c r="D87" t="s">
        <v>37</v>
      </c>
      <c r="E87">
        <v>194.88489999999999</v>
      </c>
      <c r="F87" t="s">
        <v>40</v>
      </c>
    </row>
    <row r="88" spans="1:6" ht="15" hidden="1" customHeight="1" x14ac:dyDescent="0.25">
      <c r="A88" t="s">
        <v>42</v>
      </c>
      <c r="B88" t="s">
        <v>43</v>
      </c>
      <c r="C88">
        <v>3</v>
      </c>
      <c r="D88" t="s">
        <v>41</v>
      </c>
      <c r="E88">
        <v>284.08539999999999</v>
      </c>
      <c r="F88" t="s">
        <v>40</v>
      </c>
    </row>
    <row r="89" spans="1:6" ht="15" hidden="1" customHeight="1" x14ac:dyDescent="0.25">
      <c r="A89" t="s">
        <v>42</v>
      </c>
      <c r="B89" t="s">
        <v>43</v>
      </c>
      <c r="C89">
        <v>4</v>
      </c>
      <c r="D89" t="s">
        <v>45</v>
      </c>
      <c r="E89">
        <v>246.2527</v>
      </c>
      <c r="F89" t="s">
        <v>40</v>
      </c>
    </row>
    <row r="90" spans="1:6" ht="15" hidden="1" customHeight="1" x14ac:dyDescent="0.25">
      <c r="A90" t="s">
        <v>42</v>
      </c>
      <c r="B90" t="s">
        <v>43</v>
      </c>
      <c r="C90">
        <v>5</v>
      </c>
      <c r="D90" t="s">
        <v>7</v>
      </c>
      <c r="E90">
        <v>135.08949999999999</v>
      </c>
      <c r="F90" t="s">
        <v>40</v>
      </c>
    </row>
    <row r="91" spans="1:6" ht="15" hidden="1" customHeight="1" x14ac:dyDescent="0.25">
      <c r="A91" t="s">
        <v>42</v>
      </c>
      <c r="B91" t="s">
        <v>43</v>
      </c>
      <c r="C91">
        <v>6</v>
      </c>
      <c r="D91" t="s">
        <v>53</v>
      </c>
      <c r="E91">
        <v>391.846</v>
      </c>
      <c r="F91" t="s">
        <v>40</v>
      </c>
    </row>
    <row r="92" spans="1:6" ht="15" hidden="1" customHeight="1" x14ac:dyDescent="0.25">
      <c r="A92" t="s">
        <v>42</v>
      </c>
      <c r="B92" t="s">
        <v>43</v>
      </c>
      <c r="C92">
        <v>7</v>
      </c>
      <c r="D92" t="s">
        <v>56</v>
      </c>
      <c r="E92">
        <v>115.905</v>
      </c>
      <c r="F92" t="s">
        <v>40</v>
      </c>
    </row>
    <row r="93" spans="1:6" ht="15" hidden="1" customHeight="1" x14ac:dyDescent="0.25">
      <c r="A93" t="s">
        <v>42</v>
      </c>
      <c r="B93" t="s">
        <v>43</v>
      </c>
      <c r="C93">
        <v>8</v>
      </c>
      <c r="D93" t="s">
        <v>60</v>
      </c>
      <c r="E93">
        <v>93.966250000000002</v>
      </c>
      <c r="F93" t="s">
        <v>40</v>
      </c>
    </row>
    <row r="94" spans="1:6" ht="15" hidden="1" customHeight="1" x14ac:dyDescent="0.25">
      <c r="A94" t="s">
        <v>42</v>
      </c>
      <c r="B94" t="s">
        <v>43</v>
      </c>
      <c r="C94">
        <v>9</v>
      </c>
      <c r="D94" t="s">
        <v>63</v>
      </c>
      <c r="E94">
        <v>245.48675</v>
      </c>
      <c r="F94" t="s">
        <v>40</v>
      </c>
    </row>
    <row r="95" spans="1:6" ht="15" hidden="1" customHeight="1" x14ac:dyDescent="0.25">
      <c r="A95" t="s">
        <v>42</v>
      </c>
      <c r="B95" t="s">
        <v>43</v>
      </c>
      <c r="C95">
        <v>10</v>
      </c>
      <c r="D95" t="s">
        <v>65</v>
      </c>
      <c r="E95">
        <v>162.47149999999999</v>
      </c>
      <c r="F95" t="s">
        <v>40</v>
      </c>
    </row>
    <row r="96" spans="1:6" ht="15" hidden="1" customHeight="1" x14ac:dyDescent="0.25">
      <c r="A96" t="s">
        <v>42</v>
      </c>
      <c r="B96" t="s">
        <v>43</v>
      </c>
      <c r="C96">
        <v>11</v>
      </c>
      <c r="D96" t="s">
        <v>67</v>
      </c>
      <c r="E96">
        <v>118.2509</v>
      </c>
      <c r="F96" t="s">
        <v>40</v>
      </c>
    </row>
    <row r="97" spans="1:6" ht="15" hidden="1" customHeight="1" x14ac:dyDescent="0.25">
      <c r="A97" t="s">
        <v>42</v>
      </c>
      <c r="B97" t="s">
        <v>43</v>
      </c>
      <c r="C97">
        <v>12</v>
      </c>
      <c r="D97" t="s">
        <v>70</v>
      </c>
      <c r="E97">
        <v>50.454999999999998</v>
      </c>
      <c r="F97" t="s">
        <v>40</v>
      </c>
    </row>
    <row r="98" spans="1:6" ht="15" customHeight="1" x14ac:dyDescent="0.25">
      <c r="A98" t="s">
        <v>42</v>
      </c>
      <c r="B98" t="s">
        <v>47</v>
      </c>
      <c r="C98">
        <v>1</v>
      </c>
      <c r="D98" t="s">
        <v>35</v>
      </c>
      <c r="E98">
        <v>0</v>
      </c>
      <c r="F98" t="s">
        <v>40</v>
      </c>
    </row>
    <row r="99" spans="1:6" ht="15" hidden="1" customHeight="1" x14ac:dyDescent="0.25">
      <c r="A99" t="s">
        <v>42</v>
      </c>
      <c r="B99" t="s">
        <v>47</v>
      </c>
      <c r="C99">
        <v>2</v>
      </c>
      <c r="D99" t="s">
        <v>37</v>
      </c>
      <c r="E99">
        <v>0</v>
      </c>
      <c r="F99" t="s">
        <v>40</v>
      </c>
    </row>
    <row r="100" spans="1:6" ht="15" hidden="1" customHeight="1" x14ac:dyDescent="0.25">
      <c r="A100" t="s">
        <v>42</v>
      </c>
      <c r="B100" t="s">
        <v>47</v>
      </c>
      <c r="C100">
        <v>3</v>
      </c>
      <c r="D100" t="s">
        <v>41</v>
      </c>
      <c r="E100">
        <v>2.4900000000000002</v>
      </c>
      <c r="F100" t="s">
        <v>40</v>
      </c>
    </row>
    <row r="101" spans="1:6" ht="15" hidden="1" customHeight="1" x14ac:dyDescent="0.25">
      <c r="A101" t="s">
        <v>42</v>
      </c>
      <c r="B101" t="s">
        <v>47</v>
      </c>
      <c r="C101">
        <v>4</v>
      </c>
      <c r="D101" t="s">
        <v>45</v>
      </c>
      <c r="E101">
        <v>0</v>
      </c>
      <c r="F101" t="s">
        <v>40</v>
      </c>
    </row>
    <row r="102" spans="1:6" ht="15" hidden="1" customHeight="1" x14ac:dyDescent="0.25">
      <c r="A102" t="s">
        <v>42</v>
      </c>
      <c r="B102" t="s">
        <v>47</v>
      </c>
      <c r="C102">
        <v>5</v>
      </c>
      <c r="D102" t="s">
        <v>7</v>
      </c>
      <c r="E102">
        <v>0.38</v>
      </c>
      <c r="F102" t="s">
        <v>40</v>
      </c>
    </row>
    <row r="103" spans="1:6" ht="15" hidden="1" customHeight="1" x14ac:dyDescent="0.25">
      <c r="A103" t="s">
        <v>42</v>
      </c>
      <c r="B103" t="s">
        <v>47</v>
      </c>
      <c r="C103">
        <v>6</v>
      </c>
      <c r="D103" t="s">
        <v>53</v>
      </c>
      <c r="E103">
        <v>10.521000000000001</v>
      </c>
      <c r="F103" t="s">
        <v>40</v>
      </c>
    </row>
    <row r="104" spans="1:6" ht="15" hidden="1" customHeight="1" x14ac:dyDescent="0.25">
      <c r="A104" t="s">
        <v>42</v>
      </c>
      <c r="B104" t="s">
        <v>47</v>
      </c>
      <c r="C104">
        <v>7</v>
      </c>
      <c r="D104" t="s">
        <v>56</v>
      </c>
      <c r="E104">
        <v>3.24</v>
      </c>
      <c r="F104" t="s">
        <v>40</v>
      </c>
    </row>
    <row r="105" spans="1:6" ht="15" hidden="1" customHeight="1" x14ac:dyDescent="0.25">
      <c r="A105" t="s">
        <v>42</v>
      </c>
      <c r="B105" t="s">
        <v>47</v>
      </c>
      <c r="C105">
        <v>8</v>
      </c>
      <c r="D105" t="s">
        <v>60</v>
      </c>
      <c r="E105">
        <v>0</v>
      </c>
      <c r="F105" t="s">
        <v>40</v>
      </c>
    </row>
    <row r="106" spans="1:6" ht="15" hidden="1" customHeight="1" x14ac:dyDescent="0.25">
      <c r="A106" t="s">
        <v>42</v>
      </c>
      <c r="B106" t="s">
        <v>47</v>
      </c>
      <c r="C106">
        <v>9</v>
      </c>
      <c r="D106" t="s">
        <v>63</v>
      </c>
      <c r="E106">
        <v>4.3499999999999996</v>
      </c>
      <c r="F106" t="s">
        <v>40</v>
      </c>
    </row>
    <row r="107" spans="1:6" ht="15" hidden="1" customHeight="1" x14ac:dyDescent="0.25">
      <c r="A107" t="s">
        <v>42</v>
      </c>
      <c r="B107" t="s">
        <v>47</v>
      </c>
      <c r="C107">
        <v>10</v>
      </c>
      <c r="D107" t="s">
        <v>65</v>
      </c>
      <c r="E107">
        <v>0.188</v>
      </c>
      <c r="F107" t="s">
        <v>40</v>
      </c>
    </row>
    <row r="108" spans="1:6" ht="15" hidden="1" customHeight="1" x14ac:dyDescent="0.25">
      <c r="A108" t="s">
        <v>42</v>
      </c>
      <c r="B108" t="s">
        <v>47</v>
      </c>
      <c r="C108">
        <v>11</v>
      </c>
      <c r="D108" t="s">
        <v>67</v>
      </c>
      <c r="E108">
        <v>0</v>
      </c>
      <c r="F108" t="s">
        <v>40</v>
      </c>
    </row>
    <row r="109" spans="1:6" ht="15" hidden="1" customHeight="1" x14ac:dyDescent="0.25">
      <c r="A109" t="s">
        <v>42</v>
      </c>
      <c r="B109" t="s">
        <v>47</v>
      </c>
      <c r="C109">
        <v>12</v>
      </c>
      <c r="D109" t="s">
        <v>70</v>
      </c>
      <c r="E109">
        <v>0</v>
      </c>
      <c r="F109" t="s">
        <v>40</v>
      </c>
    </row>
    <row r="110" spans="1:6" ht="15" customHeight="1" x14ac:dyDescent="0.25">
      <c r="A110" t="s">
        <v>42</v>
      </c>
      <c r="B110" t="s">
        <v>51</v>
      </c>
      <c r="C110">
        <v>1</v>
      </c>
      <c r="D110" t="s">
        <v>35</v>
      </c>
      <c r="E110">
        <v>0</v>
      </c>
      <c r="F110" t="s">
        <v>40</v>
      </c>
    </row>
    <row r="111" spans="1:6" ht="15" hidden="1" customHeight="1" x14ac:dyDescent="0.25">
      <c r="A111" t="s">
        <v>42</v>
      </c>
      <c r="B111" t="s">
        <v>51</v>
      </c>
      <c r="C111">
        <v>2</v>
      </c>
      <c r="D111" t="s">
        <v>37</v>
      </c>
      <c r="E111">
        <v>0.3</v>
      </c>
      <c r="F111" t="s">
        <v>40</v>
      </c>
    </row>
    <row r="112" spans="1:6" ht="15" hidden="1" customHeight="1" x14ac:dyDescent="0.25">
      <c r="A112" t="s">
        <v>42</v>
      </c>
      <c r="B112" t="s">
        <v>51</v>
      </c>
      <c r="C112">
        <v>3</v>
      </c>
      <c r="D112" t="s">
        <v>41</v>
      </c>
      <c r="E112">
        <v>0</v>
      </c>
      <c r="F112" t="s">
        <v>40</v>
      </c>
    </row>
    <row r="113" spans="1:6" ht="15" hidden="1" customHeight="1" x14ac:dyDescent="0.25">
      <c r="A113" t="s">
        <v>42</v>
      </c>
      <c r="B113" t="s">
        <v>51</v>
      </c>
      <c r="C113">
        <v>4</v>
      </c>
      <c r="D113" t="s">
        <v>45</v>
      </c>
      <c r="E113">
        <v>0.72</v>
      </c>
      <c r="F113" t="s">
        <v>40</v>
      </c>
    </row>
    <row r="114" spans="1:6" ht="15" hidden="1" customHeight="1" x14ac:dyDescent="0.25">
      <c r="A114" t="s">
        <v>42</v>
      </c>
      <c r="B114" t="s">
        <v>51</v>
      </c>
      <c r="C114">
        <v>5</v>
      </c>
      <c r="D114" t="s">
        <v>7</v>
      </c>
      <c r="E114">
        <v>0</v>
      </c>
      <c r="F114" t="s">
        <v>40</v>
      </c>
    </row>
    <row r="115" spans="1:6" ht="15" hidden="1" customHeight="1" x14ac:dyDescent="0.25">
      <c r="A115" t="s">
        <v>42</v>
      </c>
      <c r="B115" t="s">
        <v>51</v>
      </c>
      <c r="C115">
        <v>6</v>
      </c>
      <c r="D115" t="s">
        <v>53</v>
      </c>
      <c r="E115">
        <v>0.3</v>
      </c>
      <c r="F115" t="s">
        <v>40</v>
      </c>
    </row>
    <row r="116" spans="1:6" ht="15" hidden="1" customHeight="1" x14ac:dyDescent="0.25">
      <c r="A116" t="s">
        <v>42</v>
      </c>
      <c r="B116" t="s">
        <v>51</v>
      </c>
      <c r="C116">
        <v>7</v>
      </c>
      <c r="D116" t="s">
        <v>56</v>
      </c>
      <c r="E116">
        <v>0</v>
      </c>
      <c r="F116" t="s">
        <v>40</v>
      </c>
    </row>
    <row r="117" spans="1:6" ht="15" hidden="1" customHeight="1" x14ac:dyDescent="0.25">
      <c r="A117" t="s">
        <v>42</v>
      </c>
      <c r="B117" t="s">
        <v>51</v>
      </c>
      <c r="C117">
        <v>8</v>
      </c>
      <c r="D117" t="s">
        <v>60</v>
      </c>
      <c r="E117">
        <v>0</v>
      </c>
      <c r="F117" t="s">
        <v>40</v>
      </c>
    </row>
    <row r="118" spans="1:6" ht="15" hidden="1" customHeight="1" x14ac:dyDescent="0.25">
      <c r="A118" t="s">
        <v>42</v>
      </c>
      <c r="B118" t="s">
        <v>51</v>
      </c>
      <c r="C118">
        <v>9</v>
      </c>
      <c r="D118" t="s">
        <v>63</v>
      </c>
      <c r="E118">
        <v>0.315</v>
      </c>
      <c r="F118" t="s">
        <v>40</v>
      </c>
    </row>
    <row r="119" spans="1:6" ht="15" hidden="1" customHeight="1" x14ac:dyDescent="0.25">
      <c r="A119" t="s">
        <v>42</v>
      </c>
      <c r="B119" t="s">
        <v>51</v>
      </c>
      <c r="C119">
        <v>10</v>
      </c>
      <c r="D119" t="s">
        <v>65</v>
      </c>
      <c r="E119">
        <v>0.2</v>
      </c>
      <c r="F119" t="s">
        <v>40</v>
      </c>
    </row>
    <row r="120" spans="1:6" ht="15" hidden="1" customHeight="1" x14ac:dyDescent="0.25">
      <c r="A120" t="s">
        <v>42</v>
      </c>
      <c r="B120" t="s">
        <v>51</v>
      </c>
      <c r="C120">
        <v>11</v>
      </c>
      <c r="D120" t="s">
        <v>67</v>
      </c>
      <c r="E120">
        <v>0</v>
      </c>
      <c r="F120" t="s">
        <v>40</v>
      </c>
    </row>
    <row r="121" spans="1:6" ht="15" hidden="1" customHeight="1" x14ac:dyDescent="0.25">
      <c r="A121" t="s">
        <v>42</v>
      </c>
      <c r="B121" t="s">
        <v>51</v>
      </c>
      <c r="C121">
        <v>12</v>
      </c>
      <c r="D121" t="s">
        <v>70</v>
      </c>
      <c r="E121">
        <v>0</v>
      </c>
      <c r="F121" t="s">
        <v>40</v>
      </c>
    </row>
    <row r="122" spans="1:6" ht="15" customHeight="1" x14ac:dyDescent="0.25">
      <c r="A122" t="s">
        <v>42</v>
      </c>
      <c r="B122" t="s">
        <v>55</v>
      </c>
      <c r="C122">
        <v>1</v>
      </c>
      <c r="D122" t="s">
        <v>35</v>
      </c>
      <c r="E122">
        <v>0</v>
      </c>
      <c r="F122" t="s">
        <v>40</v>
      </c>
    </row>
    <row r="123" spans="1:6" ht="15" hidden="1" customHeight="1" x14ac:dyDescent="0.25">
      <c r="A123" t="s">
        <v>42</v>
      </c>
      <c r="B123" t="s">
        <v>55</v>
      </c>
      <c r="C123">
        <v>2</v>
      </c>
      <c r="D123" t="s">
        <v>37</v>
      </c>
      <c r="E123">
        <v>4.9630000000000001</v>
      </c>
      <c r="F123" t="s">
        <v>40</v>
      </c>
    </row>
    <row r="124" spans="1:6" ht="15" hidden="1" customHeight="1" x14ac:dyDescent="0.25">
      <c r="A124" t="s">
        <v>42</v>
      </c>
      <c r="B124" t="s">
        <v>55</v>
      </c>
      <c r="C124">
        <v>3</v>
      </c>
      <c r="D124" t="s">
        <v>41</v>
      </c>
      <c r="E124">
        <v>19.62</v>
      </c>
      <c r="F124" t="s">
        <v>40</v>
      </c>
    </row>
    <row r="125" spans="1:6" ht="15" hidden="1" customHeight="1" x14ac:dyDescent="0.25">
      <c r="A125" t="s">
        <v>42</v>
      </c>
      <c r="B125" t="s">
        <v>55</v>
      </c>
      <c r="C125">
        <v>4</v>
      </c>
      <c r="D125" t="s">
        <v>45</v>
      </c>
      <c r="E125">
        <v>1.96</v>
      </c>
      <c r="F125" t="s">
        <v>40</v>
      </c>
    </row>
    <row r="126" spans="1:6" ht="15" hidden="1" customHeight="1" x14ac:dyDescent="0.25">
      <c r="A126" t="s">
        <v>42</v>
      </c>
      <c r="B126" t="s">
        <v>55</v>
      </c>
      <c r="C126">
        <v>5</v>
      </c>
      <c r="D126" t="s">
        <v>7</v>
      </c>
      <c r="E126">
        <v>9.4600000000000009</v>
      </c>
      <c r="F126" t="s">
        <v>40</v>
      </c>
    </row>
    <row r="127" spans="1:6" ht="15" hidden="1" customHeight="1" x14ac:dyDescent="0.25">
      <c r="A127" t="s">
        <v>42</v>
      </c>
      <c r="B127" t="s">
        <v>55</v>
      </c>
      <c r="C127">
        <v>6</v>
      </c>
      <c r="D127" t="s">
        <v>53</v>
      </c>
      <c r="E127">
        <v>5.07</v>
      </c>
      <c r="F127" t="s">
        <v>40</v>
      </c>
    </row>
    <row r="128" spans="1:6" ht="15" hidden="1" customHeight="1" x14ac:dyDescent="0.25">
      <c r="A128" t="s">
        <v>42</v>
      </c>
      <c r="B128" t="s">
        <v>55</v>
      </c>
      <c r="C128">
        <v>7</v>
      </c>
      <c r="D128" t="s">
        <v>56</v>
      </c>
      <c r="E128">
        <v>7.6</v>
      </c>
      <c r="F128" t="s">
        <v>40</v>
      </c>
    </row>
    <row r="129" spans="1:6" ht="15" hidden="1" customHeight="1" x14ac:dyDescent="0.25">
      <c r="A129" t="s">
        <v>42</v>
      </c>
      <c r="B129" t="s">
        <v>55</v>
      </c>
      <c r="C129">
        <v>8</v>
      </c>
      <c r="D129" t="s">
        <v>60</v>
      </c>
      <c r="E129">
        <v>7.9</v>
      </c>
      <c r="F129" t="s">
        <v>40</v>
      </c>
    </row>
    <row r="130" spans="1:6" ht="15" hidden="1" customHeight="1" x14ac:dyDescent="0.25">
      <c r="A130" t="s">
        <v>42</v>
      </c>
      <c r="B130" t="s">
        <v>55</v>
      </c>
      <c r="C130">
        <v>9</v>
      </c>
      <c r="D130" t="s">
        <v>63</v>
      </c>
      <c r="E130">
        <v>1.4279999999999999</v>
      </c>
      <c r="F130" t="s">
        <v>40</v>
      </c>
    </row>
    <row r="131" spans="1:6" ht="15" hidden="1" customHeight="1" x14ac:dyDescent="0.25">
      <c r="A131" t="s">
        <v>42</v>
      </c>
      <c r="B131" t="s">
        <v>55</v>
      </c>
      <c r="C131">
        <v>10</v>
      </c>
      <c r="D131" t="s">
        <v>65</v>
      </c>
      <c r="E131">
        <v>18.399999999999999</v>
      </c>
      <c r="F131" t="s">
        <v>40</v>
      </c>
    </row>
    <row r="132" spans="1:6" ht="15" hidden="1" customHeight="1" x14ac:dyDescent="0.25">
      <c r="A132" t="s">
        <v>42</v>
      </c>
      <c r="B132" t="s">
        <v>55</v>
      </c>
      <c r="C132">
        <v>11</v>
      </c>
      <c r="D132" t="s">
        <v>67</v>
      </c>
      <c r="E132">
        <v>0</v>
      </c>
      <c r="F132" t="s">
        <v>40</v>
      </c>
    </row>
    <row r="133" spans="1:6" ht="15" hidden="1" customHeight="1" x14ac:dyDescent="0.25">
      <c r="A133" t="s">
        <v>42</v>
      </c>
      <c r="B133" t="s">
        <v>55</v>
      </c>
      <c r="C133">
        <v>12</v>
      </c>
      <c r="D133" t="s">
        <v>70</v>
      </c>
      <c r="E133">
        <v>7.85</v>
      </c>
      <c r="F133" t="s">
        <v>40</v>
      </c>
    </row>
    <row r="134" spans="1:6" ht="15" customHeight="1" x14ac:dyDescent="0.25">
      <c r="A134" t="s">
        <v>42</v>
      </c>
      <c r="B134" t="s">
        <v>58</v>
      </c>
      <c r="C134">
        <v>1</v>
      </c>
      <c r="D134" t="s">
        <v>35</v>
      </c>
      <c r="E134">
        <v>0.82</v>
      </c>
      <c r="F134" t="s">
        <v>40</v>
      </c>
    </row>
    <row r="135" spans="1:6" ht="15" hidden="1" customHeight="1" x14ac:dyDescent="0.25">
      <c r="A135" t="s">
        <v>42</v>
      </c>
      <c r="B135" t="s">
        <v>58</v>
      </c>
      <c r="C135">
        <v>2</v>
      </c>
      <c r="D135" t="s">
        <v>37</v>
      </c>
      <c r="E135">
        <v>3.76</v>
      </c>
      <c r="F135" t="s">
        <v>40</v>
      </c>
    </row>
    <row r="136" spans="1:6" ht="15" hidden="1" customHeight="1" x14ac:dyDescent="0.25">
      <c r="A136" t="s">
        <v>42</v>
      </c>
      <c r="B136" t="s">
        <v>58</v>
      </c>
      <c r="C136">
        <v>3</v>
      </c>
      <c r="D136" t="s">
        <v>41</v>
      </c>
      <c r="E136">
        <v>6.2960000000000003</v>
      </c>
      <c r="F136" t="s">
        <v>40</v>
      </c>
    </row>
    <row r="137" spans="1:6" ht="15" hidden="1" customHeight="1" x14ac:dyDescent="0.25">
      <c r="A137" t="s">
        <v>42</v>
      </c>
      <c r="B137" t="s">
        <v>58</v>
      </c>
      <c r="C137">
        <v>4</v>
      </c>
      <c r="D137" t="s">
        <v>45</v>
      </c>
      <c r="E137">
        <v>2.1280000000000001</v>
      </c>
      <c r="F137" t="s">
        <v>40</v>
      </c>
    </row>
    <row r="138" spans="1:6" ht="15" hidden="1" customHeight="1" x14ac:dyDescent="0.25">
      <c r="A138" t="s">
        <v>42</v>
      </c>
      <c r="B138" t="s">
        <v>58</v>
      </c>
      <c r="C138">
        <v>5</v>
      </c>
      <c r="D138" t="s">
        <v>7</v>
      </c>
      <c r="E138">
        <v>1.94</v>
      </c>
      <c r="F138" t="s">
        <v>40</v>
      </c>
    </row>
    <row r="139" spans="1:6" ht="15" hidden="1" customHeight="1" x14ac:dyDescent="0.25">
      <c r="A139" t="s">
        <v>42</v>
      </c>
      <c r="B139" t="s">
        <v>58</v>
      </c>
      <c r="C139">
        <v>6</v>
      </c>
      <c r="D139" t="s">
        <v>53</v>
      </c>
      <c r="E139">
        <v>2.8719999999999999</v>
      </c>
      <c r="F139" t="s">
        <v>40</v>
      </c>
    </row>
    <row r="140" spans="1:6" ht="15" hidden="1" customHeight="1" x14ac:dyDescent="0.25">
      <c r="A140" t="s">
        <v>42</v>
      </c>
      <c r="B140" t="s">
        <v>58</v>
      </c>
      <c r="C140">
        <v>7</v>
      </c>
      <c r="D140" t="s">
        <v>56</v>
      </c>
      <c r="E140">
        <v>0.89200000000000002</v>
      </c>
      <c r="F140" t="s">
        <v>40</v>
      </c>
    </row>
    <row r="141" spans="1:6" ht="15" hidden="1" customHeight="1" x14ac:dyDescent="0.25">
      <c r="A141" t="s">
        <v>42</v>
      </c>
      <c r="B141" t="s">
        <v>58</v>
      </c>
      <c r="C141">
        <v>8</v>
      </c>
      <c r="D141" t="s">
        <v>60</v>
      </c>
      <c r="E141">
        <v>0.91200000000000003</v>
      </c>
      <c r="F141" t="s">
        <v>40</v>
      </c>
    </row>
    <row r="142" spans="1:6" ht="15" hidden="1" customHeight="1" x14ac:dyDescent="0.25">
      <c r="A142" t="s">
        <v>42</v>
      </c>
      <c r="B142" t="s">
        <v>58</v>
      </c>
      <c r="C142">
        <v>9</v>
      </c>
      <c r="D142" t="s">
        <v>63</v>
      </c>
      <c r="E142">
        <v>7.6920000000000002</v>
      </c>
      <c r="F142" t="s">
        <v>40</v>
      </c>
    </row>
    <row r="143" spans="1:6" ht="15" hidden="1" customHeight="1" x14ac:dyDescent="0.25">
      <c r="A143" t="s">
        <v>42</v>
      </c>
      <c r="B143" t="s">
        <v>58</v>
      </c>
      <c r="C143">
        <v>10</v>
      </c>
      <c r="D143" t="s">
        <v>65</v>
      </c>
      <c r="E143">
        <v>0.81599999999999995</v>
      </c>
      <c r="F143" t="s">
        <v>40</v>
      </c>
    </row>
    <row r="144" spans="1:6" ht="15" hidden="1" customHeight="1" x14ac:dyDescent="0.25">
      <c r="A144" t="s">
        <v>42</v>
      </c>
      <c r="B144" t="s">
        <v>58</v>
      </c>
      <c r="C144">
        <v>11</v>
      </c>
      <c r="D144" t="s">
        <v>67</v>
      </c>
      <c r="E144">
        <v>0.89200000000000002</v>
      </c>
      <c r="F144" t="s">
        <v>40</v>
      </c>
    </row>
    <row r="145" spans="1:6" ht="15" hidden="1" customHeight="1" x14ac:dyDescent="0.25">
      <c r="A145" t="s">
        <v>42</v>
      </c>
      <c r="B145" t="s">
        <v>58</v>
      </c>
      <c r="C145">
        <v>12</v>
      </c>
      <c r="D145" t="s">
        <v>70</v>
      </c>
      <c r="E145">
        <v>2.5720000000000001</v>
      </c>
      <c r="F145" t="s">
        <v>40</v>
      </c>
    </row>
    <row r="146" spans="1:6" ht="15" customHeight="1" x14ac:dyDescent="0.25">
      <c r="A146" t="s">
        <v>46</v>
      </c>
      <c r="B146" t="s">
        <v>39</v>
      </c>
      <c r="C146">
        <v>1</v>
      </c>
      <c r="D146" t="s">
        <v>35</v>
      </c>
      <c r="E146">
        <v>0</v>
      </c>
      <c r="F146" t="s">
        <v>40</v>
      </c>
    </row>
    <row r="147" spans="1:6" ht="15" hidden="1" customHeight="1" x14ac:dyDescent="0.25">
      <c r="A147" t="s">
        <v>46</v>
      </c>
      <c r="B147" t="s">
        <v>39</v>
      </c>
      <c r="C147">
        <v>2</v>
      </c>
      <c r="D147" t="s">
        <v>37</v>
      </c>
      <c r="E147">
        <v>0</v>
      </c>
      <c r="F147" t="s">
        <v>40</v>
      </c>
    </row>
    <row r="148" spans="1:6" ht="15" hidden="1" customHeight="1" x14ac:dyDescent="0.25">
      <c r="A148" t="s">
        <v>46</v>
      </c>
      <c r="B148" t="s">
        <v>39</v>
      </c>
      <c r="C148">
        <v>3</v>
      </c>
      <c r="D148" t="s">
        <v>41</v>
      </c>
      <c r="E148">
        <v>0</v>
      </c>
      <c r="F148" t="s">
        <v>40</v>
      </c>
    </row>
    <row r="149" spans="1:6" ht="15" hidden="1" customHeight="1" x14ac:dyDescent="0.25">
      <c r="A149" t="s">
        <v>46</v>
      </c>
      <c r="B149" t="s">
        <v>39</v>
      </c>
      <c r="C149">
        <v>4</v>
      </c>
      <c r="D149" t="s">
        <v>45</v>
      </c>
      <c r="E149">
        <v>0</v>
      </c>
      <c r="F149" t="s">
        <v>40</v>
      </c>
    </row>
    <row r="150" spans="1:6" ht="15" hidden="1" customHeight="1" x14ac:dyDescent="0.25">
      <c r="A150" t="s">
        <v>46</v>
      </c>
      <c r="B150" t="s">
        <v>39</v>
      </c>
      <c r="C150">
        <v>5</v>
      </c>
      <c r="D150" t="s">
        <v>7</v>
      </c>
      <c r="E150">
        <v>0</v>
      </c>
      <c r="F150" t="s">
        <v>40</v>
      </c>
    </row>
    <row r="151" spans="1:6" ht="15" hidden="1" customHeight="1" x14ac:dyDescent="0.25">
      <c r="A151" t="s">
        <v>46</v>
      </c>
      <c r="B151" t="s">
        <v>39</v>
      </c>
      <c r="C151">
        <v>6</v>
      </c>
      <c r="D151" t="s">
        <v>53</v>
      </c>
      <c r="E151">
        <v>0</v>
      </c>
      <c r="F151" t="s">
        <v>40</v>
      </c>
    </row>
    <row r="152" spans="1:6" ht="15" hidden="1" customHeight="1" x14ac:dyDescent="0.25">
      <c r="A152" t="s">
        <v>46</v>
      </c>
      <c r="B152" t="s">
        <v>39</v>
      </c>
      <c r="C152">
        <v>7</v>
      </c>
      <c r="D152" t="s">
        <v>56</v>
      </c>
      <c r="E152">
        <v>0</v>
      </c>
      <c r="F152" t="s">
        <v>40</v>
      </c>
    </row>
    <row r="153" spans="1:6" ht="15" hidden="1" customHeight="1" x14ac:dyDescent="0.25">
      <c r="A153" t="s">
        <v>46</v>
      </c>
      <c r="B153" t="s">
        <v>39</v>
      </c>
      <c r="C153">
        <v>8</v>
      </c>
      <c r="D153" t="s">
        <v>60</v>
      </c>
      <c r="E153">
        <v>0</v>
      </c>
      <c r="F153" t="s">
        <v>40</v>
      </c>
    </row>
    <row r="154" spans="1:6" ht="15" hidden="1" customHeight="1" x14ac:dyDescent="0.25">
      <c r="A154" t="s">
        <v>46</v>
      </c>
      <c r="B154" t="s">
        <v>39</v>
      </c>
      <c r="C154">
        <v>9</v>
      </c>
      <c r="D154" t="s">
        <v>63</v>
      </c>
      <c r="E154">
        <v>0</v>
      </c>
      <c r="F154" t="s">
        <v>40</v>
      </c>
    </row>
    <row r="155" spans="1:6" ht="15" hidden="1" customHeight="1" x14ac:dyDescent="0.25">
      <c r="A155" t="s">
        <v>46</v>
      </c>
      <c r="B155" t="s">
        <v>39</v>
      </c>
      <c r="C155">
        <v>10</v>
      </c>
      <c r="D155" t="s">
        <v>65</v>
      </c>
      <c r="E155">
        <v>0</v>
      </c>
      <c r="F155" t="s">
        <v>40</v>
      </c>
    </row>
    <row r="156" spans="1:6" ht="15" hidden="1" customHeight="1" x14ac:dyDescent="0.25">
      <c r="A156" t="s">
        <v>46</v>
      </c>
      <c r="B156" t="s">
        <v>39</v>
      </c>
      <c r="C156">
        <v>11</v>
      </c>
      <c r="D156" t="s">
        <v>67</v>
      </c>
      <c r="E156">
        <v>0</v>
      </c>
      <c r="F156" t="s">
        <v>40</v>
      </c>
    </row>
    <row r="157" spans="1:6" ht="15" hidden="1" customHeight="1" x14ac:dyDescent="0.25">
      <c r="A157" t="s">
        <v>46</v>
      </c>
      <c r="B157" t="s">
        <v>39</v>
      </c>
      <c r="C157">
        <v>12</v>
      </c>
      <c r="D157" t="s">
        <v>70</v>
      </c>
      <c r="E157">
        <v>0</v>
      </c>
      <c r="F157" t="s">
        <v>40</v>
      </c>
    </row>
    <row r="158" spans="1:6" ht="15" customHeight="1" x14ac:dyDescent="0.25">
      <c r="A158" t="s">
        <v>46</v>
      </c>
      <c r="B158" t="s">
        <v>43</v>
      </c>
      <c r="C158">
        <v>1</v>
      </c>
      <c r="D158" t="s">
        <v>35</v>
      </c>
      <c r="E158">
        <v>42.899259999999998</v>
      </c>
      <c r="F158" t="s">
        <v>40</v>
      </c>
    </row>
    <row r="159" spans="1:6" ht="15" hidden="1" customHeight="1" x14ac:dyDescent="0.25">
      <c r="A159" t="s">
        <v>46</v>
      </c>
      <c r="B159" t="s">
        <v>43</v>
      </c>
      <c r="C159">
        <v>2</v>
      </c>
      <c r="D159" t="s">
        <v>37</v>
      </c>
      <c r="E159">
        <v>54.694040000000001</v>
      </c>
      <c r="F159" t="s">
        <v>40</v>
      </c>
    </row>
    <row r="160" spans="1:6" ht="15" hidden="1" customHeight="1" x14ac:dyDescent="0.25">
      <c r="A160" t="s">
        <v>46</v>
      </c>
      <c r="B160" t="s">
        <v>43</v>
      </c>
      <c r="C160">
        <v>3</v>
      </c>
      <c r="D160" t="s">
        <v>41</v>
      </c>
      <c r="E160">
        <v>212.64051000000001</v>
      </c>
      <c r="F160" t="s">
        <v>40</v>
      </c>
    </row>
    <row r="161" spans="1:6" ht="15" hidden="1" customHeight="1" x14ac:dyDescent="0.25">
      <c r="A161" t="s">
        <v>46</v>
      </c>
      <c r="B161" t="s">
        <v>43</v>
      </c>
      <c r="C161">
        <v>4</v>
      </c>
      <c r="D161" t="s">
        <v>45</v>
      </c>
      <c r="E161">
        <v>77.690340000000006</v>
      </c>
      <c r="F161" t="s">
        <v>40</v>
      </c>
    </row>
    <row r="162" spans="1:6" ht="15" hidden="1" customHeight="1" x14ac:dyDescent="0.25">
      <c r="A162" t="s">
        <v>46</v>
      </c>
      <c r="B162" t="s">
        <v>43</v>
      </c>
      <c r="C162">
        <v>5</v>
      </c>
      <c r="D162" t="s">
        <v>7</v>
      </c>
      <c r="E162">
        <v>72.984920000000002</v>
      </c>
      <c r="F162" t="s">
        <v>40</v>
      </c>
    </row>
    <row r="163" spans="1:6" ht="15" hidden="1" customHeight="1" x14ac:dyDescent="0.25">
      <c r="A163" t="s">
        <v>46</v>
      </c>
      <c r="B163" t="s">
        <v>43</v>
      </c>
      <c r="C163">
        <v>6</v>
      </c>
      <c r="D163" t="s">
        <v>53</v>
      </c>
      <c r="E163">
        <v>93.499610000000004</v>
      </c>
      <c r="F163" t="s">
        <v>40</v>
      </c>
    </row>
    <row r="164" spans="1:6" ht="15" hidden="1" customHeight="1" x14ac:dyDescent="0.25">
      <c r="A164" t="s">
        <v>46</v>
      </c>
      <c r="B164" t="s">
        <v>43</v>
      </c>
      <c r="C164">
        <v>7</v>
      </c>
      <c r="D164" t="s">
        <v>56</v>
      </c>
      <c r="E164">
        <v>104.77751000000001</v>
      </c>
      <c r="F164" t="s">
        <v>40</v>
      </c>
    </row>
    <row r="165" spans="1:6" ht="15" hidden="1" customHeight="1" x14ac:dyDescent="0.25">
      <c r="A165" t="s">
        <v>46</v>
      </c>
      <c r="B165" t="s">
        <v>43</v>
      </c>
      <c r="C165">
        <v>8</v>
      </c>
      <c r="D165" t="s">
        <v>60</v>
      </c>
      <c r="E165">
        <v>33.042639999999999</v>
      </c>
      <c r="F165" t="s">
        <v>40</v>
      </c>
    </row>
    <row r="166" spans="1:6" ht="15" hidden="1" customHeight="1" x14ac:dyDescent="0.25">
      <c r="A166" t="s">
        <v>46</v>
      </c>
      <c r="B166" t="s">
        <v>43</v>
      </c>
      <c r="C166">
        <v>9</v>
      </c>
      <c r="D166" t="s">
        <v>63</v>
      </c>
      <c r="E166">
        <v>70.223939999999999</v>
      </c>
      <c r="F166" t="s">
        <v>40</v>
      </c>
    </row>
    <row r="167" spans="1:6" ht="15" hidden="1" customHeight="1" x14ac:dyDescent="0.25">
      <c r="A167" t="s">
        <v>46</v>
      </c>
      <c r="B167" t="s">
        <v>43</v>
      </c>
      <c r="C167">
        <v>10</v>
      </c>
      <c r="D167" t="s">
        <v>65</v>
      </c>
      <c r="E167">
        <v>69.359560000000002</v>
      </c>
      <c r="F167" t="s">
        <v>40</v>
      </c>
    </row>
    <row r="168" spans="1:6" ht="15" hidden="1" customHeight="1" x14ac:dyDescent="0.25">
      <c r="A168" t="s">
        <v>46</v>
      </c>
      <c r="B168" t="s">
        <v>43</v>
      </c>
      <c r="C168">
        <v>11</v>
      </c>
      <c r="D168" t="s">
        <v>67</v>
      </c>
      <c r="E168">
        <v>37.84686</v>
      </c>
      <c r="F168" t="s">
        <v>40</v>
      </c>
    </row>
    <row r="169" spans="1:6" ht="15" hidden="1" customHeight="1" x14ac:dyDescent="0.25">
      <c r="A169" t="s">
        <v>46</v>
      </c>
      <c r="B169" t="s">
        <v>43</v>
      </c>
      <c r="C169">
        <v>12</v>
      </c>
      <c r="D169" t="s">
        <v>70</v>
      </c>
      <c r="E169">
        <v>46.011310000000002</v>
      </c>
      <c r="F169" t="s">
        <v>40</v>
      </c>
    </row>
    <row r="170" spans="1:6" ht="15" customHeight="1" x14ac:dyDescent="0.25">
      <c r="A170" t="s">
        <v>46</v>
      </c>
      <c r="B170" t="s">
        <v>47</v>
      </c>
      <c r="C170">
        <v>1</v>
      </c>
      <c r="D170" t="s">
        <v>35</v>
      </c>
      <c r="E170">
        <v>1.542</v>
      </c>
      <c r="F170" t="s">
        <v>40</v>
      </c>
    </row>
    <row r="171" spans="1:6" ht="15" hidden="1" customHeight="1" x14ac:dyDescent="0.25">
      <c r="A171" t="s">
        <v>46</v>
      </c>
      <c r="B171" t="s">
        <v>47</v>
      </c>
      <c r="C171">
        <v>2</v>
      </c>
      <c r="D171" t="s">
        <v>37</v>
      </c>
      <c r="E171">
        <v>1.4575</v>
      </c>
      <c r="F171" t="s">
        <v>40</v>
      </c>
    </row>
    <row r="172" spans="1:6" ht="15" hidden="1" customHeight="1" x14ac:dyDescent="0.25">
      <c r="A172" t="s">
        <v>46</v>
      </c>
      <c r="B172" t="s">
        <v>47</v>
      </c>
      <c r="C172">
        <v>3</v>
      </c>
      <c r="D172" t="s">
        <v>41</v>
      </c>
      <c r="E172">
        <v>4.6914999999999996</v>
      </c>
      <c r="F172" t="s">
        <v>40</v>
      </c>
    </row>
    <row r="173" spans="1:6" ht="15" hidden="1" customHeight="1" x14ac:dyDescent="0.25">
      <c r="A173" t="s">
        <v>46</v>
      </c>
      <c r="B173" t="s">
        <v>47</v>
      </c>
      <c r="C173">
        <v>4</v>
      </c>
      <c r="D173" t="s">
        <v>45</v>
      </c>
      <c r="E173">
        <v>2.8624999999999998</v>
      </c>
      <c r="F173" t="s">
        <v>40</v>
      </c>
    </row>
    <row r="174" spans="1:6" ht="15" hidden="1" customHeight="1" x14ac:dyDescent="0.25">
      <c r="A174" t="s">
        <v>46</v>
      </c>
      <c r="B174" t="s">
        <v>47</v>
      </c>
      <c r="C174">
        <v>5</v>
      </c>
      <c r="D174" t="s">
        <v>7</v>
      </c>
      <c r="E174">
        <v>1.7649999999999999</v>
      </c>
      <c r="F174" t="s">
        <v>40</v>
      </c>
    </row>
    <row r="175" spans="1:6" ht="15" hidden="1" customHeight="1" x14ac:dyDescent="0.25">
      <c r="A175" t="s">
        <v>46</v>
      </c>
      <c r="B175" t="s">
        <v>47</v>
      </c>
      <c r="C175">
        <v>6</v>
      </c>
      <c r="D175" t="s">
        <v>53</v>
      </c>
      <c r="E175">
        <v>4.3324999999999996</v>
      </c>
      <c r="F175" t="s">
        <v>40</v>
      </c>
    </row>
    <row r="176" spans="1:6" ht="15" hidden="1" customHeight="1" x14ac:dyDescent="0.25">
      <c r="A176" t="s">
        <v>46</v>
      </c>
      <c r="B176" t="s">
        <v>47</v>
      </c>
      <c r="C176">
        <v>7</v>
      </c>
      <c r="D176" t="s">
        <v>56</v>
      </c>
      <c r="E176">
        <v>7.8010000000000002</v>
      </c>
      <c r="F176" t="s">
        <v>40</v>
      </c>
    </row>
    <row r="177" spans="1:6" ht="15" hidden="1" customHeight="1" x14ac:dyDescent="0.25">
      <c r="A177" t="s">
        <v>46</v>
      </c>
      <c r="B177" t="s">
        <v>47</v>
      </c>
      <c r="C177">
        <v>8</v>
      </c>
      <c r="D177" t="s">
        <v>60</v>
      </c>
      <c r="E177">
        <v>1.3274999999999999</v>
      </c>
      <c r="F177" t="s">
        <v>40</v>
      </c>
    </row>
    <row r="178" spans="1:6" ht="15" hidden="1" customHeight="1" x14ac:dyDescent="0.25">
      <c r="A178" t="s">
        <v>46</v>
      </c>
      <c r="B178" t="s">
        <v>47</v>
      </c>
      <c r="C178">
        <v>9</v>
      </c>
      <c r="D178" t="s">
        <v>63</v>
      </c>
      <c r="E178">
        <v>6.3739999999999997</v>
      </c>
      <c r="F178" t="s">
        <v>40</v>
      </c>
    </row>
    <row r="179" spans="1:6" ht="15" hidden="1" customHeight="1" x14ac:dyDescent="0.25">
      <c r="A179" t="s">
        <v>46</v>
      </c>
      <c r="B179" t="s">
        <v>47</v>
      </c>
      <c r="C179">
        <v>10</v>
      </c>
      <c r="D179" t="s">
        <v>65</v>
      </c>
      <c r="E179">
        <v>3.0225</v>
      </c>
      <c r="F179" t="s">
        <v>40</v>
      </c>
    </row>
    <row r="180" spans="1:6" ht="15" hidden="1" customHeight="1" x14ac:dyDescent="0.25">
      <c r="A180" t="s">
        <v>46</v>
      </c>
      <c r="B180" t="s">
        <v>47</v>
      </c>
      <c r="C180">
        <v>11</v>
      </c>
      <c r="D180" t="s">
        <v>67</v>
      </c>
      <c r="E180">
        <v>12.404999999999999</v>
      </c>
      <c r="F180" t="s">
        <v>40</v>
      </c>
    </row>
    <row r="181" spans="1:6" ht="15" hidden="1" customHeight="1" x14ac:dyDescent="0.25">
      <c r="A181" t="s">
        <v>46</v>
      </c>
      <c r="B181" t="s">
        <v>47</v>
      </c>
      <c r="C181">
        <v>12</v>
      </c>
      <c r="D181" t="s">
        <v>70</v>
      </c>
      <c r="E181">
        <v>3.7</v>
      </c>
      <c r="F181" t="s">
        <v>40</v>
      </c>
    </row>
    <row r="182" spans="1:6" ht="15" customHeight="1" x14ac:dyDescent="0.25">
      <c r="A182" t="s">
        <v>46</v>
      </c>
      <c r="B182" t="s">
        <v>51</v>
      </c>
      <c r="C182">
        <v>1</v>
      </c>
      <c r="D182" t="s">
        <v>35</v>
      </c>
      <c r="E182">
        <v>4.7765000000000004</v>
      </c>
      <c r="F182" t="s">
        <v>40</v>
      </c>
    </row>
    <row r="183" spans="1:6" ht="15" hidden="1" customHeight="1" x14ac:dyDescent="0.25">
      <c r="A183" t="s">
        <v>46</v>
      </c>
      <c r="B183" t="s">
        <v>51</v>
      </c>
      <c r="C183">
        <v>2</v>
      </c>
      <c r="D183" t="s">
        <v>37</v>
      </c>
      <c r="E183">
        <v>5.74</v>
      </c>
      <c r="F183" t="s">
        <v>40</v>
      </c>
    </row>
    <row r="184" spans="1:6" ht="15" hidden="1" customHeight="1" x14ac:dyDescent="0.25">
      <c r="A184" t="s">
        <v>46</v>
      </c>
      <c r="B184" t="s">
        <v>51</v>
      </c>
      <c r="C184">
        <v>3</v>
      </c>
      <c r="D184" t="s">
        <v>41</v>
      </c>
      <c r="E184">
        <v>7.1653000000000002</v>
      </c>
      <c r="F184" t="s">
        <v>40</v>
      </c>
    </row>
    <row r="185" spans="1:6" ht="15" hidden="1" customHeight="1" x14ac:dyDescent="0.25">
      <c r="A185" t="s">
        <v>46</v>
      </c>
      <c r="B185" t="s">
        <v>51</v>
      </c>
      <c r="C185">
        <v>4</v>
      </c>
      <c r="D185" t="s">
        <v>45</v>
      </c>
      <c r="E185">
        <v>7.4169</v>
      </c>
      <c r="F185" t="s">
        <v>40</v>
      </c>
    </row>
    <row r="186" spans="1:6" ht="15" hidden="1" customHeight="1" x14ac:dyDescent="0.25">
      <c r="A186" t="s">
        <v>46</v>
      </c>
      <c r="B186" t="s">
        <v>51</v>
      </c>
      <c r="C186">
        <v>5</v>
      </c>
      <c r="D186" t="s">
        <v>7</v>
      </c>
      <c r="E186">
        <v>0.59860000000000002</v>
      </c>
      <c r="F186" t="s">
        <v>40</v>
      </c>
    </row>
    <row r="187" spans="1:6" ht="15" hidden="1" customHeight="1" x14ac:dyDescent="0.25">
      <c r="A187" t="s">
        <v>46</v>
      </c>
      <c r="B187" t="s">
        <v>51</v>
      </c>
      <c r="C187">
        <v>6</v>
      </c>
      <c r="D187" t="s">
        <v>53</v>
      </c>
      <c r="E187">
        <v>2.6959499999999998</v>
      </c>
      <c r="F187" t="s">
        <v>40</v>
      </c>
    </row>
    <row r="188" spans="1:6" ht="15" hidden="1" customHeight="1" x14ac:dyDescent="0.25">
      <c r="A188" t="s">
        <v>46</v>
      </c>
      <c r="B188" t="s">
        <v>51</v>
      </c>
      <c r="C188">
        <v>7</v>
      </c>
      <c r="D188" t="s">
        <v>56</v>
      </c>
      <c r="E188">
        <v>1.3161</v>
      </c>
      <c r="F188" t="s">
        <v>40</v>
      </c>
    </row>
    <row r="189" spans="1:6" ht="15" hidden="1" customHeight="1" x14ac:dyDescent="0.25">
      <c r="A189" t="s">
        <v>46</v>
      </c>
      <c r="B189" t="s">
        <v>51</v>
      </c>
      <c r="C189">
        <v>8</v>
      </c>
      <c r="D189" t="s">
        <v>60</v>
      </c>
      <c r="E189">
        <v>0.59860000000000002</v>
      </c>
      <c r="F189" t="s">
        <v>40</v>
      </c>
    </row>
    <row r="190" spans="1:6" ht="15" hidden="1" customHeight="1" x14ac:dyDescent="0.25">
      <c r="A190" t="s">
        <v>46</v>
      </c>
      <c r="B190" t="s">
        <v>51</v>
      </c>
      <c r="C190">
        <v>9</v>
      </c>
      <c r="D190" t="s">
        <v>63</v>
      </c>
      <c r="E190">
        <v>2.7511000000000001</v>
      </c>
      <c r="F190" t="s">
        <v>40</v>
      </c>
    </row>
    <row r="191" spans="1:6" ht="15" hidden="1" customHeight="1" x14ac:dyDescent="0.25">
      <c r="A191" t="s">
        <v>46</v>
      </c>
      <c r="B191" t="s">
        <v>51</v>
      </c>
      <c r="C191">
        <v>10</v>
      </c>
      <c r="D191" t="s">
        <v>65</v>
      </c>
      <c r="E191">
        <v>1.4350000000000001</v>
      </c>
      <c r="F191" t="s">
        <v>40</v>
      </c>
    </row>
    <row r="192" spans="1:6" ht="15" hidden="1" customHeight="1" x14ac:dyDescent="0.25">
      <c r="A192" t="s">
        <v>46</v>
      </c>
      <c r="B192" t="s">
        <v>51</v>
      </c>
      <c r="C192">
        <v>11</v>
      </c>
      <c r="D192" t="s">
        <v>67</v>
      </c>
      <c r="E192">
        <v>1.5559499999999999</v>
      </c>
      <c r="F192" t="s">
        <v>40</v>
      </c>
    </row>
    <row r="193" spans="1:6" ht="15" hidden="1" customHeight="1" x14ac:dyDescent="0.25">
      <c r="A193" t="s">
        <v>46</v>
      </c>
      <c r="B193" t="s">
        <v>51</v>
      </c>
      <c r="C193">
        <v>12</v>
      </c>
      <c r="D193" t="s">
        <v>70</v>
      </c>
      <c r="E193">
        <v>0</v>
      </c>
      <c r="F193" t="s">
        <v>40</v>
      </c>
    </row>
    <row r="194" spans="1:6" ht="15" customHeight="1" x14ac:dyDescent="0.25">
      <c r="A194" t="s">
        <v>46</v>
      </c>
      <c r="B194" t="s">
        <v>55</v>
      </c>
      <c r="C194">
        <v>1</v>
      </c>
      <c r="D194" t="s">
        <v>35</v>
      </c>
      <c r="E194">
        <v>0.72</v>
      </c>
      <c r="F194" t="s">
        <v>40</v>
      </c>
    </row>
    <row r="195" spans="1:6" ht="15" hidden="1" customHeight="1" x14ac:dyDescent="0.25">
      <c r="A195" t="s">
        <v>46</v>
      </c>
      <c r="B195" t="s">
        <v>55</v>
      </c>
      <c r="C195">
        <v>2</v>
      </c>
      <c r="D195" t="s">
        <v>37</v>
      </c>
      <c r="E195">
        <v>0</v>
      </c>
      <c r="F195" t="s">
        <v>40</v>
      </c>
    </row>
    <row r="196" spans="1:6" ht="15" hidden="1" customHeight="1" x14ac:dyDescent="0.25">
      <c r="A196" t="s">
        <v>46</v>
      </c>
      <c r="B196" t="s">
        <v>55</v>
      </c>
      <c r="C196">
        <v>3</v>
      </c>
      <c r="D196" t="s">
        <v>41</v>
      </c>
      <c r="E196">
        <v>1.83</v>
      </c>
      <c r="F196" t="s">
        <v>40</v>
      </c>
    </row>
    <row r="197" spans="1:6" ht="15" hidden="1" customHeight="1" x14ac:dyDescent="0.25">
      <c r="A197" t="s">
        <v>46</v>
      </c>
      <c r="B197" t="s">
        <v>55</v>
      </c>
      <c r="C197">
        <v>4</v>
      </c>
      <c r="D197" t="s">
        <v>45</v>
      </c>
      <c r="E197">
        <v>0.61499999999999999</v>
      </c>
      <c r="F197" t="s">
        <v>40</v>
      </c>
    </row>
    <row r="198" spans="1:6" ht="15" hidden="1" customHeight="1" x14ac:dyDescent="0.25">
      <c r="A198" t="s">
        <v>46</v>
      </c>
      <c r="B198" t="s">
        <v>55</v>
      </c>
      <c r="C198">
        <v>5</v>
      </c>
      <c r="D198" t="s">
        <v>7</v>
      </c>
      <c r="E198">
        <v>2.5446499999999999</v>
      </c>
      <c r="F198" t="s">
        <v>40</v>
      </c>
    </row>
    <row r="199" spans="1:6" ht="15" hidden="1" customHeight="1" x14ac:dyDescent="0.25">
      <c r="A199" t="s">
        <v>46</v>
      </c>
      <c r="B199" t="s">
        <v>55</v>
      </c>
      <c r="C199">
        <v>6</v>
      </c>
      <c r="D199" t="s">
        <v>53</v>
      </c>
      <c r="E199">
        <v>0.25069999999999998</v>
      </c>
      <c r="F199" t="s">
        <v>40</v>
      </c>
    </row>
    <row r="200" spans="1:6" ht="15" hidden="1" customHeight="1" x14ac:dyDescent="0.25">
      <c r="A200" t="s">
        <v>46</v>
      </c>
      <c r="B200" t="s">
        <v>55</v>
      </c>
      <c r="C200">
        <v>7</v>
      </c>
      <c r="D200" t="s">
        <v>56</v>
      </c>
      <c r="E200">
        <v>2.25</v>
      </c>
      <c r="F200" t="s">
        <v>40</v>
      </c>
    </row>
    <row r="201" spans="1:6" ht="15" hidden="1" customHeight="1" x14ac:dyDescent="0.25">
      <c r="A201" t="s">
        <v>46</v>
      </c>
      <c r="B201" t="s">
        <v>55</v>
      </c>
      <c r="C201">
        <v>8</v>
      </c>
      <c r="D201" t="s">
        <v>60</v>
      </c>
      <c r="E201">
        <v>0.76500000000000001</v>
      </c>
      <c r="F201" t="s">
        <v>40</v>
      </c>
    </row>
    <row r="202" spans="1:6" ht="15" hidden="1" customHeight="1" x14ac:dyDescent="0.25">
      <c r="A202" t="s">
        <v>46</v>
      </c>
      <c r="B202" t="s">
        <v>55</v>
      </c>
      <c r="C202">
        <v>9</v>
      </c>
      <c r="D202" t="s">
        <v>63</v>
      </c>
      <c r="E202">
        <v>2.15</v>
      </c>
      <c r="F202" t="s">
        <v>40</v>
      </c>
    </row>
    <row r="203" spans="1:6" ht="15" hidden="1" customHeight="1" x14ac:dyDescent="0.25">
      <c r="A203" t="s">
        <v>46</v>
      </c>
      <c r="B203" t="s">
        <v>55</v>
      </c>
      <c r="C203">
        <v>10</v>
      </c>
      <c r="D203" t="s">
        <v>65</v>
      </c>
      <c r="E203">
        <v>2.3446500000000001</v>
      </c>
      <c r="F203" t="s">
        <v>40</v>
      </c>
    </row>
    <row r="204" spans="1:6" ht="15" hidden="1" customHeight="1" x14ac:dyDescent="0.25">
      <c r="A204" t="s">
        <v>46</v>
      </c>
      <c r="B204" t="s">
        <v>55</v>
      </c>
      <c r="C204">
        <v>11</v>
      </c>
      <c r="D204" t="s">
        <v>67</v>
      </c>
      <c r="E204">
        <v>0</v>
      </c>
      <c r="F204" t="s">
        <v>40</v>
      </c>
    </row>
    <row r="205" spans="1:6" ht="15" hidden="1" customHeight="1" x14ac:dyDescent="0.25">
      <c r="A205" t="s">
        <v>46</v>
      </c>
      <c r="B205" t="s">
        <v>55</v>
      </c>
      <c r="C205">
        <v>12</v>
      </c>
      <c r="D205" t="s">
        <v>70</v>
      </c>
      <c r="E205">
        <v>0</v>
      </c>
      <c r="F205" t="s">
        <v>40</v>
      </c>
    </row>
    <row r="206" spans="1:6" ht="15" customHeight="1" x14ac:dyDescent="0.25">
      <c r="A206" t="s">
        <v>46</v>
      </c>
      <c r="B206" t="s">
        <v>58</v>
      </c>
      <c r="C206">
        <v>1</v>
      </c>
      <c r="D206" t="s">
        <v>35</v>
      </c>
      <c r="E206">
        <v>9.5137</v>
      </c>
      <c r="F206" t="s">
        <v>40</v>
      </c>
    </row>
    <row r="207" spans="1:6" ht="15" hidden="1" customHeight="1" x14ac:dyDescent="0.25">
      <c r="A207" t="s">
        <v>46</v>
      </c>
      <c r="B207" t="s">
        <v>58</v>
      </c>
      <c r="C207">
        <v>2</v>
      </c>
      <c r="D207" t="s">
        <v>37</v>
      </c>
      <c r="E207">
        <v>14.054500000000001</v>
      </c>
      <c r="F207" t="s">
        <v>40</v>
      </c>
    </row>
    <row r="208" spans="1:6" ht="15" hidden="1" customHeight="1" x14ac:dyDescent="0.25">
      <c r="A208" t="s">
        <v>46</v>
      </c>
      <c r="B208" t="s">
        <v>58</v>
      </c>
      <c r="C208">
        <v>3</v>
      </c>
      <c r="D208" t="s">
        <v>41</v>
      </c>
      <c r="E208">
        <v>6.0194000000000001</v>
      </c>
      <c r="F208" t="s">
        <v>40</v>
      </c>
    </row>
    <row r="209" spans="1:6" ht="15" hidden="1" customHeight="1" x14ac:dyDescent="0.25">
      <c r="A209" t="s">
        <v>46</v>
      </c>
      <c r="B209" t="s">
        <v>58</v>
      </c>
      <c r="C209">
        <v>4</v>
      </c>
      <c r="D209" t="s">
        <v>45</v>
      </c>
      <c r="E209">
        <v>6.8665000000000003</v>
      </c>
      <c r="F209" t="s">
        <v>40</v>
      </c>
    </row>
    <row r="210" spans="1:6" ht="15" hidden="1" customHeight="1" x14ac:dyDescent="0.25">
      <c r="A210" t="s">
        <v>46</v>
      </c>
      <c r="B210" t="s">
        <v>58</v>
      </c>
      <c r="C210">
        <v>5</v>
      </c>
      <c r="D210" t="s">
        <v>7</v>
      </c>
      <c r="E210">
        <v>2.0354999999999999</v>
      </c>
      <c r="F210" t="s">
        <v>40</v>
      </c>
    </row>
    <row r="211" spans="1:6" ht="15" hidden="1" customHeight="1" x14ac:dyDescent="0.25">
      <c r="A211" t="s">
        <v>46</v>
      </c>
      <c r="B211" t="s">
        <v>58</v>
      </c>
      <c r="C211">
        <v>6</v>
      </c>
      <c r="D211" t="s">
        <v>53</v>
      </c>
      <c r="E211">
        <v>10.0555</v>
      </c>
      <c r="F211" t="s">
        <v>40</v>
      </c>
    </row>
    <row r="212" spans="1:6" ht="15" hidden="1" customHeight="1" x14ac:dyDescent="0.25">
      <c r="A212" t="s">
        <v>46</v>
      </c>
      <c r="B212" t="s">
        <v>58</v>
      </c>
      <c r="C212">
        <v>7</v>
      </c>
      <c r="D212" t="s">
        <v>56</v>
      </c>
      <c r="E212">
        <v>10.2226</v>
      </c>
      <c r="F212" t="s">
        <v>40</v>
      </c>
    </row>
    <row r="213" spans="1:6" ht="15" hidden="1" customHeight="1" x14ac:dyDescent="0.25">
      <c r="A213" t="s">
        <v>46</v>
      </c>
      <c r="B213" t="s">
        <v>58</v>
      </c>
      <c r="C213">
        <v>8</v>
      </c>
      <c r="D213" t="s">
        <v>60</v>
      </c>
      <c r="E213">
        <v>6.1974</v>
      </c>
      <c r="F213" t="s">
        <v>40</v>
      </c>
    </row>
    <row r="214" spans="1:6" ht="15" hidden="1" customHeight="1" x14ac:dyDescent="0.25">
      <c r="A214" t="s">
        <v>46</v>
      </c>
      <c r="B214" t="s">
        <v>58</v>
      </c>
      <c r="C214">
        <v>9</v>
      </c>
      <c r="D214" t="s">
        <v>63</v>
      </c>
      <c r="E214">
        <v>15.6014</v>
      </c>
      <c r="F214" t="s">
        <v>40</v>
      </c>
    </row>
    <row r="215" spans="1:6" ht="15" hidden="1" customHeight="1" x14ac:dyDescent="0.25">
      <c r="A215" t="s">
        <v>46</v>
      </c>
      <c r="B215" t="s">
        <v>58</v>
      </c>
      <c r="C215">
        <v>10</v>
      </c>
      <c r="D215" t="s">
        <v>65</v>
      </c>
      <c r="E215">
        <v>23.856999999999999</v>
      </c>
      <c r="F215" t="s">
        <v>40</v>
      </c>
    </row>
    <row r="216" spans="1:6" ht="15" hidden="1" customHeight="1" x14ac:dyDescent="0.25">
      <c r="A216" t="s">
        <v>46</v>
      </c>
      <c r="B216" t="s">
        <v>58</v>
      </c>
      <c r="C216">
        <v>11</v>
      </c>
      <c r="D216" t="s">
        <v>67</v>
      </c>
      <c r="E216">
        <v>6.601</v>
      </c>
      <c r="F216" t="s">
        <v>40</v>
      </c>
    </row>
    <row r="217" spans="1:6" ht="15" hidden="1" customHeight="1" x14ac:dyDescent="0.25">
      <c r="A217" t="s">
        <v>46</v>
      </c>
      <c r="B217" t="s">
        <v>58</v>
      </c>
      <c r="C217">
        <v>12</v>
      </c>
      <c r="D217" t="s">
        <v>70</v>
      </c>
      <c r="E217">
        <v>4.0365000000000002</v>
      </c>
      <c r="F217" t="s">
        <v>40</v>
      </c>
    </row>
    <row r="218" spans="1:6" ht="15" customHeight="1" x14ac:dyDescent="0.25">
      <c r="A218" t="s">
        <v>50</v>
      </c>
      <c r="B218" t="s">
        <v>39</v>
      </c>
      <c r="C218">
        <v>1</v>
      </c>
      <c r="D218" t="s">
        <v>35</v>
      </c>
      <c r="E218">
        <v>8.64</v>
      </c>
      <c r="F218" t="s">
        <v>40</v>
      </c>
    </row>
    <row r="219" spans="1:6" ht="15" hidden="1" customHeight="1" x14ac:dyDescent="0.25">
      <c r="A219" t="s">
        <v>50</v>
      </c>
      <c r="B219" t="s">
        <v>39</v>
      </c>
      <c r="C219">
        <v>2</v>
      </c>
      <c r="D219" t="s">
        <v>37</v>
      </c>
      <c r="E219">
        <v>17.190000000000001</v>
      </c>
      <c r="F219" t="s">
        <v>40</v>
      </c>
    </row>
    <row r="220" spans="1:6" ht="15" hidden="1" customHeight="1" x14ac:dyDescent="0.25">
      <c r="A220" t="s">
        <v>50</v>
      </c>
      <c r="B220" t="s">
        <v>39</v>
      </c>
      <c r="C220">
        <v>3</v>
      </c>
      <c r="D220" t="s">
        <v>41</v>
      </c>
      <c r="E220">
        <v>13.164999999999999</v>
      </c>
      <c r="F220" t="s">
        <v>40</v>
      </c>
    </row>
    <row r="221" spans="1:6" ht="15" hidden="1" customHeight="1" x14ac:dyDescent="0.25">
      <c r="A221" t="s">
        <v>50</v>
      </c>
      <c r="B221" t="s">
        <v>39</v>
      </c>
      <c r="C221">
        <v>4</v>
      </c>
      <c r="D221" t="s">
        <v>45</v>
      </c>
      <c r="E221">
        <v>7.04</v>
      </c>
      <c r="F221" t="s">
        <v>40</v>
      </c>
    </row>
    <row r="222" spans="1:6" ht="15" hidden="1" customHeight="1" x14ac:dyDescent="0.25">
      <c r="A222" t="s">
        <v>50</v>
      </c>
      <c r="B222" t="s">
        <v>39</v>
      </c>
      <c r="C222">
        <v>5</v>
      </c>
      <c r="D222" t="s">
        <v>7</v>
      </c>
      <c r="E222">
        <v>8</v>
      </c>
      <c r="F222" t="s">
        <v>40</v>
      </c>
    </row>
    <row r="223" spans="1:6" ht="15" hidden="1" customHeight="1" x14ac:dyDescent="0.25">
      <c r="A223" t="s">
        <v>50</v>
      </c>
      <c r="B223" t="s">
        <v>39</v>
      </c>
      <c r="C223">
        <v>6</v>
      </c>
      <c r="D223" t="s">
        <v>53</v>
      </c>
      <c r="E223">
        <v>8</v>
      </c>
      <c r="F223" t="s">
        <v>40</v>
      </c>
    </row>
    <row r="224" spans="1:6" ht="15" hidden="1" customHeight="1" x14ac:dyDescent="0.25">
      <c r="A224" t="s">
        <v>50</v>
      </c>
      <c r="B224" t="s">
        <v>39</v>
      </c>
      <c r="C224">
        <v>7</v>
      </c>
      <c r="D224" t="s">
        <v>56</v>
      </c>
      <c r="E224">
        <v>11.08</v>
      </c>
      <c r="F224" t="s">
        <v>40</v>
      </c>
    </row>
    <row r="225" spans="1:6" ht="15" hidden="1" customHeight="1" x14ac:dyDescent="0.25">
      <c r="A225" t="s">
        <v>50</v>
      </c>
      <c r="B225" t="s">
        <v>39</v>
      </c>
      <c r="C225">
        <v>8</v>
      </c>
      <c r="D225" t="s">
        <v>60</v>
      </c>
      <c r="E225">
        <v>48</v>
      </c>
      <c r="F225" t="s">
        <v>40</v>
      </c>
    </row>
    <row r="226" spans="1:6" ht="15" hidden="1" customHeight="1" x14ac:dyDescent="0.25">
      <c r="A226" t="s">
        <v>50</v>
      </c>
      <c r="B226" t="s">
        <v>39</v>
      </c>
      <c r="C226">
        <v>9</v>
      </c>
      <c r="D226" t="s">
        <v>63</v>
      </c>
      <c r="E226">
        <v>3.84</v>
      </c>
      <c r="F226" t="s">
        <v>40</v>
      </c>
    </row>
    <row r="227" spans="1:6" ht="15" hidden="1" customHeight="1" x14ac:dyDescent="0.25">
      <c r="A227" t="s">
        <v>50</v>
      </c>
      <c r="B227" t="s">
        <v>39</v>
      </c>
      <c r="C227">
        <v>10</v>
      </c>
      <c r="D227" t="s">
        <v>65</v>
      </c>
      <c r="E227">
        <v>15.904999999999999</v>
      </c>
      <c r="F227" t="s">
        <v>40</v>
      </c>
    </row>
    <row r="228" spans="1:6" ht="15" hidden="1" customHeight="1" x14ac:dyDescent="0.25">
      <c r="A228" t="s">
        <v>50</v>
      </c>
      <c r="B228" t="s">
        <v>39</v>
      </c>
      <c r="C228">
        <v>11</v>
      </c>
      <c r="D228" t="s">
        <v>67</v>
      </c>
      <c r="E228">
        <v>4.8</v>
      </c>
      <c r="F228" t="s">
        <v>40</v>
      </c>
    </row>
    <row r="229" spans="1:6" ht="15" hidden="1" customHeight="1" x14ac:dyDescent="0.25">
      <c r="A229" t="s">
        <v>50</v>
      </c>
      <c r="B229" t="s">
        <v>39</v>
      </c>
      <c r="C229">
        <v>12</v>
      </c>
      <c r="D229" t="s">
        <v>70</v>
      </c>
      <c r="E229">
        <v>7.59</v>
      </c>
      <c r="F229" t="s">
        <v>40</v>
      </c>
    </row>
    <row r="230" spans="1:6" ht="15" customHeight="1" x14ac:dyDescent="0.25">
      <c r="A230" t="s">
        <v>50</v>
      </c>
      <c r="B230" t="s">
        <v>43</v>
      </c>
      <c r="C230">
        <v>1</v>
      </c>
      <c r="D230" t="s">
        <v>35</v>
      </c>
      <c r="E230">
        <v>447.2894</v>
      </c>
      <c r="F230" t="s">
        <v>40</v>
      </c>
    </row>
    <row r="231" spans="1:6" ht="15" hidden="1" customHeight="1" x14ac:dyDescent="0.25">
      <c r="A231" t="s">
        <v>50</v>
      </c>
      <c r="B231" t="s">
        <v>43</v>
      </c>
      <c r="C231">
        <v>2</v>
      </c>
      <c r="D231" t="s">
        <v>37</v>
      </c>
      <c r="E231">
        <v>507.44959999999998</v>
      </c>
      <c r="F231" t="s">
        <v>40</v>
      </c>
    </row>
    <row r="232" spans="1:6" ht="15" hidden="1" customHeight="1" x14ac:dyDescent="0.25">
      <c r="A232" t="s">
        <v>50</v>
      </c>
      <c r="B232" t="s">
        <v>43</v>
      </c>
      <c r="C232">
        <v>3</v>
      </c>
      <c r="D232" t="s">
        <v>41</v>
      </c>
      <c r="E232">
        <v>634.24779999999998</v>
      </c>
      <c r="F232" t="s">
        <v>40</v>
      </c>
    </row>
    <row r="233" spans="1:6" ht="15" hidden="1" customHeight="1" x14ac:dyDescent="0.25">
      <c r="A233" t="s">
        <v>50</v>
      </c>
      <c r="B233" t="s">
        <v>43</v>
      </c>
      <c r="C233">
        <v>4</v>
      </c>
      <c r="D233" t="s">
        <v>45</v>
      </c>
      <c r="E233">
        <v>505.41629999999998</v>
      </c>
      <c r="F233" t="s">
        <v>40</v>
      </c>
    </row>
    <row r="234" spans="1:6" ht="15" hidden="1" customHeight="1" x14ac:dyDescent="0.25">
      <c r="A234" t="s">
        <v>50</v>
      </c>
      <c r="B234" t="s">
        <v>43</v>
      </c>
      <c r="C234">
        <v>5</v>
      </c>
      <c r="D234" t="s">
        <v>7</v>
      </c>
      <c r="E234">
        <v>668.60080000000005</v>
      </c>
      <c r="F234" t="s">
        <v>40</v>
      </c>
    </row>
    <row r="235" spans="1:6" ht="15" hidden="1" customHeight="1" x14ac:dyDescent="0.25">
      <c r="A235" t="s">
        <v>50</v>
      </c>
      <c r="B235" t="s">
        <v>43</v>
      </c>
      <c r="C235">
        <v>6</v>
      </c>
      <c r="D235" t="s">
        <v>53</v>
      </c>
      <c r="E235">
        <v>571.36379999999997</v>
      </c>
      <c r="F235" t="s">
        <v>40</v>
      </c>
    </row>
    <row r="236" spans="1:6" ht="15" hidden="1" customHeight="1" x14ac:dyDescent="0.25">
      <c r="A236" t="s">
        <v>50</v>
      </c>
      <c r="B236" t="s">
        <v>43</v>
      </c>
      <c r="C236">
        <v>7</v>
      </c>
      <c r="D236" t="s">
        <v>56</v>
      </c>
      <c r="E236">
        <v>284.08539999999999</v>
      </c>
      <c r="F236" t="s">
        <v>40</v>
      </c>
    </row>
    <row r="237" spans="1:6" ht="15" hidden="1" customHeight="1" x14ac:dyDescent="0.25">
      <c r="A237" t="s">
        <v>50</v>
      </c>
      <c r="B237" t="s">
        <v>43</v>
      </c>
      <c r="C237">
        <v>8</v>
      </c>
      <c r="D237" t="s">
        <v>60</v>
      </c>
      <c r="E237">
        <v>276.79320000000001</v>
      </c>
      <c r="F237" t="s">
        <v>40</v>
      </c>
    </row>
    <row r="238" spans="1:6" ht="15" hidden="1" customHeight="1" x14ac:dyDescent="0.25">
      <c r="A238" t="s">
        <v>50</v>
      </c>
      <c r="B238" t="s">
        <v>43</v>
      </c>
      <c r="C238">
        <v>9</v>
      </c>
      <c r="D238" t="s">
        <v>63</v>
      </c>
      <c r="E238">
        <v>434.91340000000002</v>
      </c>
      <c r="F238" t="s">
        <v>40</v>
      </c>
    </row>
    <row r="239" spans="1:6" ht="15" hidden="1" customHeight="1" x14ac:dyDescent="0.25">
      <c r="A239" t="s">
        <v>50</v>
      </c>
      <c r="B239" t="s">
        <v>43</v>
      </c>
      <c r="C239">
        <v>10</v>
      </c>
      <c r="D239" t="s">
        <v>65</v>
      </c>
      <c r="E239">
        <v>365.36739999999998</v>
      </c>
      <c r="F239" t="s">
        <v>40</v>
      </c>
    </row>
    <row r="240" spans="1:6" ht="15" hidden="1" customHeight="1" x14ac:dyDescent="0.25">
      <c r="A240" t="s">
        <v>50</v>
      </c>
      <c r="B240" t="s">
        <v>43</v>
      </c>
      <c r="C240">
        <v>11</v>
      </c>
      <c r="D240" t="s">
        <v>67</v>
      </c>
      <c r="E240">
        <v>139.61799999999999</v>
      </c>
      <c r="F240" t="s">
        <v>40</v>
      </c>
    </row>
    <row r="241" spans="1:6" ht="15" hidden="1" customHeight="1" x14ac:dyDescent="0.25">
      <c r="A241" t="s">
        <v>50</v>
      </c>
      <c r="B241" t="s">
        <v>43</v>
      </c>
      <c r="C241">
        <v>12</v>
      </c>
      <c r="D241" t="s">
        <v>70</v>
      </c>
      <c r="E241">
        <v>272.0136</v>
      </c>
      <c r="F241" t="s">
        <v>40</v>
      </c>
    </row>
    <row r="242" spans="1:6" ht="15" customHeight="1" x14ac:dyDescent="0.25">
      <c r="A242" t="s">
        <v>50</v>
      </c>
      <c r="B242" t="s">
        <v>47</v>
      </c>
      <c r="C242">
        <v>1</v>
      </c>
      <c r="D242" t="s">
        <v>35</v>
      </c>
      <c r="E242">
        <v>10.999000000000001</v>
      </c>
      <c r="F242" t="s">
        <v>40</v>
      </c>
    </row>
    <row r="243" spans="1:6" ht="15" hidden="1" customHeight="1" x14ac:dyDescent="0.25">
      <c r="A243" t="s">
        <v>50</v>
      </c>
      <c r="B243" t="s">
        <v>47</v>
      </c>
      <c r="C243">
        <v>2</v>
      </c>
      <c r="D243" t="s">
        <v>37</v>
      </c>
      <c r="E243">
        <v>11.669</v>
      </c>
      <c r="F243" t="s">
        <v>40</v>
      </c>
    </row>
    <row r="244" spans="1:6" ht="15" hidden="1" customHeight="1" x14ac:dyDescent="0.25">
      <c r="A244" t="s">
        <v>50</v>
      </c>
      <c r="B244" t="s">
        <v>47</v>
      </c>
      <c r="C244">
        <v>3</v>
      </c>
      <c r="D244" t="s">
        <v>41</v>
      </c>
      <c r="E244">
        <v>11.045999999999999</v>
      </c>
      <c r="F244" t="s">
        <v>40</v>
      </c>
    </row>
    <row r="245" spans="1:6" ht="15" hidden="1" customHeight="1" x14ac:dyDescent="0.25">
      <c r="A245" t="s">
        <v>50</v>
      </c>
      <c r="B245" t="s">
        <v>47</v>
      </c>
      <c r="C245">
        <v>4</v>
      </c>
      <c r="D245" t="s">
        <v>45</v>
      </c>
      <c r="E245">
        <v>16.228000000000002</v>
      </c>
      <c r="F245" t="s">
        <v>40</v>
      </c>
    </row>
    <row r="246" spans="1:6" ht="15" hidden="1" customHeight="1" x14ac:dyDescent="0.25">
      <c r="A246" t="s">
        <v>50</v>
      </c>
      <c r="B246" t="s">
        <v>47</v>
      </c>
      <c r="C246">
        <v>5</v>
      </c>
      <c r="D246" t="s">
        <v>7</v>
      </c>
      <c r="E246">
        <v>24.353999999999999</v>
      </c>
      <c r="F246" t="s">
        <v>40</v>
      </c>
    </row>
    <row r="247" spans="1:6" ht="15" hidden="1" customHeight="1" x14ac:dyDescent="0.25">
      <c r="A247" t="s">
        <v>50</v>
      </c>
      <c r="B247" t="s">
        <v>47</v>
      </c>
      <c r="C247">
        <v>6</v>
      </c>
      <c r="D247" t="s">
        <v>53</v>
      </c>
      <c r="E247">
        <v>23.44</v>
      </c>
      <c r="F247" t="s">
        <v>40</v>
      </c>
    </row>
    <row r="248" spans="1:6" ht="15" hidden="1" customHeight="1" x14ac:dyDescent="0.25">
      <c r="A248" t="s">
        <v>50</v>
      </c>
      <c r="B248" t="s">
        <v>47</v>
      </c>
      <c r="C248">
        <v>7</v>
      </c>
      <c r="D248" t="s">
        <v>56</v>
      </c>
      <c r="E248">
        <v>31.257000000000001</v>
      </c>
      <c r="F248" t="s">
        <v>40</v>
      </c>
    </row>
    <row r="249" spans="1:6" ht="15" hidden="1" customHeight="1" x14ac:dyDescent="0.25">
      <c r="A249" t="s">
        <v>50</v>
      </c>
      <c r="B249" t="s">
        <v>47</v>
      </c>
      <c r="C249">
        <v>8</v>
      </c>
      <c r="D249" t="s">
        <v>60</v>
      </c>
      <c r="E249">
        <v>12.005000000000001</v>
      </c>
      <c r="F249" t="s">
        <v>40</v>
      </c>
    </row>
    <row r="250" spans="1:6" ht="15" hidden="1" customHeight="1" x14ac:dyDescent="0.25">
      <c r="A250" t="s">
        <v>50</v>
      </c>
      <c r="B250" t="s">
        <v>47</v>
      </c>
      <c r="C250">
        <v>9</v>
      </c>
      <c r="D250" t="s">
        <v>63</v>
      </c>
      <c r="E250">
        <v>15.661</v>
      </c>
      <c r="F250" t="s">
        <v>40</v>
      </c>
    </row>
    <row r="251" spans="1:6" ht="15" hidden="1" customHeight="1" x14ac:dyDescent="0.25">
      <c r="A251" t="s">
        <v>50</v>
      </c>
      <c r="B251" t="s">
        <v>47</v>
      </c>
      <c r="C251">
        <v>10</v>
      </c>
      <c r="D251" t="s">
        <v>65</v>
      </c>
      <c r="E251">
        <v>27.766999999999999</v>
      </c>
      <c r="F251" t="s">
        <v>40</v>
      </c>
    </row>
    <row r="252" spans="1:6" ht="15" hidden="1" customHeight="1" x14ac:dyDescent="0.25">
      <c r="A252" t="s">
        <v>50</v>
      </c>
      <c r="B252" t="s">
        <v>47</v>
      </c>
      <c r="C252">
        <v>11</v>
      </c>
      <c r="D252" t="s">
        <v>67</v>
      </c>
      <c r="E252">
        <v>20.465</v>
      </c>
      <c r="F252" t="s">
        <v>40</v>
      </c>
    </row>
    <row r="253" spans="1:6" ht="15" hidden="1" customHeight="1" x14ac:dyDescent="0.25">
      <c r="A253" t="s">
        <v>50</v>
      </c>
      <c r="B253" t="s">
        <v>47</v>
      </c>
      <c r="C253">
        <v>12</v>
      </c>
      <c r="D253" t="s">
        <v>70</v>
      </c>
      <c r="E253">
        <v>16.241</v>
      </c>
      <c r="F253" t="s">
        <v>40</v>
      </c>
    </row>
    <row r="254" spans="1:6" ht="15" customHeight="1" x14ac:dyDescent="0.25">
      <c r="A254" t="s">
        <v>50</v>
      </c>
      <c r="B254" t="s">
        <v>51</v>
      </c>
      <c r="C254">
        <v>1</v>
      </c>
      <c r="D254" t="s">
        <v>35</v>
      </c>
      <c r="E254">
        <v>2.625</v>
      </c>
      <c r="F254" t="s">
        <v>40</v>
      </c>
    </row>
    <row r="255" spans="1:6" ht="15" hidden="1" customHeight="1" x14ac:dyDescent="0.25">
      <c r="A255" t="s">
        <v>50</v>
      </c>
      <c r="B255" t="s">
        <v>51</v>
      </c>
      <c r="C255">
        <v>2</v>
      </c>
      <c r="D255" t="s">
        <v>37</v>
      </c>
      <c r="E255">
        <v>3.5</v>
      </c>
      <c r="F255" t="s">
        <v>40</v>
      </c>
    </row>
    <row r="256" spans="1:6" ht="15" hidden="1" customHeight="1" x14ac:dyDescent="0.25">
      <c r="A256" t="s">
        <v>50</v>
      </c>
      <c r="B256" t="s">
        <v>51</v>
      </c>
      <c r="C256">
        <v>3</v>
      </c>
      <c r="D256" t="s">
        <v>41</v>
      </c>
      <c r="E256">
        <v>3.165</v>
      </c>
      <c r="F256" t="s">
        <v>40</v>
      </c>
    </row>
    <row r="257" spans="1:6" ht="15" hidden="1" customHeight="1" x14ac:dyDescent="0.25">
      <c r="A257" t="s">
        <v>50</v>
      </c>
      <c r="B257" t="s">
        <v>51</v>
      </c>
      <c r="C257">
        <v>4</v>
      </c>
      <c r="D257" t="s">
        <v>45</v>
      </c>
      <c r="E257">
        <v>3.5</v>
      </c>
      <c r="F257" t="s">
        <v>40</v>
      </c>
    </row>
    <row r="258" spans="1:6" ht="15" hidden="1" customHeight="1" x14ac:dyDescent="0.25">
      <c r="A258" t="s">
        <v>50</v>
      </c>
      <c r="B258" t="s">
        <v>51</v>
      </c>
      <c r="C258">
        <v>5</v>
      </c>
      <c r="D258" t="s">
        <v>7</v>
      </c>
      <c r="E258">
        <v>4.375</v>
      </c>
      <c r="F258" t="s">
        <v>40</v>
      </c>
    </row>
    <row r="259" spans="1:6" ht="15" hidden="1" customHeight="1" x14ac:dyDescent="0.25">
      <c r="A259" t="s">
        <v>50</v>
      </c>
      <c r="B259" t="s">
        <v>51</v>
      </c>
      <c r="C259">
        <v>6</v>
      </c>
      <c r="D259" t="s">
        <v>53</v>
      </c>
      <c r="E259">
        <v>2.625</v>
      </c>
      <c r="F259" t="s">
        <v>40</v>
      </c>
    </row>
    <row r="260" spans="1:6" ht="15" hidden="1" customHeight="1" x14ac:dyDescent="0.25">
      <c r="A260" t="s">
        <v>50</v>
      </c>
      <c r="B260" t="s">
        <v>51</v>
      </c>
      <c r="C260">
        <v>7</v>
      </c>
      <c r="D260" t="s">
        <v>56</v>
      </c>
      <c r="E260">
        <v>4.4249999999999998</v>
      </c>
      <c r="F260" t="s">
        <v>40</v>
      </c>
    </row>
    <row r="261" spans="1:6" ht="15" hidden="1" customHeight="1" x14ac:dyDescent="0.25">
      <c r="A261" t="s">
        <v>50</v>
      </c>
      <c r="B261" t="s">
        <v>51</v>
      </c>
      <c r="C261">
        <v>8</v>
      </c>
      <c r="D261" t="s">
        <v>60</v>
      </c>
      <c r="E261">
        <v>4.375</v>
      </c>
      <c r="F261" t="s">
        <v>40</v>
      </c>
    </row>
    <row r="262" spans="1:6" ht="15" hidden="1" customHeight="1" x14ac:dyDescent="0.25">
      <c r="A262" t="s">
        <v>50</v>
      </c>
      <c r="B262" t="s">
        <v>51</v>
      </c>
      <c r="C262">
        <v>9</v>
      </c>
      <c r="D262" t="s">
        <v>63</v>
      </c>
      <c r="E262">
        <v>2.895</v>
      </c>
      <c r="F262" t="s">
        <v>40</v>
      </c>
    </row>
    <row r="263" spans="1:6" ht="15" hidden="1" customHeight="1" x14ac:dyDescent="0.25">
      <c r="A263" t="s">
        <v>50</v>
      </c>
      <c r="B263" t="s">
        <v>51</v>
      </c>
      <c r="C263">
        <v>10</v>
      </c>
      <c r="D263" t="s">
        <v>65</v>
      </c>
      <c r="E263">
        <v>3.55</v>
      </c>
      <c r="F263" t="s">
        <v>40</v>
      </c>
    </row>
    <row r="264" spans="1:6" ht="15" hidden="1" customHeight="1" x14ac:dyDescent="0.25">
      <c r="A264" t="s">
        <v>50</v>
      </c>
      <c r="B264" t="s">
        <v>51</v>
      </c>
      <c r="C264">
        <v>11</v>
      </c>
      <c r="D264" t="s">
        <v>67</v>
      </c>
      <c r="E264">
        <v>2.625</v>
      </c>
      <c r="F264" t="s">
        <v>40</v>
      </c>
    </row>
    <row r="265" spans="1:6" ht="15" hidden="1" customHeight="1" x14ac:dyDescent="0.25">
      <c r="A265" t="s">
        <v>50</v>
      </c>
      <c r="B265" t="s">
        <v>51</v>
      </c>
      <c r="C265">
        <v>12</v>
      </c>
      <c r="D265" t="s">
        <v>70</v>
      </c>
      <c r="E265">
        <v>5.91</v>
      </c>
      <c r="F265" t="s">
        <v>40</v>
      </c>
    </row>
    <row r="266" spans="1:6" ht="15" customHeight="1" x14ac:dyDescent="0.25">
      <c r="A266" t="s">
        <v>50</v>
      </c>
      <c r="B266" t="s">
        <v>55</v>
      </c>
      <c r="C266">
        <v>1</v>
      </c>
      <c r="D266" t="s">
        <v>35</v>
      </c>
      <c r="E266">
        <v>15.38</v>
      </c>
      <c r="F266" t="s">
        <v>40</v>
      </c>
    </row>
    <row r="267" spans="1:6" ht="15" hidden="1" customHeight="1" x14ac:dyDescent="0.25">
      <c r="A267" t="s">
        <v>50</v>
      </c>
      <c r="B267" t="s">
        <v>55</v>
      </c>
      <c r="C267">
        <v>2</v>
      </c>
      <c r="D267" t="s">
        <v>37</v>
      </c>
      <c r="E267">
        <v>11.28</v>
      </c>
      <c r="F267" t="s">
        <v>40</v>
      </c>
    </row>
    <row r="268" spans="1:6" ht="15" hidden="1" customHeight="1" x14ac:dyDescent="0.25">
      <c r="A268" t="s">
        <v>50</v>
      </c>
      <c r="B268" t="s">
        <v>55</v>
      </c>
      <c r="C268">
        <v>3</v>
      </c>
      <c r="D268" t="s">
        <v>41</v>
      </c>
      <c r="E268">
        <v>17.829999999999998</v>
      </c>
      <c r="F268" t="s">
        <v>40</v>
      </c>
    </row>
    <row r="269" spans="1:6" ht="15" hidden="1" customHeight="1" x14ac:dyDescent="0.25">
      <c r="A269" t="s">
        <v>50</v>
      </c>
      <c r="B269" t="s">
        <v>55</v>
      </c>
      <c r="C269">
        <v>4</v>
      </c>
      <c r="D269" t="s">
        <v>45</v>
      </c>
      <c r="E269">
        <v>20.754999999999999</v>
      </c>
      <c r="F269" t="s">
        <v>40</v>
      </c>
    </row>
    <row r="270" spans="1:6" ht="15" hidden="1" customHeight="1" x14ac:dyDescent="0.25">
      <c r="A270" t="s">
        <v>50</v>
      </c>
      <c r="B270" t="s">
        <v>55</v>
      </c>
      <c r="C270">
        <v>5</v>
      </c>
      <c r="D270" t="s">
        <v>7</v>
      </c>
      <c r="E270">
        <v>22.07</v>
      </c>
      <c r="F270" t="s">
        <v>40</v>
      </c>
    </row>
    <row r="271" spans="1:6" ht="15" hidden="1" customHeight="1" x14ac:dyDescent="0.25">
      <c r="A271" t="s">
        <v>50</v>
      </c>
      <c r="B271" t="s">
        <v>55</v>
      </c>
      <c r="C271">
        <v>6</v>
      </c>
      <c r="D271" t="s">
        <v>53</v>
      </c>
      <c r="E271">
        <v>22.954999999999998</v>
      </c>
      <c r="F271" t="s">
        <v>40</v>
      </c>
    </row>
    <row r="272" spans="1:6" ht="15" hidden="1" customHeight="1" x14ac:dyDescent="0.25">
      <c r="A272" t="s">
        <v>50</v>
      </c>
      <c r="B272" t="s">
        <v>55</v>
      </c>
      <c r="C272">
        <v>7</v>
      </c>
      <c r="D272" t="s">
        <v>56</v>
      </c>
      <c r="E272">
        <v>16.57</v>
      </c>
      <c r="F272" t="s">
        <v>40</v>
      </c>
    </row>
    <row r="273" spans="1:6" ht="15" hidden="1" customHeight="1" x14ac:dyDescent="0.25">
      <c r="A273" t="s">
        <v>50</v>
      </c>
      <c r="B273" t="s">
        <v>55</v>
      </c>
      <c r="C273">
        <v>8</v>
      </c>
      <c r="D273" t="s">
        <v>60</v>
      </c>
      <c r="E273">
        <v>17.079999999999998</v>
      </c>
      <c r="F273" t="s">
        <v>40</v>
      </c>
    </row>
    <row r="274" spans="1:6" ht="15" hidden="1" customHeight="1" x14ac:dyDescent="0.25">
      <c r="A274" t="s">
        <v>50</v>
      </c>
      <c r="B274" t="s">
        <v>55</v>
      </c>
      <c r="C274">
        <v>9</v>
      </c>
      <c r="D274" t="s">
        <v>63</v>
      </c>
      <c r="E274">
        <v>30.46</v>
      </c>
      <c r="F274" t="s">
        <v>40</v>
      </c>
    </row>
    <row r="275" spans="1:6" ht="15" hidden="1" customHeight="1" x14ac:dyDescent="0.25">
      <c r="A275" t="s">
        <v>50</v>
      </c>
      <c r="B275" t="s">
        <v>55</v>
      </c>
      <c r="C275">
        <v>10</v>
      </c>
      <c r="D275" t="s">
        <v>65</v>
      </c>
      <c r="E275">
        <v>5.04</v>
      </c>
      <c r="F275" t="s">
        <v>40</v>
      </c>
    </row>
    <row r="276" spans="1:6" ht="15" hidden="1" customHeight="1" x14ac:dyDescent="0.25">
      <c r="A276" t="s">
        <v>50</v>
      </c>
      <c r="B276" t="s">
        <v>55</v>
      </c>
      <c r="C276">
        <v>11</v>
      </c>
      <c r="D276" t="s">
        <v>67</v>
      </c>
      <c r="E276">
        <v>15.08</v>
      </c>
      <c r="F276" t="s">
        <v>40</v>
      </c>
    </row>
    <row r="277" spans="1:6" ht="15" hidden="1" customHeight="1" x14ac:dyDescent="0.25">
      <c r="A277" t="s">
        <v>50</v>
      </c>
      <c r="B277" t="s">
        <v>55</v>
      </c>
      <c r="C277">
        <v>12</v>
      </c>
      <c r="D277" t="s">
        <v>70</v>
      </c>
      <c r="E277">
        <v>2.86</v>
      </c>
      <c r="F277" t="s">
        <v>40</v>
      </c>
    </row>
    <row r="278" spans="1:6" ht="15" customHeight="1" x14ac:dyDescent="0.25">
      <c r="A278" t="s">
        <v>50</v>
      </c>
      <c r="B278" t="s">
        <v>58</v>
      </c>
      <c r="C278">
        <v>1</v>
      </c>
      <c r="D278" t="s">
        <v>35</v>
      </c>
      <c r="E278">
        <v>56.347070000000002</v>
      </c>
      <c r="F278" t="s">
        <v>40</v>
      </c>
    </row>
    <row r="279" spans="1:6" ht="15" hidden="1" customHeight="1" x14ac:dyDescent="0.25">
      <c r="A279" t="s">
        <v>50</v>
      </c>
      <c r="B279" t="s">
        <v>58</v>
      </c>
      <c r="C279">
        <v>2</v>
      </c>
      <c r="D279" t="s">
        <v>37</v>
      </c>
      <c r="E279">
        <v>76.736109999999996</v>
      </c>
      <c r="F279" t="s">
        <v>40</v>
      </c>
    </row>
    <row r="280" spans="1:6" ht="15" hidden="1" customHeight="1" x14ac:dyDescent="0.25">
      <c r="A280" t="s">
        <v>50</v>
      </c>
      <c r="B280" t="s">
        <v>58</v>
      </c>
      <c r="C280">
        <v>3</v>
      </c>
      <c r="D280" t="s">
        <v>41</v>
      </c>
      <c r="E280">
        <v>75.782660000000007</v>
      </c>
      <c r="F280" t="s">
        <v>40</v>
      </c>
    </row>
    <row r="281" spans="1:6" ht="15" hidden="1" customHeight="1" x14ac:dyDescent="0.25">
      <c r="A281" t="s">
        <v>50</v>
      </c>
      <c r="B281" t="s">
        <v>58</v>
      </c>
      <c r="C281">
        <v>4</v>
      </c>
      <c r="D281" t="s">
        <v>45</v>
      </c>
      <c r="E281">
        <v>113.10822</v>
      </c>
      <c r="F281" t="s">
        <v>40</v>
      </c>
    </row>
    <row r="282" spans="1:6" ht="15" hidden="1" customHeight="1" x14ac:dyDescent="0.25">
      <c r="A282" t="s">
        <v>50</v>
      </c>
      <c r="B282" t="s">
        <v>58</v>
      </c>
      <c r="C282">
        <v>5</v>
      </c>
      <c r="D282" t="s">
        <v>7</v>
      </c>
      <c r="E282">
        <v>74.864689999999996</v>
      </c>
      <c r="F282" t="s">
        <v>40</v>
      </c>
    </row>
    <row r="283" spans="1:6" ht="15" hidden="1" customHeight="1" x14ac:dyDescent="0.25">
      <c r="A283" t="s">
        <v>50</v>
      </c>
      <c r="B283" t="s">
        <v>58</v>
      </c>
      <c r="C283">
        <v>6</v>
      </c>
      <c r="D283" t="s">
        <v>53</v>
      </c>
      <c r="E283">
        <v>236.27108000000001</v>
      </c>
      <c r="F283" t="s">
        <v>40</v>
      </c>
    </row>
    <row r="284" spans="1:6" ht="15" hidden="1" customHeight="1" x14ac:dyDescent="0.25">
      <c r="A284" t="s">
        <v>50</v>
      </c>
      <c r="B284" t="s">
        <v>58</v>
      </c>
      <c r="C284">
        <v>7</v>
      </c>
      <c r="D284" t="s">
        <v>56</v>
      </c>
      <c r="E284">
        <v>102.16794</v>
      </c>
      <c r="F284" t="s">
        <v>40</v>
      </c>
    </row>
    <row r="285" spans="1:6" ht="15" hidden="1" customHeight="1" x14ac:dyDescent="0.25">
      <c r="A285" t="s">
        <v>50</v>
      </c>
      <c r="B285" t="s">
        <v>58</v>
      </c>
      <c r="C285">
        <v>8</v>
      </c>
      <c r="D285" t="s">
        <v>60</v>
      </c>
      <c r="E285">
        <v>103.20368000000001</v>
      </c>
      <c r="F285" t="s">
        <v>40</v>
      </c>
    </row>
    <row r="286" spans="1:6" ht="15" hidden="1" customHeight="1" x14ac:dyDescent="0.25">
      <c r="A286" t="s">
        <v>50</v>
      </c>
      <c r="B286" t="s">
        <v>58</v>
      </c>
      <c r="C286">
        <v>9</v>
      </c>
      <c r="D286" t="s">
        <v>63</v>
      </c>
      <c r="E286">
        <v>99.039050000000003</v>
      </c>
      <c r="F286" t="s">
        <v>40</v>
      </c>
    </row>
    <row r="287" spans="1:6" ht="15" hidden="1" customHeight="1" x14ac:dyDescent="0.25">
      <c r="A287" t="s">
        <v>50</v>
      </c>
      <c r="B287" t="s">
        <v>58</v>
      </c>
      <c r="C287">
        <v>10</v>
      </c>
      <c r="D287" t="s">
        <v>65</v>
      </c>
      <c r="E287">
        <v>132.24209999999999</v>
      </c>
      <c r="F287" t="s">
        <v>40</v>
      </c>
    </row>
    <row r="288" spans="1:6" ht="15" hidden="1" customHeight="1" x14ac:dyDescent="0.25">
      <c r="A288" t="s">
        <v>50</v>
      </c>
      <c r="B288" t="s">
        <v>58</v>
      </c>
      <c r="C288">
        <v>11</v>
      </c>
      <c r="D288" t="s">
        <v>67</v>
      </c>
      <c r="E288">
        <v>97.422250000000005</v>
      </c>
      <c r="F288" t="s">
        <v>40</v>
      </c>
    </row>
    <row r="289" spans="1:6" ht="15" hidden="1" customHeight="1" x14ac:dyDescent="0.25">
      <c r="A289" t="s">
        <v>50</v>
      </c>
      <c r="B289" t="s">
        <v>58</v>
      </c>
      <c r="C289">
        <v>12</v>
      </c>
      <c r="D289" t="s">
        <v>70</v>
      </c>
      <c r="E289">
        <v>0.96104999999999996</v>
      </c>
      <c r="F289" t="s">
        <v>40</v>
      </c>
    </row>
    <row r="290" spans="1:6" ht="15" customHeight="1" x14ac:dyDescent="0.25">
      <c r="A290" t="s">
        <v>54</v>
      </c>
      <c r="B290" t="s">
        <v>39</v>
      </c>
      <c r="C290">
        <v>1</v>
      </c>
      <c r="D290" t="s">
        <v>35</v>
      </c>
      <c r="E290">
        <v>0</v>
      </c>
      <c r="F290" t="s">
        <v>40</v>
      </c>
    </row>
    <row r="291" spans="1:6" ht="15" hidden="1" customHeight="1" x14ac:dyDescent="0.25">
      <c r="A291" t="s">
        <v>54</v>
      </c>
      <c r="B291" t="s">
        <v>39</v>
      </c>
      <c r="C291">
        <v>2</v>
      </c>
      <c r="D291" t="s">
        <v>37</v>
      </c>
      <c r="E291">
        <v>3.45</v>
      </c>
      <c r="F291" t="s">
        <v>40</v>
      </c>
    </row>
    <row r="292" spans="1:6" ht="15" hidden="1" customHeight="1" x14ac:dyDescent="0.25">
      <c r="A292" t="s">
        <v>54</v>
      </c>
      <c r="B292" t="s">
        <v>39</v>
      </c>
      <c r="C292">
        <v>3</v>
      </c>
      <c r="D292" t="s">
        <v>41</v>
      </c>
      <c r="E292">
        <v>0</v>
      </c>
      <c r="F292" t="s">
        <v>40</v>
      </c>
    </row>
    <row r="293" spans="1:6" ht="15" hidden="1" customHeight="1" x14ac:dyDescent="0.25">
      <c r="A293" t="s">
        <v>54</v>
      </c>
      <c r="B293" t="s">
        <v>39</v>
      </c>
      <c r="C293">
        <v>4</v>
      </c>
      <c r="D293" t="s">
        <v>45</v>
      </c>
      <c r="E293">
        <v>0</v>
      </c>
      <c r="F293" t="s">
        <v>40</v>
      </c>
    </row>
    <row r="294" spans="1:6" ht="15" hidden="1" customHeight="1" x14ac:dyDescent="0.25">
      <c r="A294" t="s">
        <v>54</v>
      </c>
      <c r="B294" t="s">
        <v>39</v>
      </c>
      <c r="C294">
        <v>5</v>
      </c>
      <c r="D294" t="s">
        <v>7</v>
      </c>
      <c r="E294">
        <v>0</v>
      </c>
      <c r="F294" t="s">
        <v>40</v>
      </c>
    </row>
    <row r="295" spans="1:6" ht="15" hidden="1" customHeight="1" x14ac:dyDescent="0.25">
      <c r="A295" t="s">
        <v>54</v>
      </c>
      <c r="B295" t="s">
        <v>39</v>
      </c>
      <c r="C295">
        <v>6</v>
      </c>
      <c r="D295" t="s">
        <v>53</v>
      </c>
      <c r="E295">
        <v>0</v>
      </c>
      <c r="F295" t="s">
        <v>40</v>
      </c>
    </row>
    <row r="296" spans="1:6" ht="15" hidden="1" customHeight="1" x14ac:dyDescent="0.25">
      <c r="A296" t="s">
        <v>54</v>
      </c>
      <c r="B296" t="s">
        <v>39</v>
      </c>
      <c r="C296">
        <v>7</v>
      </c>
      <c r="D296" t="s">
        <v>56</v>
      </c>
      <c r="E296">
        <v>0</v>
      </c>
      <c r="F296" t="s">
        <v>40</v>
      </c>
    </row>
    <row r="297" spans="1:6" ht="15" hidden="1" customHeight="1" x14ac:dyDescent="0.25">
      <c r="A297" t="s">
        <v>54</v>
      </c>
      <c r="B297" t="s">
        <v>39</v>
      </c>
      <c r="C297">
        <v>8</v>
      </c>
      <c r="D297" t="s">
        <v>60</v>
      </c>
      <c r="E297">
        <v>0</v>
      </c>
      <c r="F297" t="s">
        <v>40</v>
      </c>
    </row>
    <row r="298" spans="1:6" ht="15" hidden="1" customHeight="1" x14ac:dyDescent="0.25">
      <c r="A298" t="s">
        <v>54</v>
      </c>
      <c r="B298" t="s">
        <v>39</v>
      </c>
      <c r="C298">
        <v>9</v>
      </c>
      <c r="D298" t="s">
        <v>63</v>
      </c>
      <c r="E298">
        <v>0</v>
      </c>
      <c r="F298" t="s">
        <v>40</v>
      </c>
    </row>
    <row r="299" spans="1:6" ht="15" hidden="1" customHeight="1" x14ac:dyDescent="0.25">
      <c r="A299" t="s">
        <v>54</v>
      </c>
      <c r="B299" t="s">
        <v>39</v>
      </c>
      <c r="C299">
        <v>10</v>
      </c>
      <c r="D299" t="s">
        <v>65</v>
      </c>
      <c r="E299">
        <v>3.45</v>
      </c>
      <c r="F299" t="s">
        <v>40</v>
      </c>
    </row>
    <row r="300" spans="1:6" ht="15" hidden="1" customHeight="1" x14ac:dyDescent="0.25">
      <c r="A300" t="s">
        <v>54</v>
      </c>
      <c r="B300" t="s">
        <v>39</v>
      </c>
      <c r="C300">
        <v>11</v>
      </c>
      <c r="D300" t="s">
        <v>67</v>
      </c>
      <c r="E300">
        <v>0</v>
      </c>
      <c r="F300" t="s">
        <v>40</v>
      </c>
    </row>
    <row r="301" spans="1:6" ht="15" hidden="1" customHeight="1" x14ac:dyDescent="0.25">
      <c r="A301" t="s">
        <v>54</v>
      </c>
      <c r="B301" t="s">
        <v>39</v>
      </c>
      <c r="C301">
        <v>12</v>
      </c>
      <c r="D301" t="s">
        <v>70</v>
      </c>
      <c r="E301">
        <v>0</v>
      </c>
      <c r="F301" t="s">
        <v>40</v>
      </c>
    </row>
    <row r="302" spans="1:6" ht="15" customHeight="1" x14ac:dyDescent="0.25">
      <c r="A302" t="s">
        <v>54</v>
      </c>
      <c r="B302" t="s">
        <v>43</v>
      </c>
      <c r="C302">
        <v>1</v>
      </c>
      <c r="D302" t="s">
        <v>35</v>
      </c>
      <c r="E302">
        <v>110.48045</v>
      </c>
      <c r="F302" t="s">
        <v>40</v>
      </c>
    </row>
    <row r="303" spans="1:6" ht="15" hidden="1" customHeight="1" x14ac:dyDescent="0.25">
      <c r="A303" t="s">
        <v>54</v>
      </c>
      <c r="B303" t="s">
        <v>43</v>
      </c>
      <c r="C303">
        <v>2</v>
      </c>
      <c r="D303" t="s">
        <v>37</v>
      </c>
      <c r="E303">
        <v>100.33</v>
      </c>
      <c r="F303" t="s">
        <v>40</v>
      </c>
    </row>
    <row r="304" spans="1:6" ht="15" hidden="1" customHeight="1" x14ac:dyDescent="0.25">
      <c r="A304" t="s">
        <v>54</v>
      </c>
      <c r="B304" t="s">
        <v>43</v>
      </c>
      <c r="C304">
        <v>3</v>
      </c>
      <c r="D304" t="s">
        <v>41</v>
      </c>
      <c r="E304">
        <v>233.9973</v>
      </c>
      <c r="F304" t="s">
        <v>40</v>
      </c>
    </row>
    <row r="305" spans="1:6" ht="15" hidden="1" customHeight="1" x14ac:dyDescent="0.25">
      <c r="A305" t="s">
        <v>54</v>
      </c>
      <c r="B305" t="s">
        <v>43</v>
      </c>
      <c r="C305">
        <v>4</v>
      </c>
      <c r="D305" t="s">
        <v>45</v>
      </c>
      <c r="E305">
        <v>145.35645</v>
      </c>
      <c r="F305" t="s">
        <v>40</v>
      </c>
    </row>
    <row r="306" spans="1:6" ht="15" hidden="1" customHeight="1" x14ac:dyDescent="0.25">
      <c r="A306" t="s">
        <v>54</v>
      </c>
      <c r="B306" t="s">
        <v>43</v>
      </c>
      <c r="C306">
        <v>5</v>
      </c>
      <c r="D306" t="s">
        <v>7</v>
      </c>
      <c r="E306">
        <v>173.93055000000001</v>
      </c>
      <c r="F306" t="s">
        <v>40</v>
      </c>
    </row>
    <row r="307" spans="1:6" ht="15" hidden="1" customHeight="1" x14ac:dyDescent="0.25">
      <c r="A307" t="s">
        <v>54</v>
      </c>
      <c r="B307" t="s">
        <v>43</v>
      </c>
      <c r="C307">
        <v>6</v>
      </c>
      <c r="D307" t="s">
        <v>53</v>
      </c>
      <c r="E307">
        <v>97.587500000000006</v>
      </c>
      <c r="F307" t="s">
        <v>40</v>
      </c>
    </row>
    <row r="308" spans="1:6" ht="15" hidden="1" customHeight="1" x14ac:dyDescent="0.25">
      <c r="A308" t="s">
        <v>54</v>
      </c>
      <c r="B308" t="s">
        <v>43</v>
      </c>
      <c r="C308">
        <v>7</v>
      </c>
      <c r="D308" t="s">
        <v>56</v>
      </c>
      <c r="E308">
        <v>123.99464999999999</v>
      </c>
      <c r="F308" t="s">
        <v>40</v>
      </c>
    </row>
    <row r="309" spans="1:6" ht="15" hidden="1" customHeight="1" x14ac:dyDescent="0.25">
      <c r="A309" t="s">
        <v>54</v>
      </c>
      <c r="B309" t="s">
        <v>43</v>
      </c>
      <c r="C309">
        <v>8</v>
      </c>
      <c r="D309" t="s">
        <v>60</v>
      </c>
      <c r="E309">
        <v>75.953749999999999</v>
      </c>
      <c r="F309" t="s">
        <v>40</v>
      </c>
    </row>
    <row r="310" spans="1:6" ht="15" hidden="1" customHeight="1" x14ac:dyDescent="0.25">
      <c r="A310" t="s">
        <v>54</v>
      </c>
      <c r="B310" t="s">
        <v>43</v>
      </c>
      <c r="C310">
        <v>9</v>
      </c>
      <c r="D310" t="s">
        <v>63</v>
      </c>
      <c r="E310">
        <v>130.4716</v>
      </c>
      <c r="F310" t="s">
        <v>40</v>
      </c>
    </row>
    <row r="311" spans="1:6" ht="15" hidden="1" customHeight="1" x14ac:dyDescent="0.25">
      <c r="A311" t="s">
        <v>54</v>
      </c>
      <c r="B311" t="s">
        <v>43</v>
      </c>
      <c r="C311">
        <v>10</v>
      </c>
      <c r="D311" t="s">
        <v>65</v>
      </c>
      <c r="E311">
        <v>170.54169999999999</v>
      </c>
      <c r="F311" t="s">
        <v>40</v>
      </c>
    </row>
    <row r="312" spans="1:6" ht="15" hidden="1" customHeight="1" x14ac:dyDescent="0.25">
      <c r="A312" t="s">
        <v>54</v>
      </c>
      <c r="B312" t="s">
        <v>43</v>
      </c>
      <c r="C312">
        <v>11</v>
      </c>
      <c r="D312" t="s">
        <v>67</v>
      </c>
      <c r="E312">
        <v>108.89964999999999</v>
      </c>
      <c r="F312" t="s">
        <v>40</v>
      </c>
    </row>
    <row r="313" spans="1:6" ht="15" hidden="1" customHeight="1" x14ac:dyDescent="0.25">
      <c r="A313" t="s">
        <v>54</v>
      </c>
      <c r="B313" t="s">
        <v>43</v>
      </c>
      <c r="C313">
        <v>12</v>
      </c>
      <c r="D313" t="s">
        <v>70</v>
      </c>
      <c r="E313">
        <v>90.155900000000003</v>
      </c>
      <c r="F313" t="s">
        <v>40</v>
      </c>
    </row>
    <row r="314" spans="1:6" ht="15" customHeight="1" x14ac:dyDescent="0.25">
      <c r="A314" t="s">
        <v>54</v>
      </c>
      <c r="B314" t="s">
        <v>47</v>
      </c>
      <c r="C314">
        <v>1</v>
      </c>
      <c r="D314" t="s">
        <v>35</v>
      </c>
      <c r="E314">
        <v>0</v>
      </c>
      <c r="F314" t="s">
        <v>40</v>
      </c>
    </row>
    <row r="315" spans="1:6" ht="15" hidden="1" customHeight="1" x14ac:dyDescent="0.25">
      <c r="A315" t="s">
        <v>54</v>
      </c>
      <c r="B315" t="s">
        <v>47</v>
      </c>
      <c r="C315">
        <v>2</v>
      </c>
      <c r="D315" t="s">
        <v>37</v>
      </c>
      <c r="E315">
        <v>2.72</v>
      </c>
      <c r="F315" t="s">
        <v>40</v>
      </c>
    </row>
    <row r="316" spans="1:6" ht="15" hidden="1" customHeight="1" x14ac:dyDescent="0.25">
      <c r="A316" t="s">
        <v>54</v>
      </c>
      <c r="B316" t="s">
        <v>47</v>
      </c>
      <c r="C316">
        <v>3</v>
      </c>
      <c r="D316" t="s">
        <v>41</v>
      </c>
      <c r="E316">
        <v>0</v>
      </c>
      <c r="F316" t="s">
        <v>40</v>
      </c>
    </row>
    <row r="317" spans="1:6" ht="15" hidden="1" customHeight="1" x14ac:dyDescent="0.25">
      <c r="A317" t="s">
        <v>54</v>
      </c>
      <c r="B317" t="s">
        <v>47</v>
      </c>
      <c r="C317">
        <v>4</v>
      </c>
      <c r="D317" t="s">
        <v>45</v>
      </c>
      <c r="E317">
        <v>0.62</v>
      </c>
      <c r="F317" t="s">
        <v>40</v>
      </c>
    </row>
    <row r="318" spans="1:6" ht="15" hidden="1" customHeight="1" x14ac:dyDescent="0.25">
      <c r="A318" t="s">
        <v>54</v>
      </c>
      <c r="B318" t="s">
        <v>47</v>
      </c>
      <c r="C318">
        <v>5</v>
      </c>
      <c r="D318" t="s">
        <v>7</v>
      </c>
      <c r="E318">
        <v>2.65</v>
      </c>
      <c r="F318" t="s">
        <v>40</v>
      </c>
    </row>
    <row r="319" spans="1:6" ht="15" hidden="1" customHeight="1" x14ac:dyDescent="0.25">
      <c r="A319" t="s">
        <v>54</v>
      </c>
      <c r="B319" t="s">
        <v>47</v>
      </c>
      <c r="C319">
        <v>6</v>
      </c>
      <c r="D319" t="s">
        <v>53</v>
      </c>
      <c r="E319">
        <v>4.0999999999999996</v>
      </c>
      <c r="F319" t="s">
        <v>40</v>
      </c>
    </row>
    <row r="320" spans="1:6" ht="15" hidden="1" customHeight="1" x14ac:dyDescent="0.25">
      <c r="A320" t="s">
        <v>54</v>
      </c>
      <c r="B320" t="s">
        <v>47</v>
      </c>
      <c r="C320">
        <v>7</v>
      </c>
      <c r="D320" t="s">
        <v>56</v>
      </c>
      <c r="E320">
        <v>2.5049999999999999</v>
      </c>
      <c r="F320" t="s">
        <v>40</v>
      </c>
    </row>
    <row r="321" spans="1:6" ht="15" hidden="1" customHeight="1" x14ac:dyDescent="0.25">
      <c r="A321" t="s">
        <v>54</v>
      </c>
      <c r="B321" t="s">
        <v>47</v>
      </c>
      <c r="C321">
        <v>8</v>
      </c>
      <c r="D321" t="s">
        <v>60</v>
      </c>
      <c r="E321">
        <v>1.325</v>
      </c>
      <c r="F321" t="s">
        <v>40</v>
      </c>
    </row>
    <row r="322" spans="1:6" ht="15" hidden="1" customHeight="1" x14ac:dyDescent="0.25">
      <c r="A322" t="s">
        <v>54</v>
      </c>
      <c r="B322" t="s">
        <v>47</v>
      </c>
      <c r="C322">
        <v>9</v>
      </c>
      <c r="D322" t="s">
        <v>63</v>
      </c>
      <c r="E322">
        <v>0.33</v>
      </c>
      <c r="F322" t="s">
        <v>40</v>
      </c>
    </row>
    <row r="323" spans="1:6" ht="15" hidden="1" customHeight="1" x14ac:dyDescent="0.25">
      <c r="A323" t="s">
        <v>54</v>
      </c>
      <c r="B323" t="s">
        <v>47</v>
      </c>
      <c r="C323">
        <v>10</v>
      </c>
      <c r="D323" t="s">
        <v>65</v>
      </c>
      <c r="E323">
        <v>1.24</v>
      </c>
      <c r="F323" t="s">
        <v>40</v>
      </c>
    </row>
    <row r="324" spans="1:6" ht="15" hidden="1" customHeight="1" x14ac:dyDescent="0.25">
      <c r="A324" t="s">
        <v>54</v>
      </c>
      <c r="B324" t="s">
        <v>47</v>
      </c>
      <c r="C324">
        <v>11</v>
      </c>
      <c r="D324" t="s">
        <v>67</v>
      </c>
      <c r="E324">
        <v>2.25</v>
      </c>
      <c r="F324" t="s">
        <v>40</v>
      </c>
    </row>
    <row r="325" spans="1:6" ht="15" hidden="1" customHeight="1" x14ac:dyDescent="0.25">
      <c r="A325" t="s">
        <v>54</v>
      </c>
      <c r="B325" t="s">
        <v>47</v>
      </c>
      <c r="C325">
        <v>12</v>
      </c>
      <c r="D325" t="s">
        <v>70</v>
      </c>
      <c r="E325">
        <v>1.155</v>
      </c>
      <c r="F325" t="s">
        <v>40</v>
      </c>
    </row>
    <row r="326" spans="1:6" ht="15" customHeight="1" x14ac:dyDescent="0.25">
      <c r="A326" t="s">
        <v>54</v>
      </c>
      <c r="B326" t="s">
        <v>51</v>
      </c>
      <c r="C326">
        <v>1</v>
      </c>
      <c r="D326" t="s">
        <v>35</v>
      </c>
      <c r="E326">
        <v>0</v>
      </c>
      <c r="F326" t="s">
        <v>40</v>
      </c>
    </row>
    <row r="327" spans="1:6" ht="15" hidden="1" customHeight="1" x14ac:dyDescent="0.25">
      <c r="A327" t="s">
        <v>54</v>
      </c>
      <c r="B327" t="s">
        <v>51</v>
      </c>
      <c r="C327">
        <v>2</v>
      </c>
      <c r="D327" t="s">
        <v>37</v>
      </c>
      <c r="E327">
        <v>0</v>
      </c>
      <c r="F327" t="s">
        <v>40</v>
      </c>
    </row>
    <row r="328" spans="1:6" ht="15" hidden="1" customHeight="1" x14ac:dyDescent="0.25">
      <c r="A328" t="s">
        <v>54</v>
      </c>
      <c r="B328" t="s">
        <v>51</v>
      </c>
      <c r="C328">
        <v>3</v>
      </c>
      <c r="D328" t="s">
        <v>41</v>
      </c>
      <c r="E328">
        <v>3.08</v>
      </c>
      <c r="F328" t="s">
        <v>40</v>
      </c>
    </row>
    <row r="329" spans="1:6" ht="15" hidden="1" customHeight="1" x14ac:dyDescent="0.25">
      <c r="A329" t="s">
        <v>54</v>
      </c>
      <c r="B329" t="s">
        <v>51</v>
      </c>
      <c r="C329">
        <v>4</v>
      </c>
      <c r="D329" t="s">
        <v>45</v>
      </c>
      <c r="E329">
        <v>0</v>
      </c>
      <c r="F329" t="s">
        <v>40</v>
      </c>
    </row>
    <row r="330" spans="1:6" ht="15" hidden="1" customHeight="1" x14ac:dyDescent="0.25">
      <c r="A330" t="s">
        <v>54</v>
      </c>
      <c r="B330" t="s">
        <v>51</v>
      </c>
      <c r="C330">
        <v>5</v>
      </c>
      <c r="D330" t="s">
        <v>7</v>
      </c>
      <c r="E330">
        <v>1.575</v>
      </c>
      <c r="F330" t="s">
        <v>40</v>
      </c>
    </row>
    <row r="331" spans="1:6" ht="15" hidden="1" customHeight="1" x14ac:dyDescent="0.25">
      <c r="A331" t="s">
        <v>54</v>
      </c>
      <c r="B331" t="s">
        <v>51</v>
      </c>
      <c r="C331">
        <v>6</v>
      </c>
      <c r="D331" t="s">
        <v>53</v>
      </c>
      <c r="E331">
        <v>0.35</v>
      </c>
      <c r="F331" t="s">
        <v>40</v>
      </c>
    </row>
    <row r="332" spans="1:6" ht="15" hidden="1" customHeight="1" x14ac:dyDescent="0.25">
      <c r="A332" t="s">
        <v>54</v>
      </c>
      <c r="B332" t="s">
        <v>51</v>
      </c>
      <c r="C332">
        <v>7</v>
      </c>
      <c r="D332" t="s">
        <v>56</v>
      </c>
      <c r="E332">
        <v>1.47</v>
      </c>
      <c r="F332" t="s">
        <v>40</v>
      </c>
    </row>
    <row r="333" spans="1:6" ht="15" hidden="1" customHeight="1" x14ac:dyDescent="0.25">
      <c r="A333" t="s">
        <v>54</v>
      </c>
      <c r="B333" t="s">
        <v>51</v>
      </c>
      <c r="C333">
        <v>8</v>
      </c>
      <c r="D333" t="s">
        <v>60</v>
      </c>
      <c r="E333">
        <v>0.08</v>
      </c>
      <c r="F333" t="s">
        <v>40</v>
      </c>
    </row>
    <row r="334" spans="1:6" ht="15" hidden="1" customHeight="1" x14ac:dyDescent="0.25">
      <c r="A334" t="s">
        <v>54</v>
      </c>
      <c r="B334" t="s">
        <v>51</v>
      </c>
      <c r="C334">
        <v>9</v>
      </c>
      <c r="D334" t="s">
        <v>63</v>
      </c>
      <c r="E334">
        <v>0</v>
      </c>
      <c r="F334" t="s">
        <v>40</v>
      </c>
    </row>
    <row r="335" spans="1:6" ht="15" hidden="1" customHeight="1" x14ac:dyDescent="0.25">
      <c r="A335" t="s">
        <v>54</v>
      </c>
      <c r="B335" t="s">
        <v>51</v>
      </c>
      <c r="C335">
        <v>10</v>
      </c>
      <c r="D335" t="s">
        <v>65</v>
      </c>
      <c r="E335">
        <v>1.575</v>
      </c>
      <c r="F335" t="s">
        <v>40</v>
      </c>
    </row>
    <row r="336" spans="1:6" ht="15" hidden="1" customHeight="1" x14ac:dyDescent="0.25">
      <c r="A336" t="s">
        <v>54</v>
      </c>
      <c r="B336" t="s">
        <v>51</v>
      </c>
      <c r="C336">
        <v>11</v>
      </c>
      <c r="D336" t="s">
        <v>67</v>
      </c>
      <c r="E336">
        <v>0</v>
      </c>
      <c r="F336" t="s">
        <v>40</v>
      </c>
    </row>
    <row r="337" spans="1:6" ht="15" hidden="1" customHeight="1" x14ac:dyDescent="0.25">
      <c r="A337" t="s">
        <v>54</v>
      </c>
      <c r="B337" t="s">
        <v>51</v>
      </c>
      <c r="C337">
        <v>12</v>
      </c>
      <c r="D337" t="s">
        <v>70</v>
      </c>
      <c r="E337">
        <v>0</v>
      </c>
      <c r="F337" t="s">
        <v>40</v>
      </c>
    </row>
    <row r="338" spans="1:6" ht="15" customHeight="1" x14ac:dyDescent="0.25">
      <c r="A338" t="s">
        <v>54</v>
      </c>
      <c r="B338" t="s">
        <v>55</v>
      </c>
      <c r="C338">
        <v>1</v>
      </c>
      <c r="D338" t="s">
        <v>35</v>
      </c>
      <c r="E338">
        <v>0</v>
      </c>
      <c r="F338" t="s">
        <v>40</v>
      </c>
    </row>
    <row r="339" spans="1:6" ht="15" hidden="1" customHeight="1" x14ac:dyDescent="0.25">
      <c r="A339" t="s">
        <v>54</v>
      </c>
      <c r="B339" t="s">
        <v>55</v>
      </c>
      <c r="C339">
        <v>2</v>
      </c>
      <c r="D339" t="s">
        <v>37</v>
      </c>
      <c r="E339">
        <v>0</v>
      </c>
      <c r="F339" t="s">
        <v>40</v>
      </c>
    </row>
    <row r="340" spans="1:6" ht="15" hidden="1" customHeight="1" x14ac:dyDescent="0.25">
      <c r="A340" t="s">
        <v>54</v>
      </c>
      <c r="B340" t="s">
        <v>55</v>
      </c>
      <c r="C340">
        <v>3</v>
      </c>
      <c r="D340" t="s">
        <v>41</v>
      </c>
      <c r="E340">
        <v>2.5499999999999998</v>
      </c>
      <c r="F340" t="s">
        <v>40</v>
      </c>
    </row>
    <row r="341" spans="1:6" ht="15" hidden="1" customHeight="1" x14ac:dyDescent="0.25">
      <c r="A341" t="s">
        <v>54</v>
      </c>
      <c r="B341" t="s">
        <v>55</v>
      </c>
      <c r="C341">
        <v>4</v>
      </c>
      <c r="D341" t="s">
        <v>45</v>
      </c>
      <c r="E341">
        <v>2.14</v>
      </c>
      <c r="F341" t="s">
        <v>40</v>
      </c>
    </row>
    <row r="342" spans="1:6" ht="15" hidden="1" customHeight="1" x14ac:dyDescent="0.25">
      <c r="A342" t="s">
        <v>54</v>
      </c>
      <c r="B342" t="s">
        <v>55</v>
      </c>
      <c r="C342">
        <v>5</v>
      </c>
      <c r="D342" t="s">
        <v>7</v>
      </c>
      <c r="E342">
        <v>0.16</v>
      </c>
      <c r="F342" t="s">
        <v>40</v>
      </c>
    </row>
    <row r="343" spans="1:6" ht="15" hidden="1" customHeight="1" x14ac:dyDescent="0.25">
      <c r="A343" t="s">
        <v>54</v>
      </c>
      <c r="B343" t="s">
        <v>55</v>
      </c>
      <c r="C343">
        <v>6</v>
      </c>
      <c r="D343" t="s">
        <v>53</v>
      </c>
      <c r="E343">
        <v>0</v>
      </c>
      <c r="F343" t="s">
        <v>40</v>
      </c>
    </row>
    <row r="344" spans="1:6" ht="15" hidden="1" customHeight="1" x14ac:dyDescent="0.25">
      <c r="A344" t="s">
        <v>54</v>
      </c>
      <c r="B344" t="s">
        <v>55</v>
      </c>
      <c r="C344">
        <v>7</v>
      </c>
      <c r="D344" t="s">
        <v>56</v>
      </c>
      <c r="E344">
        <v>0</v>
      </c>
      <c r="F344" t="s">
        <v>40</v>
      </c>
    </row>
    <row r="345" spans="1:6" ht="15" hidden="1" customHeight="1" x14ac:dyDescent="0.25">
      <c r="A345" t="s">
        <v>54</v>
      </c>
      <c r="B345" t="s">
        <v>55</v>
      </c>
      <c r="C345">
        <v>8</v>
      </c>
      <c r="D345" t="s">
        <v>60</v>
      </c>
      <c r="E345">
        <v>0.3</v>
      </c>
      <c r="F345" t="s">
        <v>40</v>
      </c>
    </row>
    <row r="346" spans="1:6" ht="15" hidden="1" customHeight="1" x14ac:dyDescent="0.25">
      <c r="A346" t="s">
        <v>54</v>
      </c>
      <c r="B346" t="s">
        <v>55</v>
      </c>
      <c r="C346">
        <v>9</v>
      </c>
      <c r="D346" t="s">
        <v>63</v>
      </c>
      <c r="E346">
        <v>1.5</v>
      </c>
      <c r="F346" t="s">
        <v>40</v>
      </c>
    </row>
    <row r="347" spans="1:6" ht="15" hidden="1" customHeight="1" x14ac:dyDescent="0.25">
      <c r="A347" t="s">
        <v>54</v>
      </c>
      <c r="B347" t="s">
        <v>55</v>
      </c>
      <c r="C347">
        <v>10</v>
      </c>
      <c r="D347" t="s">
        <v>65</v>
      </c>
      <c r="E347">
        <v>0.16</v>
      </c>
      <c r="F347" t="s">
        <v>40</v>
      </c>
    </row>
    <row r="348" spans="1:6" ht="15" hidden="1" customHeight="1" x14ac:dyDescent="0.25">
      <c r="A348" t="s">
        <v>54</v>
      </c>
      <c r="B348" t="s">
        <v>55</v>
      </c>
      <c r="C348">
        <v>11</v>
      </c>
      <c r="D348" t="s">
        <v>67</v>
      </c>
      <c r="E348">
        <v>0.32</v>
      </c>
      <c r="F348" t="s">
        <v>40</v>
      </c>
    </row>
    <row r="349" spans="1:6" ht="15" hidden="1" customHeight="1" x14ac:dyDescent="0.25">
      <c r="A349" t="s">
        <v>54</v>
      </c>
      <c r="B349" t="s">
        <v>55</v>
      </c>
      <c r="C349">
        <v>12</v>
      </c>
      <c r="D349" t="s">
        <v>70</v>
      </c>
      <c r="E349">
        <v>0</v>
      </c>
      <c r="F349" t="s">
        <v>40</v>
      </c>
    </row>
    <row r="350" spans="1:6" ht="15" customHeight="1" x14ac:dyDescent="0.25">
      <c r="A350" t="s">
        <v>54</v>
      </c>
      <c r="B350" t="s">
        <v>58</v>
      </c>
      <c r="C350">
        <v>1</v>
      </c>
      <c r="D350" t="s">
        <v>35</v>
      </c>
      <c r="E350">
        <v>0</v>
      </c>
      <c r="F350" t="s">
        <v>40</v>
      </c>
    </row>
    <row r="351" spans="1:6" ht="15" hidden="1" customHeight="1" x14ac:dyDescent="0.25">
      <c r="A351" t="s">
        <v>54</v>
      </c>
      <c r="B351" t="s">
        <v>58</v>
      </c>
      <c r="C351">
        <v>2</v>
      </c>
      <c r="D351" t="s">
        <v>37</v>
      </c>
      <c r="E351">
        <v>0</v>
      </c>
      <c r="F351" t="s">
        <v>40</v>
      </c>
    </row>
    <row r="352" spans="1:6" ht="15" hidden="1" customHeight="1" x14ac:dyDescent="0.25">
      <c r="A352" t="s">
        <v>54</v>
      </c>
      <c r="B352" t="s">
        <v>58</v>
      </c>
      <c r="C352">
        <v>3</v>
      </c>
      <c r="D352" t="s">
        <v>41</v>
      </c>
      <c r="E352">
        <v>0</v>
      </c>
      <c r="F352" t="s">
        <v>40</v>
      </c>
    </row>
    <row r="353" spans="1:6" ht="15" hidden="1" customHeight="1" x14ac:dyDescent="0.25">
      <c r="A353" t="s">
        <v>54</v>
      </c>
      <c r="B353" t="s">
        <v>58</v>
      </c>
      <c r="C353">
        <v>4</v>
      </c>
      <c r="D353" t="s">
        <v>45</v>
      </c>
      <c r="E353">
        <v>0</v>
      </c>
      <c r="F353" t="s">
        <v>40</v>
      </c>
    </row>
    <row r="354" spans="1:6" ht="15" hidden="1" customHeight="1" x14ac:dyDescent="0.25">
      <c r="A354" t="s">
        <v>54</v>
      </c>
      <c r="B354" t="s">
        <v>58</v>
      </c>
      <c r="C354">
        <v>5</v>
      </c>
      <c r="D354" t="s">
        <v>7</v>
      </c>
      <c r="E354">
        <v>0</v>
      </c>
      <c r="F354" t="s">
        <v>40</v>
      </c>
    </row>
    <row r="355" spans="1:6" ht="15" hidden="1" customHeight="1" x14ac:dyDescent="0.25">
      <c r="A355" t="s">
        <v>54</v>
      </c>
      <c r="B355" t="s">
        <v>58</v>
      </c>
      <c r="C355">
        <v>6</v>
      </c>
      <c r="D355" t="s">
        <v>53</v>
      </c>
      <c r="E355">
        <v>0</v>
      </c>
      <c r="F355" t="s">
        <v>40</v>
      </c>
    </row>
    <row r="356" spans="1:6" ht="15" hidden="1" customHeight="1" x14ac:dyDescent="0.25">
      <c r="A356" t="s">
        <v>54</v>
      </c>
      <c r="B356" t="s">
        <v>58</v>
      </c>
      <c r="C356">
        <v>7</v>
      </c>
      <c r="D356" t="s">
        <v>56</v>
      </c>
      <c r="E356">
        <v>0</v>
      </c>
      <c r="F356" t="s">
        <v>40</v>
      </c>
    </row>
    <row r="357" spans="1:6" ht="15" hidden="1" customHeight="1" x14ac:dyDescent="0.25">
      <c r="A357" t="s">
        <v>54</v>
      </c>
      <c r="B357" t="s">
        <v>58</v>
      </c>
      <c r="C357">
        <v>8</v>
      </c>
      <c r="D357" t="s">
        <v>60</v>
      </c>
      <c r="E357">
        <v>0</v>
      </c>
      <c r="F357" t="s">
        <v>40</v>
      </c>
    </row>
    <row r="358" spans="1:6" ht="15" hidden="1" customHeight="1" x14ac:dyDescent="0.25">
      <c r="A358" t="s">
        <v>54</v>
      </c>
      <c r="B358" t="s">
        <v>58</v>
      </c>
      <c r="C358">
        <v>9</v>
      </c>
      <c r="D358" t="s">
        <v>63</v>
      </c>
      <c r="E358">
        <v>0</v>
      </c>
      <c r="F358" t="s">
        <v>40</v>
      </c>
    </row>
    <row r="359" spans="1:6" ht="15" hidden="1" customHeight="1" x14ac:dyDescent="0.25">
      <c r="A359" t="s">
        <v>54</v>
      </c>
      <c r="B359" t="s">
        <v>58</v>
      </c>
      <c r="C359">
        <v>10</v>
      </c>
      <c r="D359" t="s">
        <v>65</v>
      </c>
      <c r="E359">
        <v>0</v>
      </c>
      <c r="F359" t="s">
        <v>40</v>
      </c>
    </row>
    <row r="360" spans="1:6" ht="15" hidden="1" customHeight="1" x14ac:dyDescent="0.25">
      <c r="A360" t="s">
        <v>54</v>
      </c>
      <c r="B360" t="s">
        <v>58</v>
      </c>
      <c r="C360">
        <v>11</v>
      </c>
      <c r="D360" t="s">
        <v>67</v>
      </c>
      <c r="E360">
        <v>0</v>
      </c>
      <c r="F360" t="s">
        <v>40</v>
      </c>
    </row>
    <row r="361" spans="1:6" ht="15" hidden="1" customHeight="1" x14ac:dyDescent="0.25">
      <c r="A361" t="s">
        <v>54</v>
      </c>
      <c r="B361" t="s">
        <v>58</v>
      </c>
      <c r="C361">
        <v>12</v>
      </c>
      <c r="D361" t="s">
        <v>70</v>
      </c>
      <c r="E361">
        <v>0</v>
      </c>
      <c r="F361" t="s">
        <v>40</v>
      </c>
    </row>
    <row r="362" spans="1:6" ht="15" customHeight="1" x14ac:dyDescent="0.25">
      <c r="A362" t="s">
        <v>82</v>
      </c>
      <c r="B362" t="s">
        <v>39</v>
      </c>
      <c r="C362">
        <v>1</v>
      </c>
      <c r="D362" t="s">
        <v>35</v>
      </c>
      <c r="E362">
        <v>0</v>
      </c>
      <c r="F362" t="e">
        <f>#N/A</f>
        <v>#N/A</v>
      </c>
    </row>
    <row r="363" spans="1:6" ht="15" hidden="1" customHeight="1" x14ac:dyDescent="0.25">
      <c r="A363" t="s">
        <v>82</v>
      </c>
      <c r="B363" t="s">
        <v>39</v>
      </c>
      <c r="C363">
        <v>2</v>
      </c>
      <c r="D363" t="s">
        <v>37</v>
      </c>
      <c r="E363">
        <v>0</v>
      </c>
      <c r="F363" t="e">
        <f>#N/A</f>
        <v>#N/A</v>
      </c>
    </row>
    <row r="364" spans="1:6" ht="15" hidden="1" customHeight="1" x14ac:dyDescent="0.25">
      <c r="A364" t="s">
        <v>82</v>
      </c>
      <c r="B364" t="s">
        <v>39</v>
      </c>
      <c r="C364">
        <v>3</v>
      </c>
      <c r="D364" t="s">
        <v>41</v>
      </c>
      <c r="E364">
        <v>0</v>
      </c>
      <c r="F364" t="e">
        <f>#N/A</f>
        <v>#N/A</v>
      </c>
    </row>
    <row r="365" spans="1:6" ht="15" hidden="1" customHeight="1" x14ac:dyDescent="0.25">
      <c r="A365" t="s">
        <v>82</v>
      </c>
      <c r="B365" t="s">
        <v>39</v>
      </c>
      <c r="C365">
        <v>4</v>
      </c>
      <c r="D365" t="s">
        <v>45</v>
      </c>
      <c r="E365">
        <v>0</v>
      </c>
      <c r="F365" t="e">
        <f>#N/A</f>
        <v>#N/A</v>
      </c>
    </row>
    <row r="366" spans="1:6" ht="15" hidden="1" customHeight="1" x14ac:dyDescent="0.25">
      <c r="A366" t="s">
        <v>82</v>
      </c>
      <c r="B366" t="s">
        <v>39</v>
      </c>
      <c r="C366">
        <v>5</v>
      </c>
      <c r="D366" t="s">
        <v>7</v>
      </c>
      <c r="E366">
        <v>0</v>
      </c>
      <c r="F366" t="e">
        <f>#N/A</f>
        <v>#N/A</v>
      </c>
    </row>
    <row r="367" spans="1:6" ht="15" hidden="1" customHeight="1" x14ac:dyDescent="0.25">
      <c r="A367" t="s">
        <v>82</v>
      </c>
      <c r="B367" t="s">
        <v>39</v>
      </c>
      <c r="C367">
        <v>6</v>
      </c>
      <c r="D367" t="s">
        <v>53</v>
      </c>
      <c r="E367">
        <v>0</v>
      </c>
      <c r="F367" t="e">
        <f>#N/A</f>
        <v>#N/A</v>
      </c>
    </row>
    <row r="368" spans="1:6" ht="15" hidden="1" customHeight="1" x14ac:dyDescent="0.25">
      <c r="A368" t="s">
        <v>82</v>
      </c>
      <c r="B368" t="s">
        <v>39</v>
      </c>
      <c r="C368">
        <v>7</v>
      </c>
      <c r="D368" t="s">
        <v>56</v>
      </c>
      <c r="E368">
        <v>0</v>
      </c>
      <c r="F368" t="e">
        <f>#N/A</f>
        <v>#N/A</v>
      </c>
    </row>
    <row r="369" spans="1:6" ht="15" hidden="1" customHeight="1" x14ac:dyDescent="0.25">
      <c r="A369" t="s">
        <v>82</v>
      </c>
      <c r="B369" t="s">
        <v>39</v>
      </c>
      <c r="C369">
        <v>8</v>
      </c>
      <c r="D369" t="s">
        <v>60</v>
      </c>
      <c r="E369">
        <v>0</v>
      </c>
      <c r="F369" t="e">
        <f>#N/A</f>
        <v>#N/A</v>
      </c>
    </row>
    <row r="370" spans="1:6" ht="15" hidden="1" customHeight="1" x14ac:dyDescent="0.25">
      <c r="A370" t="s">
        <v>82</v>
      </c>
      <c r="B370" t="s">
        <v>39</v>
      </c>
      <c r="C370">
        <v>9</v>
      </c>
      <c r="D370" t="s">
        <v>63</v>
      </c>
      <c r="E370">
        <v>0</v>
      </c>
      <c r="F370" t="e">
        <f>#N/A</f>
        <v>#N/A</v>
      </c>
    </row>
    <row r="371" spans="1:6" ht="15" hidden="1" customHeight="1" x14ac:dyDescent="0.25">
      <c r="A371" t="s">
        <v>82</v>
      </c>
      <c r="B371" t="s">
        <v>39</v>
      </c>
      <c r="C371">
        <v>10</v>
      </c>
      <c r="D371" t="s">
        <v>65</v>
      </c>
      <c r="E371">
        <v>0</v>
      </c>
      <c r="F371" t="e">
        <f>#N/A</f>
        <v>#N/A</v>
      </c>
    </row>
    <row r="372" spans="1:6" ht="15" hidden="1" customHeight="1" x14ac:dyDescent="0.25">
      <c r="A372" t="s">
        <v>82</v>
      </c>
      <c r="B372" t="s">
        <v>39</v>
      </c>
      <c r="C372">
        <v>11</v>
      </c>
      <c r="D372" t="s">
        <v>67</v>
      </c>
      <c r="E372">
        <v>0</v>
      </c>
      <c r="F372" t="e">
        <f>#N/A</f>
        <v>#N/A</v>
      </c>
    </row>
    <row r="373" spans="1:6" ht="15" hidden="1" customHeight="1" x14ac:dyDescent="0.25">
      <c r="A373" t="s">
        <v>82</v>
      </c>
      <c r="B373" t="s">
        <v>39</v>
      </c>
      <c r="C373">
        <v>12</v>
      </c>
      <c r="D373" t="s">
        <v>70</v>
      </c>
      <c r="E373">
        <v>0</v>
      </c>
      <c r="F373" t="e">
        <f>#N/A</f>
        <v>#N/A</v>
      </c>
    </row>
    <row r="374" spans="1:6" ht="15" customHeight="1" x14ac:dyDescent="0.25">
      <c r="A374" t="s">
        <v>82</v>
      </c>
      <c r="B374" t="s">
        <v>43</v>
      </c>
      <c r="C374">
        <v>1</v>
      </c>
      <c r="D374" t="s">
        <v>35</v>
      </c>
      <c r="E374">
        <v>0</v>
      </c>
      <c r="F374" t="e">
        <f>#N/A</f>
        <v>#N/A</v>
      </c>
    </row>
    <row r="375" spans="1:6" ht="15" hidden="1" customHeight="1" x14ac:dyDescent="0.25">
      <c r="A375" t="s">
        <v>82</v>
      </c>
      <c r="B375" t="s">
        <v>43</v>
      </c>
      <c r="C375">
        <v>2</v>
      </c>
      <c r="D375" t="s">
        <v>37</v>
      </c>
      <c r="E375">
        <v>0</v>
      </c>
      <c r="F375" t="e">
        <f>#N/A</f>
        <v>#N/A</v>
      </c>
    </row>
    <row r="376" spans="1:6" ht="15" hidden="1" customHeight="1" x14ac:dyDescent="0.25">
      <c r="A376" t="s">
        <v>82</v>
      </c>
      <c r="B376" t="s">
        <v>43</v>
      </c>
      <c r="C376">
        <v>3</v>
      </c>
      <c r="D376" t="s">
        <v>41</v>
      </c>
      <c r="E376">
        <v>0.17499999999999999</v>
      </c>
      <c r="F376" t="e">
        <f>#N/A</f>
        <v>#N/A</v>
      </c>
    </row>
    <row r="377" spans="1:6" ht="15" hidden="1" customHeight="1" x14ac:dyDescent="0.25">
      <c r="A377" t="s">
        <v>82</v>
      </c>
      <c r="B377" t="s">
        <v>43</v>
      </c>
      <c r="C377">
        <v>4</v>
      </c>
      <c r="D377" t="s">
        <v>45</v>
      </c>
      <c r="E377">
        <v>0</v>
      </c>
      <c r="F377" t="e">
        <f>#N/A</f>
        <v>#N/A</v>
      </c>
    </row>
    <row r="378" spans="1:6" ht="15" hidden="1" customHeight="1" x14ac:dyDescent="0.25">
      <c r="A378" t="s">
        <v>82</v>
      </c>
      <c r="B378" t="s">
        <v>43</v>
      </c>
      <c r="C378">
        <v>5</v>
      </c>
      <c r="D378" t="s">
        <v>7</v>
      </c>
      <c r="E378">
        <v>0</v>
      </c>
      <c r="F378" t="e">
        <f>#N/A</f>
        <v>#N/A</v>
      </c>
    </row>
    <row r="379" spans="1:6" ht="15" hidden="1" customHeight="1" x14ac:dyDescent="0.25">
      <c r="A379" t="s">
        <v>82</v>
      </c>
      <c r="B379" t="s">
        <v>43</v>
      </c>
      <c r="C379">
        <v>6</v>
      </c>
      <c r="D379" t="s">
        <v>53</v>
      </c>
      <c r="E379">
        <v>0</v>
      </c>
      <c r="F379" t="e">
        <f>#N/A</f>
        <v>#N/A</v>
      </c>
    </row>
    <row r="380" spans="1:6" ht="15" hidden="1" customHeight="1" x14ac:dyDescent="0.25">
      <c r="A380" t="s">
        <v>82</v>
      </c>
      <c r="B380" t="s">
        <v>43</v>
      </c>
      <c r="C380">
        <v>7</v>
      </c>
      <c r="D380" t="s">
        <v>56</v>
      </c>
      <c r="E380">
        <v>0</v>
      </c>
      <c r="F380" t="e">
        <f>#N/A</f>
        <v>#N/A</v>
      </c>
    </row>
    <row r="381" spans="1:6" ht="15" hidden="1" customHeight="1" x14ac:dyDescent="0.25">
      <c r="A381" t="s">
        <v>82</v>
      </c>
      <c r="B381" t="s">
        <v>43</v>
      </c>
      <c r="C381">
        <v>8</v>
      </c>
      <c r="D381" t="s">
        <v>60</v>
      </c>
      <c r="E381">
        <v>0.35</v>
      </c>
      <c r="F381" t="e">
        <f>#N/A</f>
        <v>#N/A</v>
      </c>
    </row>
    <row r="382" spans="1:6" ht="15" hidden="1" customHeight="1" x14ac:dyDescent="0.25">
      <c r="A382" t="s">
        <v>82</v>
      </c>
      <c r="B382" t="s">
        <v>43</v>
      </c>
      <c r="C382">
        <v>9</v>
      </c>
      <c r="D382" t="s">
        <v>63</v>
      </c>
      <c r="E382">
        <v>0</v>
      </c>
      <c r="F382" t="e">
        <f>#N/A</f>
        <v>#N/A</v>
      </c>
    </row>
    <row r="383" spans="1:6" ht="15" hidden="1" customHeight="1" x14ac:dyDescent="0.25">
      <c r="A383" t="s">
        <v>82</v>
      </c>
      <c r="B383" t="s">
        <v>43</v>
      </c>
      <c r="C383">
        <v>10</v>
      </c>
      <c r="D383" t="s">
        <v>65</v>
      </c>
      <c r="E383">
        <v>0</v>
      </c>
      <c r="F383" t="e">
        <f>#N/A</f>
        <v>#N/A</v>
      </c>
    </row>
    <row r="384" spans="1:6" ht="15" hidden="1" customHeight="1" x14ac:dyDescent="0.25">
      <c r="A384" t="s">
        <v>82</v>
      </c>
      <c r="B384" t="s">
        <v>43</v>
      </c>
      <c r="C384">
        <v>11</v>
      </c>
      <c r="D384" t="s">
        <v>67</v>
      </c>
      <c r="E384">
        <v>0</v>
      </c>
      <c r="F384" t="e">
        <f>#N/A</f>
        <v>#N/A</v>
      </c>
    </row>
    <row r="385" spans="1:6" ht="15" hidden="1" customHeight="1" x14ac:dyDescent="0.25">
      <c r="A385" t="s">
        <v>82</v>
      </c>
      <c r="B385" t="s">
        <v>43</v>
      </c>
      <c r="C385">
        <v>12</v>
      </c>
      <c r="D385" t="s">
        <v>70</v>
      </c>
      <c r="E385">
        <v>0</v>
      </c>
      <c r="F385" t="e">
        <f>#N/A</f>
        <v>#N/A</v>
      </c>
    </row>
    <row r="386" spans="1:6" ht="15" customHeight="1" x14ac:dyDescent="0.25">
      <c r="A386" t="s">
        <v>82</v>
      </c>
      <c r="B386" t="s">
        <v>47</v>
      </c>
      <c r="C386">
        <v>1</v>
      </c>
      <c r="D386" t="s">
        <v>35</v>
      </c>
      <c r="E386">
        <v>0</v>
      </c>
      <c r="F386" t="e">
        <f>#N/A</f>
        <v>#N/A</v>
      </c>
    </row>
    <row r="387" spans="1:6" ht="15" hidden="1" customHeight="1" x14ac:dyDescent="0.25">
      <c r="A387" t="s">
        <v>82</v>
      </c>
      <c r="B387" t="s">
        <v>47</v>
      </c>
      <c r="C387">
        <v>2</v>
      </c>
      <c r="D387" t="s">
        <v>37</v>
      </c>
      <c r="E387">
        <v>0</v>
      </c>
      <c r="F387" t="e">
        <f>#N/A</f>
        <v>#N/A</v>
      </c>
    </row>
    <row r="388" spans="1:6" ht="15" hidden="1" customHeight="1" x14ac:dyDescent="0.25">
      <c r="A388" t="s">
        <v>82</v>
      </c>
      <c r="B388" t="s">
        <v>47</v>
      </c>
      <c r="C388">
        <v>3</v>
      </c>
      <c r="D388" t="s">
        <v>41</v>
      </c>
      <c r="E388">
        <v>0</v>
      </c>
      <c r="F388" t="e">
        <f>#N/A</f>
        <v>#N/A</v>
      </c>
    </row>
    <row r="389" spans="1:6" ht="15" hidden="1" customHeight="1" x14ac:dyDescent="0.25">
      <c r="A389" t="s">
        <v>82</v>
      </c>
      <c r="B389" t="s">
        <v>47</v>
      </c>
      <c r="C389">
        <v>4</v>
      </c>
      <c r="D389" t="s">
        <v>45</v>
      </c>
      <c r="E389">
        <v>0</v>
      </c>
      <c r="F389" t="e">
        <f>#N/A</f>
        <v>#N/A</v>
      </c>
    </row>
    <row r="390" spans="1:6" ht="15" hidden="1" customHeight="1" x14ac:dyDescent="0.25">
      <c r="A390" t="s">
        <v>82</v>
      </c>
      <c r="B390" t="s">
        <v>47</v>
      </c>
      <c r="C390">
        <v>5</v>
      </c>
      <c r="D390" t="s">
        <v>7</v>
      </c>
      <c r="E390">
        <v>0</v>
      </c>
      <c r="F390" t="e">
        <f>#N/A</f>
        <v>#N/A</v>
      </c>
    </row>
    <row r="391" spans="1:6" ht="15" hidden="1" customHeight="1" x14ac:dyDescent="0.25">
      <c r="A391" t="s">
        <v>82</v>
      </c>
      <c r="B391" t="s">
        <v>47</v>
      </c>
      <c r="C391">
        <v>6</v>
      </c>
      <c r="D391" t="s">
        <v>53</v>
      </c>
      <c r="E391">
        <v>0</v>
      </c>
      <c r="F391" t="e">
        <f>#N/A</f>
        <v>#N/A</v>
      </c>
    </row>
    <row r="392" spans="1:6" ht="15" hidden="1" customHeight="1" x14ac:dyDescent="0.25">
      <c r="A392" t="s">
        <v>82</v>
      </c>
      <c r="B392" t="s">
        <v>47</v>
      </c>
      <c r="C392">
        <v>7</v>
      </c>
      <c r="D392" t="s">
        <v>56</v>
      </c>
      <c r="E392">
        <v>0</v>
      </c>
      <c r="F392" t="e">
        <f>#N/A</f>
        <v>#N/A</v>
      </c>
    </row>
    <row r="393" spans="1:6" ht="15" hidden="1" customHeight="1" x14ac:dyDescent="0.25">
      <c r="A393" t="s">
        <v>82</v>
      </c>
      <c r="B393" t="s">
        <v>47</v>
      </c>
      <c r="C393">
        <v>8</v>
      </c>
      <c r="D393" t="s">
        <v>60</v>
      </c>
      <c r="E393">
        <v>0</v>
      </c>
      <c r="F393" t="e">
        <f>#N/A</f>
        <v>#N/A</v>
      </c>
    </row>
    <row r="394" spans="1:6" ht="15" hidden="1" customHeight="1" x14ac:dyDescent="0.25">
      <c r="A394" t="s">
        <v>82</v>
      </c>
      <c r="B394" t="s">
        <v>47</v>
      </c>
      <c r="C394">
        <v>9</v>
      </c>
      <c r="D394" t="s">
        <v>63</v>
      </c>
      <c r="E394">
        <v>0</v>
      </c>
      <c r="F394" t="e">
        <f>#N/A</f>
        <v>#N/A</v>
      </c>
    </row>
    <row r="395" spans="1:6" ht="15" hidden="1" customHeight="1" x14ac:dyDescent="0.25">
      <c r="A395" t="s">
        <v>82</v>
      </c>
      <c r="B395" t="s">
        <v>47</v>
      </c>
      <c r="C395">
        <v>10</v>
      </c>
      <c r="D395" t="s">
        <v>65</v>
      </c>
      <c r="E395">
        <v>0</v>
      </c>
      <c r="F395" t="e">
        <f>#N/A</f>
        <v>#N/A</v>
      </c>
    </row>
    <row r="396" spans="1:6" ht="15" hidden="1" customHeight="1" x14ac:dyDescent="0.25">
      <c r="A396" t="s">
        <v>82</v>
      </c>
      <c r="B396" t="s">
        <v>47</v>
      </c>
      <c r="C396">
        <v>11</v>
      </c>
      <c r="D396" t="s">
        <v>67</v>
      </c>
      <c r="E396">
        <v>0</v>
      </c>
      <c r="F396" t="e">
        <f>#N/A</f>
        <v>#N/A</v>
      </c>
    </row>
    <row r="397" spans="1:6" ht="15" hidden="1" customHeight="1" x14ac:dyDescent="0.25">
      <c r="A397" t="s">
        <v>82</v>
      </c>
      <c r="B397" t="s">
        <v>47</v>
      </c>
      <c r="C397">
        <v>12</v>
      </c>
      <c r="D397" t="s">
        <v>70</v>
      </c>
      <c r="E397">
        <v>0</v>
      </c>
      <c r="F397" t="e">
        <f>#N/A</f>
        <v>#N/A</v>
      </c>
    </row>
    <row r="398" spans="1:6" ht="15" customHeight="1" x14ac:dyDescent="0.25">
      <c r="A398" t="s">
        <v>82</v>
      </c>
      <c r="B398" t="s">
        <v>51</v>
      </c>
      <c r="C398">
        <v>1</v>
      </c>
      <c r="D398" t="s">
        <v>35</v>
      </c>
      <c r="E398">
        <v>0</v>
      </c>
      <c r="F398" t="e">
        <f>#N/A</f>
        <v>#N/A</v>
      </c>
    </row>
    <row r="399" spans="1:6" ht="15" hidden="1" customHeight="1" x14ac:dyDescent="0.25">
      <c r="A399" t="s">
        <v>82</v>
      </c>
      <c r="B399" t="s">
        <v>51</v>
      </c>
      <c r="C399">
        <v>2</v>
      </c>
      <c r="D399" t="s">
        <v>37</v>
      </c>
      <c r="E399">
        <v>0</v>
      </c>
      <c r="F399" t="e">
        <f>#N/A</f>
        <v>#N/A</v>
      </c>
    </row>
    <row r="400" spans="1:6" ht="15" hidden="1" customHeight="1" x14ac:dyDescent="0.25">
      <c r="A400" t="s">
        <v>82</v>
      </c>
      <c r="B400" t="s">
        <v>51</v>
      </c>
      <c r="C400">
        <v>3</v>
      </c>
      <c r="D400" t="s">
        <v>41</v>
      </c>
      <c r="E400">
        <v>0</v>
      </c>
      <c r="F400" t="e">
        <f>#N/A</f>
        <v>#N/A</v>
      </c>
    </row>
    <row r="401" spans="1:6" ht="15" hidden="1" customHeight="1" x14ac:dyDescent="0.25">
      <c r="A401" t="s">
        <v>82</v>
      </c>
      <c r="B401" t="s">
        <v>51</v>
      </c>
      <c r="C401">
        <v>4</v>
      </c>
      <c r="D401" t="s">
        <v>45</v>
      </c>
      <c r="E401">
        <v>0</v>
      </c>
      <c r="F401" t="e">
        <f>#N/A</f>
        <v>#N/A</v>
      </c>
    </row>
    <row r="402" spans="1:6" ht="15" hidden="1" customHeight="1" x14ac:dyDescent="0.25">
      <c r="A402" t="s">
        <v>82</v>
      </c>
      <c r="B402" t="s">
        <v>51</v>
      </c>
      <c r="C402">
        <v>5</v>
      </c>
      <c r="D402" t="s">
        <v>7</v>
      </c>
      <c r="E402">
        <v>0</v>
      </c>
      <c r="F402" t="e">
        <f>#N/A</f>
        <v>#N/A</v>
      </c>
    </row>
    <row r="403" spans="1:6" ht="15" hidden="1" customHeight="1" x14ac:dyDescent="0.25">
      <c r="A403" t="s">
        <v>82</v>
      </c>
      <c r="B403" t="s">
        <v>51</v>
      </c>
      <c r="C403">
        <v>6</v>
      </c>
      <c r="D403" t="s">
        <v>53</v>
      </c>
      <c r="E403">
        <v>0</v>
      </c>
      <c r="F403" t="e">
        <f>#N/A</f>
        <v>#N/A</v>
      </c>
    </row>
    <row r="404" spans="1:6" ht="15" hidden="1" customHeight="1" x14ac:dyDescent="0.25">
      <c r="A404" t="s">
        <v>82</v>
      </c>
      <c r="B404" t="s">
        <v>51</v>
      </c>
      <c r="C404">
        <v>7</v>
      </c>
      <c r="D404" t="s">
        <v>56</v>
      </c>
      <c r="E404">
        <v>0</v>
      </c>
      <c r="F404" t="e">
        <f>#N/A</f>
        <v>#N/A</v>
      </c>
    </row>
    <row r="405" spans="1:6" ht="15" hidden="1" customHeight="1" x14ac:dyDescent="0.25">
      <c r="A405" t="s">
        <v>82</v>
      </c>
      <c r="B405" t="s">
        <v>51</v>
      </c>
      <c r="C405">
        <v>8</v>
      </c>
      <c r="D405" t="s">
        <v>60</v>
      </c>
      <c r="E405">
        <v>0</v>
      </c>
      <c r="F405" t="e">
        <f>#N/A</f>
        <v>#N/A</v>
      </c>
    </row>
    <row r="406" spans="1:6" ht="15" hidden="1" customHeight="1" x14ac:dyDescent="0.25">
      <c r="A406" t="s">
        <v>82</v>
      </c>
      <c r="B406" t="s">
        <v>51</v>
      </c>
      <c r="C406">
        <v>9</v>
      </c>
      <c r="D406" t="s">
        <v>63</v>
      </c>
      <c r="E406">
        <v>0</v>
      </c>
      <c r="F406" t="e">
        <f>#N/A</f>
        <v>#N/A</v>
      </c>
    </row>
    <row r="407" spans="1:6" ht="15" hidden="1" customHeight="1" x14ac:dyDescent="0.25">
      <c r="A407" t="s">
        <v>82</v>
      </c>
      <c r="B407" t="s">
        <v>51</v>
      </c>
      <c r="C407">
        <v>10</v>
      </c>
      <c r="D407" t="s">
        <v>65</v>
      </c>
      <c r="E407">
        <v>0</v>
      </c>
      <c r="F407" t="e">
        <f>#N/A</f>
        <v>#N/A</v>
      </c>
    </row>
    <row r="408" spans="1:6" ht="15" hidden="1" customHeight="1" x14ac:dyDescent="0.25">
      <c r="A408" t="s">
        <v>82</v>
      </c>
      <c r="B408" t="s">
        <v>51</v>
      </c>
      <c r="C408">
        <v>11</v>
      </c>
      <c r="D408" t="s">
        <v>67</v>
      </c>
      <c r="E408">
        <v>0</v>
      </c>
      <c r="F408" t="e">
        <f>#N/A</f>
        <v>#N/A</v>
      </c>
    </row>
    <row r="409" spans="1:6" ht="15" hidden="1" customHeight="1" x14ac:dyDescent="0.25">
      <c r="A409" t="s">
        <v>82</v>
      </c>
      <c r="B409" t="s">
        <v>51</v>
      </c>
      <c r="C409">
        <v>12</v>
      </c>
      <c r="D409" t="s">
        <v>70</v>
      </c>
      <c r="E409">
        <v>0</v>
      </c>
      <c r="F409" t="e">
        <f>#N/A</f>
        <v>#N/A</v>
      </c>
    </row>
    <row r="410" spans="1:6" ht="15" customHeight="1" x14ac:dyDescent="0.25">
      <c r="A410" t="s">
        <v>82</v>
      </c>
      <c r="B410" t="s">
        <v>55</v>
      </c>
      <c r="C410">
        <v>1</v>
      </c>
      <c r="D410" t="s">
        <v>35</v>
      </c>
      <c r="E410">
        <v>0</v>
      </c>
      <c r="F410" t="e">
        <f>#N/A</f>
        <v>#N/A</v>
      </c>
    </row>
    <row r="411" spans="1:6" ht="15" hidden="1" customHeight="1" x14ac:dyDescent="0.25">
      <c r="A411" t="s">
        <v>82</v>
      </c>
      <c r="B411" t="s">
        <v>55</v>
      </c>
      <c r="C411">
        <v>2</v>
      </c>
      <c r="D411" t="s">
        <v>37</v>
      </c>
      <c r="E411">
        <v>0</v>
      </c>
      <c r="F411" t="e">
        <f>#N/A</f>
        <v>#N/A</v>
      </c>
    </row>
    <row r="412" spans="1:6" ht="15" hidden="1" customHeight="1" x14ac:dyDescent="0.25">
      <c r="A412" t="s">
        <v>82</v>
      </c>
      <c r="B412" t="s">
        <v>55</v>
      </c>
      <c r="C412">
        <v>3</v>
      </c>
      <c r="D412" t="s">
        <v>41</v>
      </c>
      <c r="E412">
        <v>0</v>
      </c>
      <c r="F412" t="e">
        <f>#N/A</f>
        <v>#N/A</v>
      </c>
    </row>
    <row r="413" spans="1:6" ht="15" hidden="1" customHeight="1" x14ac:dyDescent="0.25">
      <c r="A413" t="s">
        <v>82</v>
      </c>
      <c r="B413" t="s">
        <v>55</v>
      </c>
      <c r="C413">
        <v>4</v>
      </c>
      <c r="D413" t="s">
        <v>45</v>
      </c>
      <c r="E413">
        <v>0</v>
      </c>
      <c r="F413" t="e">
        <f>#N/A</f>
        <v>#N/A</v>
      </c>
    </row>
    <row r="414" spans="1:6" ht="15" hidden="1" customHeight="1" x14ac:dyDescent="0.25">
      <c r="A414" t="s">
        <v>82</v>
      </c>
      <c r="B414" t="s">
        <v>55</v>
      </c>
      <c r="C414">
        <v>5</v>
      </c>
      <c r="D414" t="s">
        <v>7</v>
      </c>
      <c r="E414">
        <v>0</v>
      </c>
      <c r="F414" t="e">
        <f>#N/A</f>
        <v>#N/A</v>
      </c>
    </row>
    <row r="415" spans="1:6" ht="15" hidden="1" customHeight="1" x14ac:dyDescent="0.25">
      <c r="A415" t="s">
        <v>82</v>
      </c>
      <c r="B415" t="s">
        <v>55</v>
      </c>
      <c r="C415">
        <v>6</v>
      </c>
      <c r="D415" t="s">
        <v>53</v>
      </c>
      <c r="E415">
        <v>0</v>
      </c>
      <c r="F415" t="e">
        <f>#N/A</f>
        <v>#N/A</v>
      </c>
    </row>
    <row r="416" spans="1:6" ht="15" hidden="1" customHeight="1" x14ac:dyDescent="0.25">
      <c r="A416" t="s">
        <v>82</v>
      </c>
      <c r="B416" t="s">
        <v>55</v>
      </c>
      <c r="C416">
        <v>7</v>
      </c>
      <c r="D416" t="s">
        <v>56</v>
      </c>
      <c r="E416">
        <v>0</v>
      </c>
      <c r="F416" t="e">
        <f>#N/A</f>
        <v>#N/A</v>
      </c>
    </row>
    <row r="417" spans="1:6" ht="15" hidden="1" customHeight="1" x14ac:dyDescent="0.25">
      <c r="A417" t="s">
        <v>82</v>
      </c>
      <c r="B417" t="s">
        <v>55</v>
      </c>
      <c r="C417">
        <v>8</v>
      </c>
      <c r="D417" t="s">
        <v>60</v>
      </c>
      <c r="E417">
        <v>0</v>
      </c>
      <c r="F417" t="e">
        <f>#N/A</f>
        <v>#N/A</v>
      </c>
    </row>
    <row r="418" spans="1:6" ht="15" hidden="1" customHeight="1" x14ac:dyDescent="0.25">
      <c r="A418" t="s">
        <v>82</v>
      </c>
      <c r="B418" t="s">
        <v>55</v>
      </c>
      <c r="C418">
        <v>9</v>
      </c>
      <c r="D418" t="s">
        <v>63</v>
      </c>
      <c r="E418">
        <v>0</v>
      </c>
      <c r="F418" t="e">
        <f>#N/A</f>
        <v>#N/A</v>
      </c>
    </row>
    <row r="419" spans="1:6" ht="15" hidden="1" customHeight="1" x14ac:dyDescent="0.25">
      <c r="A419" t="s">
        <v>82</v>
      </c>
      <c r="B419" t="s">
        <v>55</v>
      </c>
      <c r="C419">
        <v>10</v>
      </c>
      <c r="D419" t="s">
        <v>65</v>
      </c>
      <c r="E419">
        <v>0</v>
      </c>
      <c r="F419" t="e">
        <f>#N/A</f>
        <v>#N/A</v>
      </c>
    </row>
    <row r="420" spans="1:6" ht="15" hidden="1" customHeight="1" x14ac:dyDescent="0.25">
      <c r="A420" t="s">
        <v>82</v>
      </c>
      <c r="B420" t="s">
        <v>55</v>
      </c>
      <c r="C420">
        <v>11</v>
      </c>
      <c r="D420" t="s">
        <v>67</v>
      </c>
      <c r="E420">
        <v>0</v>
      </c>
      <c r="F420" t="e">
        <f>#N/A</f>
        <v>#N/A</v>
      </c>
    </row>
    <row r="421" spans="1:6" ht="15" hidden="1" customHeight="1" x14ac:dyDescent="0.25">
      <c r="A421" t="s">
        <v>82</v>
      </c>
      <c r="B421" t="s">
        <v>55</v>
      </c>
      <c r="C421">
        <v>12</v>
      </c>
      <c r="D421" t="s">
        <v>70</v>
      </c>
      <c r="E421">
        <v>0</v>
      </c>
      <c r="F421" t="e">
        <f>#N/A</f>
        <v>#N/A</v>
      </c>
    </row>
    <row r="422" spans="1:6" ht="15" customHeight="1" x14ac:dyDescent="0.25">
      <c r="A422" t="s">
        <v>82</v>
      </c>
      <c r="B422" t="s">
        <v>58</v>
      </c>
      <c r="C422">
        <v>1</v>
      </c>
      <c r="D422" t="s">
        <v>35</v>
      </c>
      <c r="E422">
        <v>0</v>
      </c>
      <c r="F422" t="e">
        <f>#N/A</f>
        <v>#N/A</v>
      </c>
    </row>
    <row r="423" spans="1:6" ht="15" hidden="1" customHeight="1" x14ac:dyDescent="0.25">
      <c r="A423" t="s">
        <v>82</v>
      </c>
      <c r="B423" t="s">
        <v>58</v>
      </c>
      <c r="C423">
        <v>2</v>
      </c>
      <c r="D423" t="s">
        <v>37</v>
      </c>
      <c r="E423">
        <v>0</v>
      </c>
      <c r="F423" t="e">
        <f>#N/A</f>
        <v>#N/A</v>
      </c>
    </row>
    <row r="424" spans="1:6" ht="15" hidden="1" customHeight="1" x14ac:dyDescent="0.25">
      <c r="A424" t="s">
        <v>82</v>
      </c>
      <c r="B424" t="s">
        <v>58</v>
      </c>
      <c r="C424">
        <v>3</v>
      </c>
      <c r="D424" t="s">
        <v>41</v>
      </c>
      <c r="E424">
        <v>0</v>
      </c>
      <c r="F424" t="e">
        <f>#N/A</f>
        <v>#N/A</v>
      </c>
    </row>
    <row r="425" spans="1:6" ht="15" hidden="1" customHeight="1" x14ac:dyDescent="0.25">
      <c r="A425" t="s">
        <v>82</v>
      </c>
      <c r="B425" t="s">
        <v>58</v>
      </c>
      <c r="C425">
        <v>4</v>
      </c>
      <c r="D425" t="s">
        <v>45</v>
      </c>
      <c r="E425">
        <v>0</v>
      </c>
      <c r="F425" t="e">
        <f>#N/A</f>
        <v>#N/A</v>
      </c>
    </row>
    <row r="426" spans="1:6" ht="15" hidden="1" customHeight="1" x14ac:dyDescent="0.25">
      <c r="A426" t="s">
        <v>82</v>
      </c>
      <c r="B426" t="s">
        <v>58</v>
      </c>
      <c r="C426">
        <v>5</v>
      </c>
      <c r="D426" t="s">
        <v>7</v>
      </c>
      <c r="E426">
        <v>0</v>
      </c>
      <c r="F426" t="e">
        <f>#N/A</f>
        <v>#N/A</v>
      </c>
    </row>
    <row r="427" spans="1:6" ht="15" hidden="1" customHeight="1" x14ac:dyDescent="0.25">
      <c r="A427" t="s">
        <v>82</v>
      </c>
      <c r="B427" t="s">
        <v>58</v>
      </c>
      <c r="C427">
        <v>6</v>
      </c>
      <c r="D427" t="s">
        <v>53</v>
      </c>
      <c r="E427">
        <v>0</v>
      </c>
      <c r="F427" t="e">
        <f>#N/A</f>
        <v>#N/A</v>
      </c>
    </row>
    <row r="428" spans="1:6" ht="15" hidden="1" customHeight="1" x14ac:dyDescent="0.25">
      <c r="A428" t="s">
        <v>82</v>
      </c>
      <c r="B428" t="s">
        <v>58</v>
      </c>
      <c r="C428">
        <v>7</v>
      </c>
      <c r="D428" t="s">
        <v>56</v>
      </c>
      <c r="E428">
        <v>0</v>
      </c>
      <c r="F428" t="e">
        <f>#N/A</f>
        <v>#N/A</v>
      </c>
    </row>
    <row r="429" spans="1:6" ht="15" hidden="1" customHeight="1" x14ac:dyDescent="0.25">
      <c r="A429" t="s">
        <v>82</v>
      </c>
      <c r="B429" t="s">
        <v>58</v>
      </c>
      <c r="C429">
        <v>8</v>
      </c>
      <c r="D429" t="s">
        <v>60</v>
      </c>
      <c r="E429">
        <v>0</v>
      </c>
      <c r="F429" t="e">
        <f>#N/A</f>
        <v>#N/A</v>
      </c>
    </row>
    <row r="430" spans="1:6" ht="15" hidden="1" customHeight="1" x14ac:dyDescent="0.25">
      <c r="A430" t="s">
        <v>82</v>
      </c>
      <c r="B430" t="s">
        <v>58</v>
      </c>
      <c r="C430">
        <v>9</v>
      </c>
      <c r="D430" t="s">
        <v>63</v>
      </c>
      <c r="E430">
        <v>0</v>
      </c>
      <c r="F430" t="e">
        <f>#N/A</f>
        <v>#N/A</v>
      </c>
    </row>
    <row r="431" spans="1:6" ht="15" hidden="1" customHeight="1" x14ac:dyDescent="0.25">
      <c r="A431" t="s">
        <v>82</v>
      </c>
      <c r="B431" t="s">
        <v>58</v>
      </c>
      <c r="C431">
        <v>10</v>
      </c>
      <c r="D431" t="s">
        <v>65</v>
      </c>
      <c r="E431">
        <v>0</v>
      </c>
      <c r="F431" t="e">
        <f>#N/A</f>
        <v>#N/A</v>
      </c>
    </row>
    <row r="432" spans="1:6" ht="15" hidden="1" customHeight="1" x14ac:dyDescent="0.25">
      <c r="A432" t="s">
        <v>82</v>
      </c>
      <c r="B432" t="s">
        <v>58</v>
      </c>
      <c r="C432">
        <v>11</v>
      </c>
      <c r="D432" t="s">
        <v>67</v>
      </c>
      <c r="E432">
        <v>0</v>
      </c>
      <c r="F432" t="e">
        <f>#N/A</f>
        <v>#N/A</v>
      </c>
    </row>
    <row r="433" spans="1:6" ht="15" hidden="1" customHeight="1" x14ac:dyDescent="0.25">
      <c r="A433" t="s">
        <v>82</v>
      </c>
      <c r="B433" t="s">
        <v>58</v>
      </c>
      <c r="C433">
        <v>12</v>
      </c>
      <c r="D433" t="s">
        <v>70</v>
      </c>
      <c r="E433">
        <v>0</v>
      </c>
      <c r="F433" t="e">
        <f>#N/A</f>
        <v>#N/A</v>
      </c>
    </row>
    <row r="434" spans="1:6" ht="15" customHeight="1" x14ac:dyDescent="0.25">
      <c r="A434" t="s">
        <v>57</v>
      </c>
      <c r="B434" t="s">
        <v>39</v>
      </c>
      <c r="C434">
        <v>1</v>
      </c>
      <c r="D434" t="s">
        <v>35</v>
      </c>
      <c r="E434">
        <v>7.1539999999999999</v>
      </c>
      <c r="F434" t="s">
        <v>44</v>
      </c>
    </row>
    <row r="435" spans="1:6" ht="15" hidden="1" customHeight="1" x14ac:dyDescent="0.25">
      <c r="A435" t="s">
        <v>57</v>
      </c>
      <c r="B435" t="s">
        <v>39</v>
      </c>
      <c r="C435">
        <v>2</v>
      </c>
      <c r="D435" t="s">
        <v>37</v>
      </c>
      <c r="E435">
        <v>66.679199999999994</v>
      </c>
      <c r="F435" t="s">
        <v>44</v>
      </c>
    </row>
    <row r="436" spans="1:6" ht="15" hidden="1" customHeight="1" x14ac:dyDescent="0.25">
      <c r="A436" t="s">
        <v>57</v>
      </c>
      <c r="B436" t="s">
        <v>39</v>
      </c>
      <c r="C436">
        <v>3</v>
      </c>
      <c r="D436" t="s">
        <v>41</v>
      </c>
      <c r="E436">
        <v>21.211200000000002</v>
      </c>
      <c r="F436" t="s">
        <v>44</v>
      </c>
    </row>
    <row r="437" spans="1:6" ht="15" hidden="1" customHeight="1" x14ac:dyDescent="0.25">
      <c r="A437" t="s">
        <v>57</v>
      </c>
      <c r="B437" t="s">
        <v>39</v>
      </c>
      <c r="C437">
        <v>4</v>
      </c>
      <c r="D437" t="s">
        <v>45</v>
      </c>
      <c r="E437">
        <v>183.8492</v>
      </c>
      <c r="F437" t="s">
        <v>44</v>
      </c>
    </row>
    <row r="438" spans="1:6" ht="15" hidden="1" customHeight="1" x14ac:dyDescent="0.25">
      <c r="A438" t="s">
        <v>57</v>
      </c>
      <c r="B438" t="s">
        <v>39</v>
      </c>
      <c r="C438">
        <v>5</v>
      </c>
      <c r="D438" t="s">
        <v>7</v>
      </c>
      <c r="E438">
        <v>113.498</v>
      </c>
      <c r="F438" t="s">
        <v>44</v>
      </c>
    </row>
    <row r="439" spans="1:6" ht="15" hidden="1" customHeight="1" x14ac:dyDescent="0.25">
      <c r="A439" t="s">
        <v>57</v>
      </c>
      <c r="B439" t="s">
        <v>39</v>
      </c>
      <c r="C439">
        <v>6</v>
      </c>
      <c r="D439" t="s">
        <v>53</v>
      </c>
      <c r="E439">
        <v>321.5505</v>
      </c>
      <c r="F439" t="s">
        <v>44</v>
      </c>
    </row>
    <row r="440" spans="1:6" ht="15" hidden="1" customHeight="1" x14ac:dyDescent="0.25">
      <c r="A440" t="s">
        <v>57</v>
      </c>
      <c r="B440" t="s">
        <v>39</v>
      </c>
      <c r="C440">
        <v>7</v>
      </c>
      <c r="D440" t="s">
        <v>56</v>
      </c>
      <c r="E440">
        <v>0</v>
      </c>
      <c r="F440" t="s">
        <v>44</v>
      </c>
    </row>
    <row r="441" spans="1:6" ht="15" hidden="1" customHeight="1" x14ac:dyDescent="0.25">
      <c r="A441" t="s">
        <v>57</v>
      </c>
      <c r="B441" t="s">
        <v>39</v>
      </c>
      <c r="C441">
        <v>8</v>
      </c>
      <c r="D441" t="s">
        <v>60</v>
      </c>
      <c r="E441">
        <v>3.0722999999999998</v>
      </c>
      <c r="F441" t="s">
        <v>44</v>
      </c>
    </row>
    <row r="442" spans="1:6" ht="15" hidden="1" customHeight="1" x14ac:dyDescent="0.25">
      <c r="A442" t="s">
        <v>57</v>
      </c>
      <c r="B442" t="s">
        <v>39</v>
      </c>
      <c r="C442">
        <v>9</v>
      </c>
      <c r="D442" t="s">
        <v>63</v>
      </c>
      <c r="E442">
        <v>12.47</v>
      </c>
      <c r="F442" t="s">
        <v>44</v>
      </c>
    </row>
    <row r="443" spans="1:6" ht="15" hidden="1" customHeight="1" x14ac:dyDescent="0.25">
      <c r="A443" t="s">
        <v>57</v>
      </c>
      <c r="B443" t="s">
        <v>39</v>
      </c>
      <c r="C443">
        <v>10</v>
      </c>
      <c r="D443" t="s">
        <v>65</v>
      </c>
      <c r="E443">
        <v>52.063400000000001</v>
      </c>
      <c r="F443" t="s">
        <v>44</v>
      </c>
    </row>
    <row r="444" spans="1:6" ht="15" hidden="1" customHeight="1" x14ac:dyDescent="0.25">
      <c r="A444" t="s">
        <v>57</v>
      </c>
      <c r="B444" t="s">
        <v>39</v>
      </c>
      <c r="C444">
        <v>11</v>
      </c>
      <c r="D444" t="s">
        <v>67</v>
      </c>
      <c r="E444">
        <v>292.67559999999997</v>
      </c>
      <c r="F444" t="s">
        <v>44</v>
      </c>
    </row>
    <row r="445" spans="1:6" ht="15" hidden="1" customHeight="1" x14ac:dyDescent="0.25">
      <c r="A445" t="s">
        <v>57</v>
      </c>
      <c r="B445" t="s">
        <v>39</v>
      </c>
      <c r="C445">
        <v>12</v>
      </c>
      <c r="D445" t="s">
        <v>70</v>
      </c>
      <c r="E445">
        <v>341.8014</v>
      </c>
      <c r="F445" t="s">
        <v>44</v>
      </c>
    </row>
    <row r="446" spans="1:6" ht="15" customHeight="1" x14ac:dyDescent="0.25">
      <c r="A446" t="s">
        <v>57</v>
      </c>
      <c r="B446" t="s">
        <v>43</v>
      </c>
      <c r="C446">
        <v>1</v>
      </c>
      <c r="D446" t="s">
        <v>35</v>
      </c>
      <c r="E446">
        <v>34.51782</v>
      </c>
      <c r="F446" t="s">
        <v>44</v>
      </c>
    </row>
    <row r="447" spans="1:6" ht="15" hidden="1" customHeight="1" x14ac:dyDescent="0.25">
      <c r="A447" t="s">
        <v>57</v>
      </c>
      <c r="B447" t="s">
        <v>43</v>
      </c>
      <c r="C447">
        <v>2</v>
      </c>
      <c r="D447" t="s">
        <v>37</v>
      </c>
      <c r="E447">
        <v>199.20325</v>
      </c>
      <c r="F447" t="s">
        <v>44</v>
      </c>
    </row>
    <row r="448" spans="1:6" ht="15" hidden="1" customHeight="1" x14ac:dyDescent="0.25">
      <c r="A448" t="s">
        <v>57</v>
      </c>
      <c r="B448" t="s">
        <v>43</v>
      </c>
      <c r="C448">
        <v>3</v>
      </c>
      <c r="D448" t="s">
        <v>41</v>
      </c>
      <c r="E448">
        <v>73.621600000000001</v>
      </c>
      <c r="F448" t="s">
        <v>44</v>
      </c>
    </row>
    <row r="449" spans="1:6" ht="15" hidden="1" customHeight="1" x14ac:dyDescent="0.25">
      <c r="A449" t="s">
        <v>57</v>
      </c>
      <c r="B449" t="s">
        <v>43</v>
      </c>
      <c r="C449">
        <v>4</v>
      </c>
      <c r="D449" t="s">
        <v>45</v>
      </c>
      <c r="E449">
        <v>72.163060000000002</v>
      </c>
      <c r="F449" t="s">
        <v>44</v>
      </c>
    </row>
    <row r="450" spans="1:6" ht="15" hidden="1" customHeight="1" x14ac:dyDescent="0.25">
      <c r="A450" t="s">
        <v>57</v>
      </c>
      <c r="B450" t="s">
        <v>43</v>
      </c>
      <c r="C450">
        <v>5</v>
      </c>
      <c r="D450" t="s">
        <v>7</v>
      </c>
      <c r="E450">
        <v>159.8244</v>
      </c>
      <c r="F450" t="s">
        <v>44</v>
      </c>
    </row>
    <row r="451" spans="1:6" ht="15" hidden="1" customHeight="1" x14ac:dyDescent="0.25">
      <c r="A451" t="s">
        <v>57</v>
      </c>
      <c r="B451" t="s">
        <v>43</v>
      </c>
      <c r="C451">
        <v>6</v>
      </c>
      <c r="D451" t="s">
        <v>53</v>
      </c>
      <c r="E451">
        <v>105.91370000000001</v>
      </c>
      <c r="F451" t="s">
        <v>44</v>
      </c>
    </row>
    <row r="452" spans="1:6" ht="15" hidden="1" customHeight="1" x14ac:dyDescent="0.25">
      <c r="A452" t="s">
        <v>57</v>
      </c>
      <c r="B452" t="s">
        <v>43</v>
      </c>
      <c r="C452">
        <v>7</v>
      </c>
      <c r="D452" t="s">
        <v>56</v>
      </c>
      <c r="E452">
        <v>61.186900000000001</v>
      </c>
      <c r="F452" t="s">
        <v>44</v>
      </c>
    </row>
    <row r="453" spans="1:6" ht="15" hidden="1" customHeight="1" x14ac:dyDescent="0.25">
      <c r="A453" t="s">
        <v>57</v>
      </c>
      <c r="B453" t="s">
        <v>43</v>
      </c>
      <c r="C453">
        <v>8</v>
      </c>
      <c r="D453" t="s">
        <v>60</v>
      </c>
      <c r="E453">
        <v>31.925899999999999</v>
      </c>
      <c r="F453" t="s">
        <v>44</v>
      </c>
    </row>
    <row r="454" spans="1:6" ht="15" hidden="1" customHeight="1" x14ac:dyDescent="0.25">
      <c r="A454" t="s">
        <v>57</v>
      </c>
      <c r="B454" t="s">
        <v>43</v>
      </c>
      <c r="C454">
        <v>9</v>
      </c>
      <c r="D454" t="s">
        <v>63</v>
      </c>
      <c r="E454">
        <v>42.43535</v>
      </c>
      <c r="F454" t="s">
        <v>44</v>
      </c>
    </row>
    <row r="455" spans="1:6" ht="15" hidden="1" customHeight="1" x14ac:dyDescent="0.25">
      <c r="A455" t="s">
        <v>57</v>
      </c>
      <c r="B455" t="s">
        <v>43</v>
      </c>
      <c r="C455">
        <v>10</v>
      </c>
      <c r="D455" t="s">
        <v>65</v>
      </c>
      <c r="E455">
        <v>235.04476</v>
      </c>
      <c r="F455" t="s">
        <v>44</v>
      </c>
    </row>
    <row r="456" spans="1:6" ht="15" hidden="1" customHeight="1" x14ac:dyDescent="0.25">
      <c r="A456" t="s">
        <v>57</v>
      </c>
      <c r="B456" t="s">
        <v>43</v>
      </c>
      <c r="C456">
        <v>11</v>
      </c>
      <c r="D456" t="s">
        <v>67</v>
      </c>
      <c r="E456">
        <v>93.071700000000007</v>
      </c>
      <c r="F456" t="s">
        <v>44</v>
      </c>
    </row>
    <row r="457" spans="1:6" ht="15" hidden="1" customHeight="1" x14ac:dyDescent="0.25">
      <c r="A457" t="s">
        <v>57</v>
      </c>
      <c r="B457" t="s">
        <v>43</v>
      </c>
      <c r="C457">
        <v>12</v>
      </c>
      <c r="D457" t="s">
        <v>70</v>
      </c>
      <c r="E457">
        <v>332.5564</v>
      </c>
      <c r="F457" t="s">
        <v>44</v>
      </c>
    </row>
    <row r="458" spans="1:6" ht="15" customHeight="1" x14ac:dyDescent="0.25">
      <c r="A458" t="s">
        <v>57</v>
      </c>
      <c r="B458" t="s">
        <v>47</v>
      </c>
      <c r="C458">
        <v>1</v>
      </c>
      <c r="D458" t="s">
        <v>35</v>
      </c>
      <c r="E458">
        <v>0</v>
      </c>
      <c r="F458" t="s">
        <v>44</v>
      </c>
    </row>
    <row r="459" spans="1:6" ht="15" hidden="1" customHeight="1" x14ac:dyDescent="0.25">
      <c r="A459" t="s">
        <v>57</v>
      </c>
      <c r="B459" t="s">
        <v>47</v>
      </c>
      <c r="C459">
        <v>2</v>
      </c>
      <c r="D459" t="s">
        <v>37</v>
      </c>
      <c r="E459">
        <v>0</v>
      </c>
      <c r="F459" t="s">
        <v>44</v>
      </c>
    </row>
    <row r="460" spans="1:6" ht="15" hidden="1" customHeight="1" x14ac:dyDescent="0.25">
      <c r="A460" t="s">
        <v>57</v>
      </c>
      <c r="B460" t="s">
        <v>47</v>
      </c>
      <c r="C460">
        <v>3</v>
      </c>
      <c r="D460" t="s">
        <v>41</v>
      </c>
      <c r="E460">
        <v>0</v>
      </c>
      <c r="F460" t="s">
        <v>44</v>
      </c>
    </row>
    <row r="461" spans="1:6" ht="15" hidden="1" customHeight="1" x14ac:dyDescent="0.25">
      <c r="A461" t="s">
        <v>57</v>
      </c>
      <c r="B461" t="s">
        <v>47</v>
      </c>
      <c r="C461">
        <v>4</v>
      </c>
      <c r="D461" t="s">
        <v>45</v>
      </c>
      <c r="E461">
        <v>0</v>
      </c>
      <c r="F461" t="s">
        <v>44</v>
      </c>
    </row>
    <row r="462" spans="1:6" ht="15" hidden="1" customHeight="1" x14ac:dyDescent="0.25">
      <c r="A462" t="s">
        <v>57</v>
      </c>
      <c r="B462" t="s">
        <v>47</v>
      </c>
      <c r="C462">
        <v>5</v>
      </c>
      <c r="D462" t="s">
        <v>7</v>
      </c>
      <c r="E462">
        <v>0</v>
      </c>
      <c r="F462" t="s">
        <v>44</v>
      </c>
    </row>
    <row r="463" spans="1:6" ht="15" hidden="1" customHeight="1" x14ac:dyDescent="0.25">
      <c r="A463" t="s">
        <v>57</v>
      </c>
      <c r="B463" t="s">
        <v>47</v>
      </c>
      <c r="C463">
        <v>6</v>
      </c>
      <c r="D463" t="s">
        <v>53</v>
      </c>
      <c r="E463">
        <v>0</v>
      </c>
      <c r="F463" t="s">
        <v>44</v>
      </c>
    </row>
    <row r="464" spans="1:6" ht="15" hidden="1" customHeight="1" x14ac:dyDescent="0.25">
      <c r="A464" t="s">
        <v>57</v>
      </c>
      <c r="B464" t="s">
        <v>47</v>
      </c>
      <c r="C464">
        <v>7</v>
      </c>
      <c r="D464" t="s">
        <v>56</v>
      </c>
      <c r="E464">
        <v>0</v>
      </c>
      <c r="F464" t="s">
        <v>44</v>
      </c>
    </row>
    <row r="465" spans="1:6" ht="15" hidden="1" customHeight="1" x14ac:dyDescent="0.25">
      <c r="A465" t="s">
        <v>57</v>
      </c>
      <c r="B465" t="s">
        <v>47</v>
      </c>
      <c r="C465">
        <v>8</v>
      </c>
      <c r="D465" t="s">
        <v>60</v>
      </c>
      <c r="E465">
        <v>0</v>
      </c>
      <c r="F465" t="s">
        <v>44</v>
      </c>
    </row>
    <row r="466" spans="1:6" ht="15" hidden="1" customHeight="1" x14ac:dyDescent="0.25">
      <c r="A466" t="s">
        <v>57</v>
      </c>
      <c r="B466" t="s">
        <v>47</v>
      </c>
      <c r="C466">
        <v>9</v>
      </c>
      <c r="D466" t="s">
        <v>63</v>
      </c>
      <c r="E466">
        <v>0</v>
      </c>
      <c r="F466" t="s">
        <v>44</v>
      </c>
    </row>
    <row r="467" spans="1:6" ht="15" hidden="1" customHeight="1" x14ac:dyDescent="0.25">
      <c r="A467" t="s">
        <v>57</v>
      </c>
      <c r="B467" t="s">
        <v>47</v>
      </c>
      <c r="C467">
        <v>10</v>
      </c>
      <c r="D467" t="s">
        <v>65</v>
      </c>
      <c r="E467">
        <v>0</v>
      </c>
      <c r="F467" t="s">
        <v>44</v>
      </c>
    </row>
    <row r="468" spans="1:6" ht="15" hidden="1" customHeight="1" x14ac:dyDescent="0.25">
      <c r="A468" t="s">
        <v>57</v>
      </c>
      <c r="B468" t="s">
        <v>47</v>
      </c>
      <c r="C468">
        <v>11</v>
      </c>
      <c r="D468" t="s">
        <v>67</v>
      </c>
      <c r="E468">
        <v>0</v>
      </c>
      <c r="F468" t="s">
        <v>44</v>
      </c>
    </row>
    <row r="469" spans="1:6" ht="15" hidden="1" customHeight="1" x14ac:dyDescent="0.25">
      <c r="A469" t="s">
        <v>57</v>
      </c>
      <c r="B469" t="s">
        <v>47</v>
      </c>
      <c r="C469">
        <v>12</v>
      </c>
      <c r="D469" t="s">
        <v>70</v>
      </c>
      <c r="E469">
        <v>0</v>
      </c>
      <c r="F469" t="s">
        <v>44</v>
      </c>
    </row>
    <row r="470" spans="1:6" ht="15" customHeight="1" x14ac:dyDescent="0.25">
      <c r="A470" t="s">
        <v>57</v>
      </c>
      <c r="B470" t="s">
        <v>51</v>
      </c>
      <c r="C470">
        <v>1</v>
      </c>
      <c r="D470" t="s">
        <v>35</v>
      </c>
      <c r="E470">
        <v>26.507999999999999</v>
      </c>
      <c r="F470" t="s">
        <v>44</v>
      </c>
    </row>
    <row r="471" spans="1:6" ht="15" hidden="1" customHeight="1" x14ac:dyDescent="0.25">
      <c r="A471" t="s">
        <v>57</v>
      </c>
      <c r="B471" t="s">
        <v>51</v>
      </c>
      <c r="C471">
        <v>2</v>
      </c>
      <c r="D471" t="s">
        <v>37</v>
      </c>
      <c r="E471">
        <v>0</v>
      </c>
      <c r="F471" t="s">
        <v>44</v>
      </c>
    </row>
    <row r="472" spans="1:6" ht="15" hidden="1" customHeight="1" x14ac:dyDescent="0.25">
      <c r="A472" t="s">
        <v>57</v>
      </c>
      <c r="B472" t="s">
        <v>51</v>
      </c>
      <c r="C472">
        <v>3</v>
      </c>
      <c r="D472" t="s">
        <v>41</v>
      </c>
      <c r="E472">
        <v>0</v>
      </c>
      <c r="F472" t="s">
        <v>44</v>
      </c>
    </row>
    <row r="473" spans="1:6" ht="15" hidden="1" customHeight="1" x14ac:dyDescent="0.25">
      <c r="A473" t="s">
        <v>57</v>
      </c>
      <c r="B473" t="s">
        <v>51</v>
      </c>
      <c r="C473">
        <v>4</v>
      </c>
      <c r="D473" t="s">
        <v>45</v>
      </c>
      <c r="E473">
        <v>0</v>
      </c>
      <c r="F473" t="s">
        <v>44</v>
      </c>
    </row>
    <row r="474" spans="1:6" ht="15" hidden="1" customHeight="1" x14ac:dyDescent="0.25">
      <c r="A474" t="s">
        <v>57</v>
      </c>
      <c r="B474" t="s">
        <v>51</v>
      </c>
      <c r="C474">
        <v>5</v>
      </c>
      <c r="D474" t="s">
        <v>7</v>
      </c>
      <c r="E474">
        <v>5.1840000000000002</v>
      </c>
      <c r="F474" t="s">
        <v>44</v>
      </c>
    </row>
    <row r="475" spans="1:6" ht="15" hidden="1" customHeight="1" x14ac:dyDescent="0.25">
      <c r="A475" t="s">
        <v>57</v>
      </c>
      <c r="B475" t="s">
        <v>51</v>
      </c>
      <c r="C475">
        <v>6</v>
      </c>
      <c r="D475" t="s">
        <v>53</v>
      </c>
      <c r="E475">
        <v>5.5439999999999996</v>
      </c>
      <c r="F475" t="s">
        <v>44</v>
      </c>
    </row>
    <row r="476" spans="1:6" ht="15" hidden="1" customHeight="1" x14ac:dyDescent="0.25">
      <c r="A476" t="s">
        <v>57</v>
      </c>
      <c r="B476" t="s">
        <v>51</v>
      </c>
      <c r="C476">
        <v>7</v>
      </c>
      <c r="D476" t="s">
        <v>56</v>
      </c>
      <c r="E476">
        <v>0</v>
      </c>
      <c r="F476" t="s">
        <v>44</v>
      </c>
    </row>
    <row r="477" spans="1:6" ht="15" hidden="1" customHeight="1" x14ac:dyDescent="0.25">
      <c r="A477" t="s">
        <v>57</v>
      </c>
      <c r="B477" t="s">
        <v>51</v>
      </c>
      <c r="C477">
        <v>8</v>
      </c>
      <c r="D477" t="s">
        <v>60</v>
      </c>
      <c r="E477">
        <v>0</v>
      </c>
      <c r="F477" t="s">
        <v>44</v>
      </c>
    </row>
    <row r="478" spans="1:6" ht="15" hidden="1" customHeight="1" x14ac:dyDescent="0.25">
      <c r="A478" t="s">
        <v>57</v>
      </c>
      <c r="B478" t="s">
        <v>51</v>
      </c>
      <c r="C478">
        <v>9</v>
      </c>
      <c r="D478" t="s">
        <v>63</v>
      </c>
      <c r="E478">
        <v>0</v>
      </c>
      <c r="F478" t="s">
        <v>44</v>
      </c>
    </row>
    <row r="479" spans="1:6" ht="15" hidden="1" customHeight="1" x14ac:dyDescent="0.25">
      <c r="A479" t="s">
        <v>57</v>
      </c>
      <c r="B479" t="s">
        <v>51</v>
      </c>
      <c r="C479">
        <v>10</v>
      </c>
      <c r="D479" t="s">
        <v>65</v>
      </c>
      <c r="E479">
        <v>0.58799999999999997</v>
      </c>
      <c r="F479" t="s">
        <v>44</v>
      </c>
    </row>
    <row r="480" spans="1:6" ht="15" hidden="1" customHeight="1" x14ac:dyDescent="0.25">
      <c r="A480" t="s">
        <v>57</v>
      </c>
      <c r="B480" t="s">
        <v>51</v>
      </c>
      <c r="C480">
        <v>11</v>
      </c>
      <c r="D480" t="s">
        <v>67</v>
      </c>
      <c r="E480">
        <v>8.64</v>
      </c>
      <c r="F480" t="s">
        <v>44</v>
      </c>
    </row>
    <row r="481" spans="1:6" ht="15" hidden="1" customHeight="1" x14ac:dyDescent="0.25">
      <c r="A481" t="s">
        <v>57</v>
      </c>
      <c r="B481" t="s">
        <v>51</v>
      </c>
      <c r="C481">
        <v>12</v>
      </c>
      <c r="D481" t="s">
        <v>70</v>
      </c>
      <c r="E481">
        <v>5.5439999999999996</v>
      </c>
      <c r="F481" t="s">
        <v>44</v>
      </c>
    </row>
    <row r="482" spans="1:6" ht="15" customHeight="1" x14ac:dyDescent="0.25">
      <c r="A482" t="s">
        <v>57</v>
      </c>
      <c r="B482" t="s">
        <v>55</v>
      </c>
      <c r="C482">
        <v>1</v>
      </c>
      <c r="D482" t="s">
        <v>35</v>
      </c>
      <c r="E482">
        <v>0</v>
      </c>
      <c r="F482" t="s">
        <v>44</v>
      </c>
    </row>
    <row r="483" spans="1:6" ht="15" hidden="1" customHeight="1" x14ac:dyDescent="0.25">
      <c r="A483" t="s">
        <v>57</v>
      </c>
      <c r="B483" t="s">
        <v>55</v>
      </c>
      <c r="C483">
        <v>2</v>
      </c>
      <c r="D483" t="s">
        <v>37</v>
      </c>
      <c r="E483">
        <v>20</v>
      </c>
      <c r="F483" t="s">
        <v>44</v>
      </c>
    </row>
    <row r="484" spans="1:6" ht="15" hidden="1" customHeight="1" x14ac:dyDescent="0.25">
      <c r="A484" t="s">
        <v>57</v>
      </c>
      <c r="B484" t="s">
        <v>55</v>
      </c>
      <c r="C484">
        <v>3</v>
      </c>
      <c r="D484" t="s">
        <v>41</v>
      </c>
      <c r="E484">
        <v>0</v>
      </c>
      <c r="F484" t="s">
        <v>44</v>
      </c>
    </row>
    <row r="485" spans="1:6" ht="15" hidden="1" customHeight="1" x14ac:dyDescent="0.25">
      <c r="A485" t="s">
        <v>57</v>
      </c>
      <c r="B485" t="s">
        <v>55</v>
      </c>
      <c r="C485">
        <v>4</v>
      </c>
      <c r="D485" t="s">
        <v>45</v>
      </c>
      <c r="E485">
        <v>0</v>
      </c>
      <c r="F485" t="s">
        <v>44</v>
      </c>
    </row>
    <row r="486" spans="1:6" ht="15" hidden="1" customHeight="1" x14ac:dyDescent="0.25">
      <c r="A486" t="s">
        <v>57</v>
      </c>
      <c r="B486" t="s">
        <v>55</v>
      </c>
      <c r="C486">
        <v>5</v>
      </c>
      <c r="D486" t="s">
        <v>7</v>
      </c>
      <c r="E486">
        <v>0</v>
      </c>
      <c r="F486" t="s">
        <v>44</v>
      </c>
    </row>
    <row r="487" spans="1:6" ht="15" hidden="1" customHeight="1" x14ac:dyDescent="0.25">
      <c r="A487" t="s">
        <v>57</v>
      </c>
      <c r="B487" t="s">
        <v>55</v>
      </c>
      <c r="C487">
        <v>6</v>
      </c>
      <c r="D487" t="s">
        <v>53</v>
      </c>
      <c r="E487">
        <v>0</v>
      </c>
      <c r="F487" t="s">
        <v>44</v>
      </c>
    </row>
    <row r="488" spans="1:6" ht="15" hidden="1" customHeight="1" x14ac:dyDescent="0.25">
      <c r="A488" t="s">
        <v>57</v>
      </c>
      <c r="B488" t="s">
        <v>55</v>
      </c>
      <c r="C488">
        <v>7</v>
      </c>
      <c r="D488" t="s">
        <v>56</v>
      </c>
      <c r="E488">
        <v>0</v>
      </c>
      <c r="F488" t="s">
        <v>44</v>
      </c>
    </row>
    <row r="489" spans="1:6" ht="15" hidden="1" customHeight="1" x14ac:dyDescent="0.25">
      <c r="A489" t="s">
        <v>57</v>
      </c>
      <c r="B489" t="s">
        <v>55</v>
      </c>
      <c r="C489">
        <v>8</v>
      </c>
      <c r="D489" t="s">
        <v>60</v>
      </c>
      <c r="E489">
        <v>0</v>
      </c>
      <c r="F489" t="s">
        <v>44</v>
      </c>
    </row>
    <row r="490" spans="1:6" ht="15" hidden="1" customHeight="1" x14ac:dyDescent="0.25">
      <c r="A490" t="s">
        <v>57</v>
      </c>
      <c r="B490" t="s">
        <v>55</v>
      </c>
      <c r="C490">
        <v>9</v>
      </c>
      <c r="D490" t="s">
        <v>63</v>
      </c>
      <c r="E490">
        <v>0</v>
      </c>
      <c r="F490" t="s">
        <v>44</v>
      </c>
    </row>
    <row r="491" spans="1:6" ht="15" hidden="1" customHeight="1" x14ac:dyDescent="0.25">
      <c r="A491" t="s">
        <v>57</v>
      </c>
      <c r="B491" t="s">
        <v>55</v>
      </c>
      <c r="C491">
        <v>10</v>
      </c>
      <c r="D491" t="s">
        <v>65</v>
      </c>
      <c r="E491">
        <v>5.6</v>
      </c>
      <c r="F491" t="s">
        <v>44</v>
      </c>
    </row>
    <row r="492" spans="1:6" ht="15" hidden="1" customHeight="1" x14ac:dyDescent="0.25">
      <c r="A492" t="s">
        <v>57</v>
      </c>
      <c r="B492" t="s">
        <v>55</v>
      </c>
      <c r="C492">
        <v>11</v>
      </c>
      <c r="D492" t="s">
        <v>67</v>
      </c>
      <c r="E492">
        <v>0</v>
      </c>
      <c r="F492" t="s">
        <v>44</v>
      </c>
    </row>
    <row r="493" spans="1:6" ht="15" hidden="1" customHeight="1" x14ac:dyDescent="0.25">
      <c r="A493" t="s">
        <v>57</v>
      </c>
      <c r="B493" t="s">
        <v>55</v>
      </c>
      <c r="C493">
        <v>12</v>
      </c>
      <c r="D493" t="s">
        <v>70</v>
      </c>
      <c r="E493">
        <v>3.8</v>
      </c>
      <c r="F493" t="s">
        <v>44</v>
      </c>
    </row>
    <row r="494" spans="1:6" ht="15" customHeight="1" x14ac:dyDescent="0.25">
      <c r="A494" t="s">
        <v>57</v>
      </c>
      <c r="B494" t="s">
        <v>58</v>
      </c>
      <c r="C494">
        <v>1</v>
      </c>
      <c r="D494" t="s">
        <v>35</v>
      </c>
      <c r="E494">
        <v>0</v>
      </c>
      <c r="F494" t="s">
        <v>44</v>
      </c>
    </row>
    <row r="495" spans="1:6" ht="15" hidden="1" customHeight="1" x14ac:dyDescent="0.25">
      <c r="A495" t="s">
        <v>57</v>
      </c>
      <c r="B495" t="s">
        <v>58</v>
      </c>
      <c r="C495">
        <v>2</v>
      </c>
      <c r="D495" t="s">
        <v>37</v>
      </c>
      <c r="E495">
        <v>0</v>
      </c>
      <c r="F495" t="s">
        <v>44</v>
      </c>
    </row>
    <row r="496" spans="1:6" ht="15" hidden="1" customHeight="1" x14ac:dyDescent="0.25">
      <c r="A496" t="s">
        <v>57</v>
      </c>
      <c r="B496" t="s">
        <v>58</v>
      </c>
      <c r="C496">
        <v>3</v>
      </c>
      <c r="D496" t="s">
        <v>41</v>
      </c>
      <c r="E496">
        <v>0</v>
      </c>
      <c r="F496" t="s">
        <v>44</v>
      </c>
    </row>
    <row r="497" spans="1:6" ht="15" hidden="1" customHeight="1" x14ac:dyDescent="0.25">
      <c r="A497" t="s">
        <v>57</v>
      </c>
      <c r="B497" t="s">
        <v>58</v>
      </c>
      <c r="C497">
        <v>4</v>
      </c>
      <c r="D497" t="s">
        <v>45</v>
      </c>
      <c r="E497">
        <v>0</v>
      </c>
      <c r="F497" t="s">
        <v>44</v>
      </c>
    </row>
    <row r="498" spans="1:6" ht="15" hidden="1" customHeight="1" x14ac:dyDescent="0.25">
      <c r="A498" t="s">
        <v>57</v>
      </c>
      <c r="B498" t="s">
        <v>58</v>
      </c>
      <c r="C498">
        <v>5</v>
      </c>
      <c r="D498" t="s">
        <v>7</v>
      </c>
      <c r="E498">
        <v>0</v>
      </c>
      <c r="F498" t="s">
        <v>44</v>
      </c>
    </row>
    <row r="499" spans="1:6" ht="15" hidden="1" customHeight="1" x14ac:dyDescent="0.25">
      <c r="A499" t="s">
        <v>57</v>
      </c>
      <c r="B499" t="s">
        <v>58</v>
      </c>
      <c r="C499">
        <v>6</v>
      </c>
      <c r="D499" t="s">
        <v>53</v>
      </c>
      <c r="E499">
        <v>0</v>
      </c>
      <c r="F499" t="s">
        <v>44</v>
      </c>
    </row>
    <row r="500" spans="1:6" ht="15" hidden="1" customHeight="1" x14ac:dyDescent="0.25">
      <c r="A500" t="s">
        <v>57</v>
      </c>
      <c r="B500" t="s">
        <v>58</v>
      </c>
      <c r="C500">
        <v>7</v>
      </c>
      <c r="D500" t="s">
        <v>56</v>
      </c>
      <c r="E500">
        <v>0</v>
      </c>
      <c r="F500" t="s">
        <v>44</v>
      </c>
    </row>
    <row r="501" spans="1:6" ht="15" hidden="1" customHeight="1" x14ac:dyDescent="0.25">
      <c r="A501" t="s">
        <v>57</v>
      </c>
      <c r="B501" t="s">
        <v>58</v>
      </c>
      <c r="C501">
        <v>8</v>
      </c>
      <c r="D501" t="s">
        <v>60</v>
      </c>
      <c r="E501">
        <v>0</v>
      </c>
      <c r="F501" t="s">
        <v>44</v>
      </c>
    </row>
    <row r="502" spans="1:6" ht="15" hidden="1" customHeight="1" x14ac:dyDescent="0.25">
      <c r="A502" t="s">
        <v>57</v>
      </c>
      <c r="B502" t="s">
        <v>58</v>
      </c>
      <c r="C502">
        <v>9</v>
      </c>
      <c r="D502" t="s">
        <v>63</v>
      </c>
      <c r="E502">
        <v>0</v>
      </c>
      <c r="F502" t="s">
        <v>44</v>
      </c>
    </row>
    <row r="503" spans="1:6" ht="15" hidden="1" customHeight="1" x14ac:dyDescent="0.25">
      <c r="A503" t="s">
        <v>57</v>
      </c>
      <c r="B503" t="s">
        <v>58</v>
      </c>
      <c r="C503">
        <v>10</v>
      </c>
      <c r="D503" t="s">
        <v>65</v>
      </c>
      <c r="E503">
        <v>0</v>
      </c>
      <c r="F503" t="s">
        <v>44</v>
      </c>
    </row>
    <row r="504" spans="1:6" ht="15" hidden="1" customHeight="1" x14ac:dyDescent="0.25">
      <c r="A504" t="s">
        <v>57</v>
      </c>
      <c r="B504" t="s">
        <v>58</v>
      </c>
      <c r="C504">
        <v>11</v>
      </c>
      <c r="D504" t="s">
        <v>67</v>
      </c>
      <c r="E504">
        <v>0</v>
      </c>
      <c r="F504" t="s">
        <v>44</v>
      </c>
    </row>
    <row r="505" spans="1:6" ht="15" hidden="1" customHeight="1" x14ac:dyDescent="0.25">
      <c r="A505" t="s">
        <v>57</v>
      </c>
      <c r="B505" t="s">
        <v>58</v>
      </c>
      <c r="C505">
        <v>12</v>
      </c>
      <c r="D505" t="s">
        <v>70</v>
      </c>
      <c r="E505">
        <v>0</v>
      </c>
      <c r="F505" t="s">
        <v>44</v>
      </c>
    </row>
    <row r="506" spans="1:6" ht="15" customHeight="1" x14ac:dyDescent="0.25">
      <c r="A506" t="s">
        <v>61</v>
      </c>
      <c r="B506" t="s">
        <v>39</v>
      </c>
      <c r="C506">
        <v>1</v>
      </c>
      <c r="D506" t="s">
        <v>35</v>
      </c>
      <c r="E506">
        <v>4.875</v>
      </c>
      <c r="F506" t="s">
        <v>44</v>
      </c>
    </row>
    <row r="507" spans="1:6" ht="15" hidden="1" customHeight="1" x14ac:dyDescent="0.25">
      <c r="A507" t="s">
        <v>61</v>
      </c>
      <c r="B507" t="s">
        <v>39</v>
      </c>
      <c r="C507">
        <v>2</v>
      </c>
      <c r="D507" t="s">
        <v>37</v>
      </c>
      <c r="E507">
        <v>0</v>
      </c>
      <c r="F507" t="s">
        <v>44</v>
      </c>
    </row>
    <row r="508" spans="1:6" ht="15" hidden="1" customHeight="1" x14ac:dyDescent="0.25">
      <c r="A508" t="s">
        <v>61</v>
      </c>
      <c r="B508" t="s">
        <v>39</v>
      </c>
      <c r="C508">
        <v>3</v>
      </c>
      <c r="D508" t="s">
        <v>41</v>
      </c>
      <c r="E508">
        <v>7</v>
      </c>
      <c r="F508" t="s">
        <v>44</v>
      </c>
    </row>
    <row r="509" spans="1:6" ht="15" hidden="1" customHeight="1" x14ac:dyDescent="0.25">
      <c r="A509" t="s">
        <v>61</v>
      </c>
      <c r="B509" t="s">
        <v>39</v>
      </c>
      <c r="C509">
        <v>4</v>
      </c>
      <c r="D509" t="s">
        <v>45</v>
      </c>
      <c r="E509">
        <v>27.5</v>
      </c>
      <c r="F509" t="s">
        <v>44</v>
      </c>
    </row>
    <row r="510" spans="1:6" ht="15" hidden="1" customHeight="1" x14ac:dyDescent="0.25">
      <c r="A510" t="s">
        <v>61</v>
      </c>
      <c r="B510" t="s">
        <v>39</v>
      </c>
      <c r="C510">
        <v>5</v>
      </c>
      <c r="D510" t="s">
        <v>7</v>
      </c>
      <c r="E510">
        <v>9.5625</v>
      </c>
      <c r="F510" t="s">
        <v>44</v>
      </c>
    </row>
    <row r="511" spans="1:6" ht="15" hidden="1" customHeight="1" x14ac:dyDescent="0.25">
      <c r="A511" t="s">
        <v>61</v>
      </c>
      <c r="B511" t="s">
        <v>39</v>
      </c>
      <c r="C511">
        <v>6</v>
      </c>
      <c r="D511" t="s">
        <v>53</v>
      </c>
      <c r="E511">
        <v>0</v>
      </c>
      <c r="F511" t="s">
        <v>44</v>
      </c>
    </row>
    <row r="512" spans="1:6" ht="15" hidden="1" customHeight="1" x14ac:dyDescent="0.25">
      <c r="A512" t="s">
        <v>61</v>
      </c>
      <c r="B512" t="s">
        <v>39</v>
      </c>
      <c r="C512">
        <v>7</v>
      </c>
      <c r="D512" t="s">
        <v>56</v>
      </c>
      <c r="E512">
        <v>0</v>
      </c>
      <c r="F512" t="s">
        <v>44</v>
      </c>
    </row>
    <row r="513" spans="1:6" ht="15" hidden="1" customHeight="1" x14ac:dyDescent="0.25">
      <c r="A513" t="s">
        <v>61</v>
      </c>
      <c r="B513" t="s">
        <v>39</v>
      </c>
      <c r="C513">
        <v>8</v>
      </c>
      <c r="D513" t="s">
        <v>60</v>
      </c>
      <c r="E513">
        <v>0</v>
      </c>
      <c r="F513" t="s">
        <v>44</v>
      </c>
    </row>
    <row r="514" spans="1:6" ht="15" hidden="1" customHeight="1" x14ac:dyDescent="0.25">
      <c r="A514" t="s">
        <v>61</v>
      </c>
      <c r="B514" t="s">
        <v>39</v>
      </c>
      <c r="C514">
        <v>9</v>
      </c>
      <c r="D514" t="s">
        <v>63</v>
      </c>
      <c r="E514">
        <v>7</v>
      </c>
      <c r="F514" t="s">
        <v>44</v>
      </c>
    </row>
    <row r="515" spans="1:6" ht="15" hidden="1" customHeight="1" x14ac:dyDescent="0.25">
      <c r="A515" t="s">
        <v>61</v>
      </c>
      <c r="B515" t="s">
        <v>39</v>
      </c>
      <c r="C515">
        <v>10</v>
      </c>
      <c r="D515" t="s">
        <v>65</v>
      </c>
      <c r="E515">
        <v>0</v>
      </c>
      <c r="F515" t="s">
        <v>44</v>
      </c>
    </row>
    <row r="516" spans="1:6" ht="15" hidden="1" customHeight="1" x14ac:dyDescent="0.25">
      <c r="A516" t="s">
        <v>61</v>
      </c>
      <c r="B516" t="s">
        <v>39</v>
      </c>
      <c r="C516">
        <v>11</v>
      </c>
      <c r="D516" t="s">
        <v>67</v>
      </c>
      <c r="E516">
        <v>21</v>
      </c>
      <c r="F516" t="s">
        <v>44</v>
      </c>
    </row>
    <row r="517" spans="1:6" ht="15" hidden="1" customHeight="1" x14ac:dyDescent="0.25">
      <c r="A517" t="s">
        <v>61</v>
      </c>
      <c r="B517" t="s">
        <v>39</v>
      </c>
      <c r="C517">
        <v>12</v>
      </c>
      <c r="D517" t="s">
        <v>70</v>
      </c>
      <c r="E517">
        <v>0</v>
      </c>
      <c r="F517" t="s">
        <v>44</v>
      </c>
    </row>
    <row r="518" spans="1:6" ht="15" customHeight="1" x14ac:dyDescent="0.25">
      <c r="A518" t="s">
        <v>61</v>
      </c>
      <c r="B518" t="s">
        <v>43</v>
      </c>
      <c r="C518">
        <v>1</v>
      </c>
      <c r="D518" t="s">
        <v>35</v>
      </c>
      <c r="E518">
        <v>26.378</v>
      </c>
      <c r="F518" t="s">
        <v>44</v>
      </c>
    </row>
    <row r="519" spans="1:6" ht="15" hidden="1" customHeight="1" x14ac:dyDescent="0.25">
      <c r="A519" t="s">
        <v>61</v>
      </c>
      <c r="B519" t="s">
        <v>43</v>
      </c>
      <c r="C519">
        <v>2</v>
      </c>
      <c r="D519" t="s">
        <v>37</v>
      </c>
      <c r="E519">
        <v>96.605699999999999</v>
      </c>
      <c r="F519" t="s">
        <v>44</v>
      </c>
    </row>
    <row r="520" spans="1:6" ht="15" hidden="1" customHeight="1" x14ac:dyDescent="0.25">
      <c r="A520" t="s">
        <v>61</v>
      </c>
      <c r="B520" t="s">
        <v>43</v>
      </c>
      <c r="C520">
        <v>3</v>
      </c>
      <c r="D520" t="s">
        <v>41</v>
      </c>
      <c r="E520">
        <v>78.417500000000004</v>
      </c>
      <c r="F520" t="s">
        <v>44</v>
      </c>
    </row>
    <row r="521" spans="1:6" ht="15" hidden="1" customHeight="1" x14ac:dyDescent="0.25">
      <c r="A521" t="s">
        <v>61</v>
      </c>
      <c r="B521" t="s">
        <v>43</v>
      </c>
      <c r="C521">
        <v>4</v>
      </c>
      <c r="D521" t="s">
        <v>45</v>
      </c>
      <c r="E521">
        <v>41.536000000000001</v>
      </c>
      <c r="F521" t="s">
        <v>44</v>
      </c>
    </row>
    <row r="522" spans="1:6" ht="15" hidden="1" customHeight="1" x14ac:dyDescent="0.25">
      <c r="A522" t="s">
        <v>61</v>
      </c>
      <c r="B522" t="s">
        <v>43</v>
      </c>
      <c r="C522">
        <v>5</v>
      </c>
      <c r="D522" t="s">
        <v>7</v>
      </c>
      <c r="E522">
        <v>61.2682</v>
      </c>
      <c r="F522" t="s">
        <v>44</v>
      </c>
    </row>
    <row r="523" spans="1:6" ht="15" hidden="1" customHeight="1" x14ac:dyDescent="0.25">
      <c r="A523" t="s">
        <v>61</v>
      </c>
      <c r="B523" t="s">
        <v>43</v>
      </c>
      <c r="C523">
        <v>6</v>
      </c>
      <c r="D523" t="s">
        <v>53</v>
      </c>
      <c r="E523">
        <v>75.954999999999998</v>
      </c>
      <c r="F523" t="s">
        <v>44</v>
      </c>
    </row>
    <row r="524" spans="1:6" ht="15" hidden="1" customHeight="1" x14ac:dyDescent="0.25">
      <c r="A524" t="s">
        <v>61</v>
      </c>
      <c r="B524" t="s">
        <v>43</v>
      </c>
      <c r="C524">
        <v>7</v>
      </c>
      <c r="D524" t="s">
        <v>56</v>
      </c>
      <c r="E524">
        <v>69.470500000000001</v>
      </c>
      <c r="F524" t="s">
        <v>44</v>
      </c>
    </row>
    <row r="525" spans="1:6" ht="15" hidden="1" customHeight="1" x14ac:dyDescent="0.25">
      <c r="A525" t="s">
        <v>61</v>
      </c>
      <c r="B525" t="s">
        <v>43</v>
      </c>
      <c r="C525">
        <v>8</v>
      </c>
      <c r="D525" t="s">
        <v>60</v>
      </c>
      <c r="E525">
        <v>12.7262</v>
      </c>
      <c r="F525" t="s">
        <v>44</v>
      </c>
    </row>
    <row r="526" spans="1:6" ht="15" hidden="1" customHeight="1" x14ac:dyDescent="0.25">
      <c r="A526" t="s">
        <v>61</v>
      </c>
      <c r="B526" t="s">
        <v>43</v>
      </c>
      <c r="C526">
        <v>9</v>
      </c>
      <c r="D526" t="s">
        <v>63</v>
      </c>
      <c r="E526">
        <v>90.429500000000004</v>
      </c>
      <c r="F526" t="s">
        <v>44</v>
      </c>
    </row>
    <row r="527" spans="1:6" ht="15" hidden="1" customHeight="1" x14ac:dyDescent="0.25">
      <c r="A527" t="s">
        <v>61</v>
      </c>
      <c r="B527" t="s">
        <v>43</v>
      </c>
      <c r="C527">
        <v>10</v>
      </c>
      <c r="D527" t="s">
        <v>65</v>
      </c>
      <c r="E527">
        <v>42.637</v>
      </c>
      <c r="F527" t="s">
        <v>44</v>
      </c>
    </row>
    <row r="528" spans="1:6" ht="15" hidden="1" customHeight="1" x14ac:dyDescent="0.25">
      <c r="A528" t="s">
        <v>61</v>
      </c>
      <c r="B528" t="s">
        <v>43</v>
      </c>
      <c r="C528">
        <v>11</v>
      </c>
      <c r="D528" t="s">
        <v>67</v>
      </c>
      <c r="E528">
        <v>136.69499999999999</v>
      </c>
      <c r="F528" t="s">
        <v>44</v>
      </c>
    </row>
    <row r="529" spans="1:6" ht="15" hidden="1" customHeight="1" x14ac:dyDescent="0.25">
      <c r="A529" t="s">
        <v>61</v>
      </c>
      <c r="B529" t="s">
        <v>43</v>
      </c>
      <c r="C529">
        <v>12</v>
      </c>
      <c r="D529" t="s">
        <v>70</v>
      </c>
      <c r="E529">
        <v>77.236000000000004</v>
      </c>
      <c r="F529" t="s">
        <v>44</v>
      </c>
    </row>
    <row r="530" spans="1:6" ht="15" customHeight="1" x14ac:dyDescent="0.25">
      <c r="A530" t="s">
        <v>61</v>
      </c>
      <c r="B530" t="s">
        <v>47</v>
      </c>
      <c r="C530">
        <v>1</v>
      </c>
      <c r="D530" t="s">
        <v>35</v>
      </c>
      <c r="E530">
        <v>0</v>
      </c>
      <c r="F530" t="s">
        <v>44</v>
      </c>
    </row>
    <row r="531" spans="1:6" ht="15" hidden="1" customHeight="1" x14ac:dyDescent="0.25">
      <c r="A531" t="s">
        <v>61</v>
      </c>
      <c r="B531" t="s">
        <v>47</v>
      </c>
      <c r="C531">
        <v>2</v>
      </c>
      <c r="D531" t="s">
        <v>37</v>
      </c>
      <c r="E531">
        <v>0</v>
      </c>
      <c r="F531" t="s">
        <v>44</v>
      </c>
    </row>
    <row r="532" spans="1:6" ht="15" hidden="1" customHeight="1" x14ac:dyDescent="0.25">
      <c r="A532" t="s">
        <v>61</v>
      </c>
      <c r="B532" t="s">
        <v>47</v>
      </c>
      <c r="C532">
        <v>3</v>
      </c>
      <c r="D532" t="s">
        <v>41</v>
      </c>
      <c r="E532">
        <v>0</v>
      </c>
      <c r="F532" t="s">
        <v>44</v>
      </c>
    </row>
    <row r="533" spans="1:6" ht="15" hidden="1" customHeight="1" x14ac:dyDescent="0.25">
      <c r="A533" t="s">
        <v>61</v>
      </c>
      <c r="B533" t="s">
        <v>47</v>
      </c>
      <c r="C533">
        <v>4</v>
      </c>
      <c r="D533" t="s">
        <v>45</v>
      </c>
      <c r="E533">
        <v>0</v>
      </c>
      <c r="F533" t="s">
        <v>44</v>
      </c>
    </row>
    <row r="534" spans="1:6" ht="15" hidden="1" customHeight="1" x14ac:dyDescent="0.25">
      <c r="A534" t="s">
        <v>61</v>
      </c>
      <c r="B534" t="s">
        <v>47</v>
      </c>
      <c r="C534">
        <v>5</v>
      </c>
      <c r="D534" t="s">
        <v>7</v>
      </c>
      <c r="E534">
        <v>0</v>
      </c>
      <c r="F534" t="s">
        <v>44</v>
      </c>
    </row>
    <row r="535" spans="1:6" ht="15" hidden="1" customHeight="1" x14ac:dyDescent="0.25">
      <c r="A535" t="s">
        <v>61</v>
      </c>
      <c r="B535" t="s">
        <v>47</v>
      </c>
      <c r="C535">
        <v>6</v>
      </c>
      <c r="D535" t="s">
        <v>53</v>
      </c>
      <c r="E535">
        <v>1</v>
      </c>
      <c r="F535" t="s">
        <v>44</v>
      </c>
    </row>
    <row r="536" spans="1:6" ht="15" hidden="1" customHeight="1" x14ac:dyDescent="0.25">
      <c r="A536" t="s">
        <v>61</v>
      </c>
      <c r="B536" t="s">
        <v>47</v>
      </c>
      <c r="C536">
        <v>7</v>
      </c>
      <c r="D536" t="s">
        <v>56</v>
      </c>
      <c r="E536">
        <v>0</v>
      </c>
      <c r="F536" t="s">
        <v>44</v>
      </c>
    </row>
    <row r="537" spans="1:6" ht="15" hidden="1" customHeight="1" x14ac:dyDescent="0.25">
      <c r="A537" t="s">
        <v>61</v>
      </c>
      <c r="B537" t="s">
        <v>47</v>
      </c>
      <c r="C537">
        <v>8</v>
      </c>
      <c r="D537" t="s">
        <v>60</v>
      </c>
      <c r="E537">
        <v>0</v>
      </c>
      <c r="F537" t="s">
        <v>44</v>
      </c>
    </row>
    <row r="538" spans="1:6" ht="15" hidden="1" customHeight="1" x14ac:dyDescent="0.25">
      <c r="A538" t="s">
        <v>61</v>
      </c>
      <c r="B538" t="s">
        <v>47</v>
      </c>
      <c r="C538">
        <v>9</v>
      </c>
      <c r="D538" t="s">
        <v>63</v>
      </c>
      <c r="E538">
        <v>0</v>
      </c>
      <c r="F538" t="s">
        <v>44</v>
      </c>
    </row>
    <row r="539" spans="1:6" ht="15" hidden="1" customHeight="1" x14ac:dyDescent="0.25">
      <c r="A539" t="s">
        <v>61</v>
      </c>
      <c r="B539" t="s">
        <v>47</v>
      </c>
      <c r="C539">
        <v>10</v>
      </c>
      <c r="D539" t="s">
        <v>65</v>
      </c>
      <c r="E539">
        <v>0</v>
      </c>
      <c r="F539" t="s">
        <v>44</v>
      </c>
    </row>
    <row r="540" spans="1:6" ht="15" hidden="1" customHeight="1" x14ac:dyDescent="0.25">
      <c r="A540" t="s">
        <v>61</v>
      </c>
      <c r="B540" t="s">
        <v>47</v>
      </c>
      <c r="C540">
        <v>11</v>
      </c>
      <c r="D540" t="s">
        <v>67</v>
      </c>
      <c r="E540">
        <v>1</v>
      </c>
      <c r="F540" t="s">
        <v>44</v>
      </c>
    </row>
    <row r="541" spans="1:6" ht="15" hidden="1" customHeight="1" x14ac:dyDescent="0.25">
      <c r="A541" t="s">
        <v>61</v>
      </c>
      <c r="B541" t="s">
        <v>47</v>
      </c>
      <c r="C541">
        <v>12</v>
      </c>
      <c r="D541" t="s">
        <v>70</v>
      </c>
      <c r="E541">
        <v>0</v>
      </c>
      <c r="F541" t="s">
        <v>44</v>
      </c>
    </row>
    <row r="542" spans="1:6" ht="15" customHeight="1" x14ac:dyDescent="0.25">
      <c r="A542" t="s">
        <v>61</v>
      </c>
      <c r="B542" t="s">
        <v>51</v>
      </c>
      <c r="C542">
        <v>1</v>
      </c>
      <c r="D542" t="s">
        <v>35</v>
      </c>
      <c r="E542">
        <v>0</v>
      </c>
      <c r="F542" t="s">
        <v>44</v>
      </c>
    </row>
    <row r="543" spans="1:6" ht="15" hidden="1" customHeight="1" x14ac:dyDescent="0.25">
      <c r="A543" t="s">
        <v>61</v>
      </c>
      <c r="B543" t="s">
        <v>51</v>
      </c>
      <c r="C543">
        <v>2</v>
      </c>
      <c r="D543" t="s">
        <v>37</v>
      </c>
      <c r="E543">
        <v>0</v>
      </c>
      <c r="F543" t="s">
        <v>44</v>
      </c>
    </row>
    <row r="544" spans="1:6" ht="15" hidden="1" customHeight="1" x14ac:dyDescent="0.25">
      <c r="A544" t="s">
        <v>61</v>
      </c>
      <c r="B544" t="s">
        <v>51</v>
      </c>
      <c r="C544">
        <v>3</v>
      </c>
      <c r="D544" t="s">
        <v>41</v>
      </c>
      <c r="E544">
        <v>0.66</v>
      </c>
      <c r="F544" t="s">
        <v>44</v>
      </c>
    </row>
    <row r="545" spans="1:6" ht="15" hidden="1" customHeight="1" x14ac:dyDescent="0.25">
      <c r="A545" t="s">
        <v>61</v>
      </c>
      <c r="B545" t="s">
        <v>51</v>
      </c>
      <c r="C545">
        <v>4</v>
      </c>
      <c r="D545" t="s">
        <v>45</v>
      </c>
      <c r="E545">
        <v>1.5</v>
      </c>
      <c r="F545" t="s">
        <v>44</v>
      </c>
    </row>
    <row r="546" spans="1:6" ht="15" hidden="1" customHeight="1" x14ac:dyDescent="0.25">
      <c r="A546" t="s">
        <v>61</v>
      </c>
      <c r="B546" t="s">
        <v>51</v>
      </c>
      <c r="C546">
        <v>5</v>
      </c>
      <c r="D546" t="s">
        <v>7</v>
      </c>
      <c r="E546">
        <v>0</v>
      </c>
      <c r="F546" t="s">
        <v>44</v>
      </c>
    </row>
    <row r="547" spans="1:6" ht="15" hidden="1" customHeight="1" x14ac:dyDescent="0.25">
      <c r="A547" t="s">
        <v>61</v>
      </c>
      <c r="B547" t="s">
        <v>51</v>
      </c>
      <c r="C547">
        <v>6</v>
      </c>
      <c r="D547" t="s">
        <v>53</v>
      </c>
      <c r="E547">
        <v>6.6</v>
      </c>
      <c r="F547" t="s">
        <v>44</v>
      </c>
    </row>
    <row r="548" spans="1:6" ht="15" hidden="1" customHeight="1" x14ac:dyDescent="0.25">
      <c r="A548" t="s">
        <v>61</v>
      </c>
      <c r="B548" t="s">
        <v>51</v>
      </c>
      <c r="C548">
        <v>7</v>
      </c>
      <c r="D548" t="s">
        <v>56</v>
      </c>
      <c r="E548">
        <v>1.5</v>
      </c>
      <c r="F548" t="s">
        <v>44</v>
      </c>
    </row>
    <row r="549" spans="1:6" ht="15" hidden="1" customHeight="1" x14ac:dyDescent="0.25">
      <c r="A549" t="s">
        <v>61</v>
      </c>
      <c r="B549" t="s">
        <v>51</v>
      </c>
      <c r="C549">
        <v>8</v>
      </c>
      <c r="D549" t="s">
        <v>60</v>
      </c>
      <c r="E549">
        <v>0</v>
      </c>
      <c r="F549" t="s">
        <v>44</v>
      </c>
    </row>
    <row r="550" spans="1:6" ht="15" hidden="1" customHeight="1" x14ac:dyDescent="0.25">
      <c r="A550" t="s">
        <v>61</v>
      </c>
      <c r="B550" t="s">
        <v>51</v>
      </c>
      <c r="C550">
        <v>9</v>
      </c>
      <c r="D550" t="s">
        <v>63</v>
      </c>
      <c r="E550">
        <v>0</v>
      </c>
      <c r="F550" t="s">
        <v>44</v>
      </c>
    </row>
    <row r="551" spans="1:6" ht="15" hidden="1" customHeight="1" x14ac:dyDescent="0.25">
      <c r="A551" t="s">
        <v>61</v>
      </c>
      <c r="B551" t="s">
        <v>51</v>
      </c>
      <c r="C551">
        <v>10</v>
      </c>
      <c r="D551" t="s">
        <v>65</v>
      </c>
      <c r="E551">
        <v>0</v>
      </c>
      <c r="F551" t="s">
        <v>44</v>
      </c>
    </row>
    <row r="552" spans="1:6" ht="15" hidden="1" customHeight="1" x14ac:dyDescent="0.25">
      <c r="A552" t="s">
        <v>61</v>
      </c>
      <c r="B552" t="s">
        <v>51</v>
      </c>
      <c r="C552">
        <v>11</v>
      </c>
      <c r="D552" t="s">
        <v>67</v>
      </c>
      <c r="E552">
        <v>2</v>
      </c>
      <c r="F552" t="s">
        <v>44</v>
      </c>
    </row>
    <row r="553" spans="1:6" ht="15" hidden="1" customHeight="1" x14ac:dyDescent="0.25">
      <c r="A553" t="s">
        <v>61</v>
      </c>
      <c r="B553" t="s">
        <v>51</v>
      </c>
      <c r="C553">
        <v>12</v>
      </c>
      <c r="D553" t="s">
        <v>70</v>
      </c>
      <c r="E553">
        <v>0</v>
      </c>
      <c r="F553" t="s">
        <v>44</v>
      </c>
    </row>
    <row r="554" spans="1:6" ht="15" customHeight="1" x14ac:dyDescent="0.25">
      <c r="A554" t="s">
        <v>61</v>
      </c>
      <c r="B554" t="s">
        <v>55</v>
      </c>
      <c r="C554">
        <v>1</v>
      </c>
      <c r="D554" t="s">
        <v>35</v>
      </c>
      <c r="E554">
        <v>0</v>
      </c>
      <c r="F554" t="s">
        <v>44</v>
      </c>
    </row>
    <row r="555" spans="1:6" ht="15" hidden="1" customHeight="1" x14ac:dyDescent="0.25">
      <c r="A555" t="s">
        <v>61</v>
      </c>
      <c r="B555" t="s">
        <v>55</v>
      </c>
      <c r="C555">
        <v>2</v>
      </c>
      <c r="D555" t="s">
        <v>37</v>
      </c>
      <c r="E555">
        <v>9.01</v>
      </c>
      <c r="F555" t="s">
        <v>44</v>
      </c>
    </row>
    <row r="556" spans="1:6" ht="15" hidden="1" customHeight="1" x14ac:dyDescent="0.25">
      <c r="A556" t="s">
        <v>61</v>
      </c>
      <c r="B556" t="s">
        <v>55</v>
      </c>
      <c r="C556">
        <v>3</v>
      </c>
      <c r="D556" t="s">
        <v>41</v>
      </c>
      <c r="E556">
        <v>11.46</v>
      </c>
      <c r="F556" t="s">
        <v>44</v>
      </c>
    </row>
    <row r="557" spans="1:6" ht="15" hidden="1" customHeight="1" x14ac:dyDescent="0.25">
      <c r="A557" t="s">
        <v>61</v>
      </c>
      <c r="B557" t="s">
        <v>55</v>
      </c>
      <c r="C557">
        <v>4</v>
      </c>
      <c r="D557" t="s">
        <v>45</v>
      </c>
      <c r="E557">
        <v>0</v>
      </c>
      <c r="F557" t="s">
        <v>44</v>
      </c>
    </row>
    <row r="558" spans="1:6" ht="15" hidden="1" customHeight="1" x14ac:dyDescent="0.25">
      <c r="A558" t="s">
        <v>61</v>
      </c>
      <c r="B558" t="s">
        <v>55</v>
      </c>
      <c r="C558">
        <v>5</v>
      </c>
      <c r="D558" t="s">
        <v>7</v>
      </c>
      <c r="E558">
        <v>49.364400000000003</v>
      </c>
      <c r="F558" t="s">
        <v>44</v>
      </c>
    </row>
    <row r="559" spans="1:6" ht="15" hidden="1" customHeight="1" x14ac:dyDescent="0.25">
      <c r="A559" t="s">
        <v>61</v>
      </c>
      <c r="B559" t="s">
        <v>55</v>
      </c>
      <c r="C559">
        <v>6</v>
      </c>
      <c r="D559" t="s">
        <v>53</v>
      </c>
      <c r="E559">
        <v>8.2100000000000009</v>
      </c>
      <c r="F559" t="s">
        <v>44</v>
      </c>
    </row>
    <row r="560" spans="1:6" ht="15" hidden="1" customHeight="1" x14ac:dyDescent="0.25">
      <c r="A560" t="s">
        <v>61</v>
      </c>
      <c r="B560" t="s">
        <v>55</v>
      </c>
      <c r="C560">
        <v>7</v>
      </c>
      <c r="D560" t="s">
        <v>56</v>
      </c>
      <c r="E560">
        <v>9.6300000000000008</v>
      </c>
      <c r="F560" t="s">
        <v>44</v>
      </c>
    </row>
    <row r="561" spans="1:6" ht="15" hidden="1" customHeight="1" x14ac:dyDescent="0.25">
      <c r="A561" t="s">
        <v>61</v>
      </c>
      <c r="B561" t="s">
        <v>55</v>
      </c>
      <c r="C561">
        <v>8</v>
      </c>
      <c r="D561" t="s">
        <v>60</v>
      </c>
      <c r="E561">
        <v>3.75</v>
      </c>
      <c r="F561" t="s">
        <v>44</v>
      </c>
    </row>
    <row r="562" spans="1:6" ht="15" hidden="1" customHeight="1" x14ac:dyDescent="0.25">
      <c r="A562" t="s">
        <v>61</v>
      </c>
      <c r="B562" t="s">
        <v>55</v>
      </c>
      <c r="C562">
        <v>9</v>
      </c>
      <c r="D562" t="s">
        <v>63</v>
      </c>
      <c r="E562">
        <v>0</v>
      </c>
      <c r="F562" t="s">
        <v>44</v>
      </c>
    </row>
    <row r="563" spans="1:6" ht="15" hidden="1" customHeight="1" x14ac:dyDescent="0.25">
      <c r="A563" t="s">
        <v>61</v>
      </c>
      <c r="B563" t="s">
        <v>55</v>
      </c>
      <c r="C563">
        <v>10</v>
      </c>
      <c r="D563" t="s">
        <v>65</v>
      </c>
      <c r="E563">
        <v>3.64</v>
      </c>
      <c r="F563" t="s">
        <v>44</v>
      </c>
    </row>
    <row r="564" spans="1:6" ht="15" hidden="1" customHeight="1" x14ac:dyDescent="0.25">
      <c r="A564" t="s">
        <v>61</v>
      </c>
      <c r="B564" t="s">
        <v>55</v>
      </c>
      <c r="C564">
        <v>11</v>
      </c>
      <c r="D564" t="s">
        <v>67</v>
      </c>
      <c r="E564">
        <v>16.260000000000002</v>
      </c>
      <c r="F564" t="s">
        <v>44</v>
      </c>
    </row>
    <row r="565" spans="1:6" ht="15" hidden="1" customHeight="1" x14ac:dyDescent="0.25">
      <c r="A565" t="s">
        <v>61</v>
      </c>
      <c r="B565" t="s">
        <v>55</v>
      </c>
      <c r="C565">
        <v>12</v>
      </c>
      <c r="D565" t="s">
        <v>70</v>
      </c>
      <c r="E565">
        <v>0</v>
      </c>
      <c r="F565" t="s">
        <v>44</v>
      </c>
    </row>
    <row r="566" spans="1:6" ht="15" customHeight="1" x14ac:dyDescent="0.25">
      <c r="A566" t="s">
        <v>61</v>
      </c>
      <c r="B566" t="s">
        <v>58</v>
      </c>
      <c r="C566">
        <v>1</v>
      </c>
      <c r="D566" t="s">
        <v>35</v>
      </c>
      <c r="E566">
        <v>0</v>
      </c>
      <c r="F566" t="s">
        <v>44</v>
      </c>
    </row>
    <row r="567" spans="1:6" ht="15" hidden="1" customHeight="1" x14ac:dyDescent="0.25">
      <c r="A567" t="s">
        <v>61</v>
      </c>
      <c r="B567" t="s">
        <v>58</v>
      </c>
      <c r="C567">
        <v>2</v>
      </c>
      <c r="D567" t="s">
        <v>37</v>
      </c>
      <c r="E567">
        <v>0</v>
      </c>
      <c r="F567" t="s">
        <v>44</v>
      </c>
    </row>
    <row r="568" spans="1:6" ht="15" hidden="1" customHeight="1" x14ac:dyDescent="0.25">
      <c r="A568" t="s">
        <v>61</v>
      </c>
      <c r="B568" t="s">
        <v>58</v>
      </c>
      <c r="C568">
        <v>3</v>
      </c>
      <c r="D568" t="s">
        <v>41</v>
      </c>
      <c r="E568">
        <v>0</v>
      </c>
      <c r="F568" t="s">
        <v>44</v>
      </c>
    </row>
    <row r="569" spans="1:6" ht="15" hidden="1" customHeight="1" x14ac:dyDescent="0.25">
      <c r="A569" t="s">
        <v>61</v>
      </c>
      <c r="B569" t="s">
        <v>58</v>
      </c>
      <c r="C569">
        <v>4</v>
      </c>
      <c r="D569" t="s">
        <v>45</v>
      </c>
      <c r="E569">
        <v>0</v>
      </c>
      <c r="F569" t="s">
        <v>44</v>
      </c>
    </row>
    <row r="570" spans="1:6" ht="15" hidden="1" customHeight="1" x14ac:dyDescent="0.25">
      <c r="A570" t="s">
        <v>61</v>
      </c>
      <c r="B570" t="s">
        <v>58</v>
      </c>
      <c r="C570">
        <v>5</v>
      </c>
      <c r="D570" t="s">
        <v>7</v>
      </c>
      <c r="E570">
        <v>0</v>
      </c>
      <c r="F570" t="s">
        <v>44</v>
      </c>
    </row>
    <row r="571" spans="1:6" ht="15" hidden="1" customHeight="1" x14ac:dyDescent="0.25">
      <c r="A571" t="s">
        <v>61</v>
      </c>
      <c r="B571" t="s">
        <v>58</v>
      </c>
      <c r="C571">
        <v>6</v>
      </c>
      <c r="D571" t="s">
        <v>53</v>
      </c>
      <c r="E571">
        <v>0</v>
      </c>
      <c r="F571" t="s">
        <v>44</v>
      </c>
    </row>
    <row r="572" spans="1:6" ht="15" hidden="1" customHeight="1" x14ac:dyDescent="0.25">
      <c r="A572" t="s">
        <v>61</v>
      </c>
      <c r="B572" t="s">
        <v>58</v>
      </c>
      <c r="C572">
        <v>7</v>
      </c>
      <c r="D572" t="s">
        <v>56</v>
      </c>
      <c r="E572">
        <v>0</v>
      </c>
      <c r="F572" t="s">
        <v>44</v>
      </c>
    </row>
    <row r="573" spans="1:6" ht="15" hidden="1" customHeight="1" x14ac:dyDescent="0.25">
      <c r="A573" t="s">
        <v>61</v>
      </c>
      <c r="B573" t="s">
        <v>58</v>
      </c>
      <c r="C573">
        <v>8</v>
      </c>
      <c r="D573" t="s">
        <v>60</v>
      </c>
      <c r="E573">
        <v>0</v>
      </c>
      <c r="F573" t="s">
        <v>44</v>
      </c>
    </row>
    <row r="574" spans="1:6" ht="15" hidden="1" customHeight="1" x14ac:dyDescent="0.25">
      <c r="A574" t="s">
        <v>61</v>
      </c>
      <c r="B574" t="s">
        <v>58</v>
      </c>
      <c r="C574">
        <v>9</v>
      </c>
      <c r="D574" t="s">
        <v>63</v>
      </c>
      <c r="E574">
        <v>0</v>
      </c>
      <c r="F574" t="s">
        <v>44</v>
      </c>
    </row>
    <row r="575" spans="1:6" ht="15" hidden="1" customHeight="1" x14ac:dyDescent="0.25">
      <c r="A575" t="s">
        <v>61</v>
      </c>
      <c r="B575" t="s">
        <v>58</v>
      </c>
      <c r="C575">
        <v>10</v>
      </c>
      <c r="D575" t="s">
        <v>65</v>
      </c>
      <c r="E575">
        <v>0</v>
      </c>
      <c r="F575" t="s">
        <v>44</v>
      </c>
    </row>
    <row r="576" spans="1:6" ht="15" hidden="1" customHeight="1" x14ac:dyDescent="0.25">
      <c r="A576" t="s">
        <v>61</v>
      </c>
      <c r="B576" t="s">
        <v>58</v>
      </c>
      <c r="C576">
        <v>11</v>
      </c>
      <c r="D576" t="s">
        <v>67</v>
      </c>
      <c r="E576">
        <v>0</v>
      </c>
      <c r="F576" t="s">
        <v>44</v>
      </c>
    </row>
    <row r="577" spans="1:6" ht="15" hidden="1" customHeight="1" x14ac:dyDescent="0.25">
      <c r="A577" t="s">
        <v>61</v>
      </c>
      <c r="B577" t="s">
        <v>58</v>
      </c>
      <c r="C577">
        <v>12</v>
      </c>
      <c r="D577" t="s">
        <v>70</v>
      </c>
      <c r="E577">
        <v>0</v>
      </c>
      <c r="F577" t="s">
        <v>44</v>
      </c>
    </row>
    <row r="578" spans="1:6" ht="15" customHeight="1" x14ac:dyDescent="0.25">
      <c r="A578" t="s">
        <v>64</v>
      </c>
      <c r="B578" t="s">
        <v>39</v>
      </c>
      <c r="C578">
        <v>1</v>
      </c>
      <c r="D578" t="s">
        <v>35</v>
      </c>
      <c r="E578">
        <v>0</v>
      </c>
      <c r="F578" t="s">
        <v>44</v>
      </c>
    </row>
    <row r="579" spans="1:6" ht="15" hidden="1" customHeight="1" x14ac:dyDescent="0.25">
      <c r="A579" t="s">
        <v>64</v>
      </c>
      <c r="B579" t="s">
        <v>39</v>
      </c>
      <c r="C579">
        <v>2</v>
      </c>
      <c r="D579" t="s">
        <v>37</v>
      </c>
      <c r="E579">
        <v>0</v>
      </c>
      <c r="F579" t="s">
        <v>44</v>
      </c>
    </row>
    <row r="580" spans="1:6" ht="15" hidden="1" customHeight="1" x14ac:dyDescent="0.25">
      <c r="A580" t="s">
        <v>64</v>
      </c>
      <c r="B580" t="s">
        <v>39</v>
      </c>
      <c r="C580">
        <v>3</v>
      </c>
      <c r="D580" t="s">
        <v>41</v>
      </c>
      <c r="E580">
        <v>3.8</v>
      </c>
      <c r="F580" t="s">
        <v>44</v>
      </c>
    </row>
    <row r="581" spans="1:6" ht="15" hidden="1" customHeight="1" x14ac:dyDescent="0.25">
      <c r="A581" t="s">
        <v>64</v>
      </c>
      <c r="B581" t="s">
        <v>39</v>
      </c>
      <c r="C581">
        <v>4</v>
      </c>
      <c r="D581" t="s">
        <v>45</v>
      </c>
      <c r="E581">
        <v>0</v>
      </c>
      <c r="F581" t="s">
        <v>44</v>
      </c>
    </row>
    <row r="582" spans="1:6" ht="15" hidden="1" customHeight="1" x14ac:dyDescent="0.25">
      <c r="A582" t="s">
        <v>64</v>
      </c>
      <c r="B582" t="s">
        <v>39</v>
      </c>
      <c r="C582">
        <v>5</v>
      </c>
      <c r="D582" t="s">
        <v>7</v>
      </c>
      <c r="E582">
        <v>6</v>
      </c>
      <c r="F582" t="s">
        <v>44</v>
      </c>
    </row>
    <row r="583" spans="1:6" ht="15" hidden="1" customHeight="1" x14ac:dyDescent="0.25">
      <c r="A583" t="s">
        <v>64</v>
      </c>
      <c r="B583" t="s">
        <v>39</v>
      </c>
      <c r="C583">
        <v>6</v>
      </c>
      <c r="D583" t="s">
        <v>53</v>
      </c>
      <c r="E583">
        <v>32.200000000000003</v>
      </c>
      <c r="F583" t="s">
        <v>44</v>
      </c>
    </row>
    <row r="584" spans="1:6" ht="15" hidden="1" customHeight="1" x14ac:dyDescent="0.25">
      <c r="A584" t="s">
        <v>64</v>
      </c>
      <c r="B584" t="s">
        <v>39</v>
      </c>
      <c r="C584">
        <v>7</v>
      </c>
      <c r="D584" t="s">
        <v>56</v>
      </c>
      <c r="E584">
        <v>0</v>
      </c>
      <c r="F584" t="s">
        <v>44</v>
      </c>
    </row>
    <row r="585" spans="1:6" ht="15" hidden="1" customHeight="1" x14ac:dyDescent="0.25">
      <c r="A585" t="s">
        <v>64</v>
      </c>
      <c r="B585" t="s">
        <v>39</v>
      </c>
      <c r="C585">
        <v>8</v>
      </c>
      <c r="D585" t="s">
        <v>60</v>
      </c>
      <c r="E585">
        <v>0</v>
      </c>
      <c r="F585" t="s">
        <v>44</v>
      </c>
    </row>
    <row r="586" spans="1:6" ht="15" hidden="1" customHeight="1" x14ac:dyDescent="0.25">
      <c r="A586" t="s">
        <v>64</v>
      </c>
      <c r="B586" t="s">
        <v>39</v>
      </c>
      <c r="C586">
        <v>9</v>
      </c>
      <c r="D586" t="s">
        <v>63</v>
      </c>
      <c r="E586">
        <v>3.8</v>
      </c>
      <c r="F586" t="s">
        <v>44</v>
      </c>
    </row>
    <row r="587" spans="1:6" ht="15" hidden="1" customHeight="1" x14ac:dyDescent="0.25">
      <c r="A587" t="s">
        <v>64</v>
      </c>
      <c r="B587" t="s">
        <v>39</v>
      </c>
      <c r="C587">
        <v>10</v>
      </c>
      <c r="D587" t="s">
        <v>65</v>
      </c>
      <c r="E587">
        <v>0</v>
      </c>
      <c r="F587" t="s">
        <v>44</v>
      </c>
    </row>
    <row r="588" spans="1:6" ht="15" hidden="1" customHeight="1" x14ac:dyDescent="0.25">
      <c r="A588" t="s">
        <v>64</v>
      </c>
      <c r="B588" t="s">
        <v>39</v>
      </c>
      <c r="C588">
        <v>11</v>
      </c>
      <c r="D588" t="s">
        <v>67</v>
      </c>
      <c r="E588">
        <v>67.473190514469493</v>
      </c>
      <c r="F588" t="s">
        <v>44</v>
      </c>
    </row>
    <row r="589" spans="1:6" ht="15" hidden="1" customHeight="1" x14ac:dyDescent="0.25">
      <c r="A589" t="s">
        <v>64</v>
      </c>
      <c r="B589" t="s">
        <v>39</v>
      </c>
      <c r="C589">
        <v>12</v>
      </c>
      <c r="D589" t="s">
        <v>70</v>
      </c>
      <c r="E589">
        <v>3.8</v>
      </c>
      <c r="F589" t="s">
        <v>44</v>
      </c>
    </row>
    <row r="590" spans="1:6" ht="15" customHeight="1" x14ac:dyDescent="0.25">
      <c r="A590" t="s">
        <v>64</v>
      </c>
      <c r="B590" t="s">
        <v>43</v>
      </c>
      <c r="C590">
        <v>1</v>
      </c>
      <c r="D590" t="s">
        <v>35</v>
      </c>
      <c r="E590">
        <v>24.826000000000001</v>
      </c>
      <c r="F590" t="s">
        <v>44</v>
      </c>
    </row>
    <row r="591" spans="1:6" ht="15" hidden="1" customHeight="1" x14ac:dyDescent="0.25">
      <c r="A591" t="s">
        <v>64</v>
      </c>
      <c r="B591" t="s">
        <v>43</v>
      </c>
      <c r="C591">
        <v>2</v>
      </c>
      <c r="D591" t="s">
        <v>37</v>
      </c>
      <c r="E591">
        <v>86.337417469879497</v>
      </c>
      <c r="F591" t="s">
        <v>44</v>
      </c>
    </row>
    <row r="592" spans="1:6" ht="15" hidden="1" customHeight="1" x14ac:dyDescent="0.25">
      <c r="A592" t="s">
        <v>64</v>
      </c>
      <c r="B592" t="s">
        <v>43</v>
      </c>
      <c r="C592">
        <v>3</v>
      </c>
      <c r="D592" t="s">
        <v>41</v>
      </c>
      <c r="E592">
        <v>125.17071069846</v>
      </c>
      <c r="F592" t="s">
        <v>44</v>
      </c>
    </row>
    <row r="593" spans="1:6" ht="15" hidden="1" customHeight="1" x14ac:dyDescent="0.25">
      <c r="A593" t="s">
        <v>64</v>
      </c>
      <c r="B593" t="s">
        <v>43</v>
      </c>
      <c r="C593">
        <v>4</v>
      </c>
      <c r="D593" t="s">
        <v>45</v>
      </c>
      <c r="E593">
        <v>86.945724999999996</v>
      </c>
      <c r="F593" t="s">
        <v>44</v>
      </c>
    </row>
    <row r="594" spans="1:6" ht="15" hidden="1" customHeight="1" x14ac:dyDescent="0.25">
      <c r="A594" t="s">
        <v>64</v>
      </c>
      <c r="B594" t="s">
        <v>43</v>
      </c>
      <c r="C594">
        <v>5</v>
      </c>
      <c r="D594" t="s">
        <v>7</v>
      </c>
      <c r="E594">
        <v>29.052431428571399</v>
      </c>
      <c r="F594" t="s">
        <v>44</v>
      </c>
    </row>
    <row r="595" spans="1:6" ht="15" hidden="1" customHeight="1" x14ac:dyDescent="0.25">
      <c r="A595" t="s">
        <v>64</v>
      </c>
      <c r="B595" t="s">
        <v>43</v>
      </c>
      <c r="C595">
        <v>6</v>
      </c>
      <c r="D595" t="s">
        <v>53</v>
      </c>
      <c r="E595">
        <v>84.293499999999995</v>
      </c>
      <c r="F595" t="s">
        <v>44</v>
      </c>
    </row>
    <row r="596" spans="1:6" ht="15" hidden="1" customHeight="1" x14ac:dyDescent="0.25">
      <c r="A596" t="s">
        <v>64</v>
      </c>
      <c r="B596" t="s">
        <v>43</v>
      </c>
      <c r="C596">
        <v>7</v>
      </c>
      <c r="D596" t="s">
        <v>56</v>
      </c>
      <c r="E596">
        <v>117.30925000000001</v>
      </c>
      <c r="F596" t="s">
        <v>44</v>
      </c>
    </row>
    <row r="597" spans="1:6" ht="15" hidden="1" customHeight="1" x14ac:dyDescent="0.25">
      <c r="A597" t="s">
        <v>64</v>
      </c>
      <c r="B597" t="s">
        <v>43</v>
      </c>
      <c r="C597">
        <v>8</v>
      </c>
      <c r="D597" t="s">
        <v>60</v>
      </c>
      <c r="E597">
        <v>87.121125000000006</v>
      </c>
      <c r="F597" t="s">
        <v>44</v>
      </c>
    </row>
    <row r="598" spans="1:6" ht="15" hidden="1" customHeight="1" x14ac:dyDescent="0.25">
      <c r="A598" t="s">
        <v>64</v>
      </c>
      <c r="B598" t="s">
        <v>43</v>
      </c>
      <c r="C598">
        <v>9</v>
      </c>
      <c r="D598" t="s">
        <v>63</v>
      </c>
      <c r="E598">
        <v>255.148032127031</v>
      </c>
      <c r="F598" t="s">
        <v>44</v>
      </c>
    </row>
    <row r="599" spans="1:6" ht="15" hidden="1" customHeight="1" x14ac:dyDescent="0.25">
      <c r="A599" t="s">
        <v>64</v>
      </c>
      <c r="B599" t="s">
        <v>43</v>
      </c>
      <c r="C599">
        <v>10</v>
      </c>
      <c r="D599" t="s">
        <v>65</v>
      </c>
      <c r="E599">
        <v>116.13566746988</v>
      </c>
      <c r="F599" t="s">
        <v>44</v>
      </c>
    </row>
    <row r="600" spans="1:6" ht="15" hidden="1" customHeight="1" x14ac:dyDescent="0.25">
      <c r="A600" t="s">
        <v>64</v>
      </c>
      <c r="B600" t="s">
        <v>43</v>
      </c>
      <c r="C600">
        <v>11</v>
      </c>
      <c r="D600" t="s">
        <v>67</v>
      </c>
      <c r="E600">
        <v>30.638000000000002</v>
      </c>
      <c r="F600" t="s">
        <v>44</v>
      </c>
    </row>
    <row r="601" spans="1:6" ht="15" hidden="1" customHeight="1" x14ac:dyDescent="0.25">
      <c r="A601" t="s">
        <v>64</v>
      </c>
      <c r="B601" t="s">
        <v>43</v>
      </c>
      <c r="C601">
        <v>12</v>
      </c>
      <c r="D601" t="s">
        <v>70</v>
      </c>
      <c r="E601">
        <v>32.066499999999998</v>
      </c>
      <c r="F601" t="s">
        <v>44</v>
      </c>
    </row>
    <row r="602" spans="1:6" ht="15" customHeight="1" x14ac:dyDescent="0.25">
      <c r="A602" t="s">
        <v>64</v>
      </c>
      <c r="B602" t="s">
        <v>47</v>
      </c>
      <c r="C602">
        <v>1</v>
      </c>
      <c r="D602" t="s">
        <v>35</v>
      </c>
      <c r="E602">
        <v>0</v>
      </c>
      <c r="F602" t="s">
        <v>44</v>
      </c>
    </row>
    <row r="603" spans="1:6" ht="15" hidden="1" customHeight="1" x14ac:dyDescent="0.25">
      <c r="A603" t="s">
        <v>64</v>
      </c>
      <c r="B603" t="s">
        <v>47</v>
      </c>
      <c r="C603">
        <v>2</v>
      </c>
      <c r="D603" t="s">
        <v>37</v>
      </c>
      <c r="E603">
        <v>0</v>
      </c>
      <c r="F603" t="s">
        <v>44</v>
      </c>
    </row>
    <row r="604" spans="1:6" ht="15" hidden="1" customHeight="1" x14ac:dyDescent="0.25">
      <c r="A604" t="s">
        <v>64</v>
      </c>
      <c r="B604" t="s">
        <v>47</v>
      </c>
      <c r="C604">
        <v>3</v>
      </c>
      <c r="D604" t="s">
        <v>41</v>
      </c>
      <c r="E604">
        <v>0</v>
      </c>
      <c r="F604" t="s">
        <v>44</v>
      </c>
    </row>
    <row r="605" spans="1:6" ht="15" hidden="1" customHeight="1" x14ac:dyDescent="0.25">
      <c r="A605" t="s">
        <v>64</v>
      </c>
      <c r="B605" t="s">
        <v>47</v>
      </c>
      <c r="C605">
        <v>4</v>
      </c>
      <c r="D605" t="s">
        <v>45</v>
      </c>
      <c r="E605">
        <v>0</v>
      </c>
      <c r="F605" t="s">
        <v>44</v>
      </c>
    </row>
    <row r="606" spans="1:6" ht="15" hidden="1" customHeight="1" x14ac:dyDescent="0.25">
      <c r="A606" t="s">
        <v>64</v>
      </c>
      <c r="B606" t="s">
        <v>47</v>
      </c>
      <c r="C606">
        <v>5</v>
      </c>
      <c r="D606" t="s">
        <v>7</v>
      </c>
      <c r="E606">
        <v>0</v>
      </c>
      <c r="F606" t="s">
        <v>44</v>
      </c>
    </row>
    <row r="607" spans="1:6" ht="15" hidden="1" customHeight="1" x14ac:dyDescent="0.25">
      <c r="A607" t="s">
        <v>64</v>
      </c>
      <c r="B607" t="s">
        <v>47</v>
      </c>
      <c r="C607">
        <v>6</v>
      </c>
      <c r="D607" t="s">
        <v>53</v>
      </c>
      <c r="E607">
        <v>5</v>
      </c>
      <c r="F607" t="s">
        <v>44</v>
      </c>
    </row>
    <row r="608" spans="1:6" ht="15" hidden="1" customHeight="1" x14ac:dyDescent="0.25">
      <c r="A608" t="s">
        <v>64</v>
      </c>
      <c r="B608" t="s">
        <v>47</v>
      </c>
      <c r="C608">
        <v>7</v>
      </c>
      <c r="D608" t="s">
        <v>56</v>
      </c>
      <c r="E608">
        <v>0</v>
      </c>
      <c r="F608" t="s">
        <v>44</v>
      </c>
    </row>
    <row r="609" spans="1:6" ht="15" hidden="1" customHeight="1" x14ac:dyDescent="0.25">
      <c r="A609" t="s">
        <v>64</v>
      </c>
      <c r="B609" t="s">
        <v>47</v>
      </c>
      <c r="C609">
        <v>8</v>
      </c>
      <c r="D609" t="s">
        <v>60</v>
      </c>
      <c r="E609">
        <v>0</v>
      </c>
      <c r="F609" t="s">
        <v>44</v>
      </c>
    </row>
    <row r="610" spans="1:6" ht="15" hidden="1" customHeight="1" x14ac:dyDescent="0.25">
      <c r="A610" t="s">
        <v>64</v>
      </c>
      <c r="B610" t="s">
        <v>47</v>
      </c>
      <c r="C610">
        <v>9</v>
      </c>
      <c r="D610" t="s">
        <v>63</v>
      </c>
      <c r="E610">
        <v>5</v>
      </c>
      <c r="F610" t="s">
        <v>44</v>
      </c>
    </row>
    <row r="611" spans="1:6" ht="15" hidden="1" customHeight="1" x14ac:dyDescent="0.25">
      <c r="A611" t="s">
        <v>64</v>
      </c>
      <c r="B611" t="s">
        <v>47</v>
      </c>
      <c r="C611">
        <v>10</v>
      </c>
      <c r="D611" t="s">
        <v>65</v>
      </c>
      <c r="E611">
        <v>0</v>
      </c>
      <c r="F611" t="s">
        <v>44</v>
      </c>
    </row>
    <row r="612" spans="1:6" ht="15" hidden="1" customHeight="1" x14ac:dyDescent="0.25">
      <c r="A612" t="s">
        <v>64</v>
      </c>
      <c r="B612" t="s">
        <v>47</v>
      </c>
      <c r="C612">
        <v>11</v>
      </c>
      <c r="D612" t="s">
        <v>67</v>
      </c>
      <c r="E612">
        <v>0</v>
      </c>
      <c r="F612" t="s">
        <v>44</v>
      </c>
    </row>
    <row r="613" spans="1:6" ht="15" hidden="1" customHeight="1" x14ac:dyDescent="0.25">
      <c r="A613" t="s">
        <v>64</v>
      </c>
      <c r="B613" t="s">
        <v>47</v>
      </c>
      <c r="C613">
        <v>12</v>
      </c>
      <c r="D613" t="s">
        <v>70</v>
      </c>
      <c r="E613">
        <v>0</v>
      </c>
      <c r="F613" t="s">
        <v>44</v>
      </c>
    </row>
    <row r="614" spans="1:6" ht="15" customHeight="1" x14ac:dyDescent="0.25">
      <c r="A614" t="s">
        <v>64</v>
      </c>
      <c r="B614" t="s">
        <v>51</v>
      </c>
      <c r="C614">
        <v>1</v>
      </c>
      <c r="D614" t="s">
        <v>35</v>
      </c>
      <c r="E614">
        <v>26.279318181818201</v>
      </c>
      <c r="F614" t="s">
        <v>44</v>
      </c>
    </row>
    <row r="615" spans="1:6" ht="15" hidden="1" customHeight="1" x14ac:dyDescent="0.25">
      <c r="A615" t="s">
        <v>64</v>
      </c>
      <c r="B615" t="s">
        <v>51</v>
      </c>
      <c r="C615">
        <v>2</v>
      </c>
      <c r="D615" t="s">
        <v>37</v>
      </c>
      <c r="E615">
        <v>0.95040000000000002</v>
      </c>
      <c r="F615" t="s">
        <v>44</v>
      </c>
    </row>
    <row r="616" spans="1:6" ht="15" hidden="1" customHeight="1" x14ac:dyDescent="0.25">
      <c r="A616" t="s">
        <v>64</v>
      </c>
      <c r="B616" t="s">
        <v>51</v>
      </c>
      <c r="C616">
        <v>3</v>
      </c>
      <c r="D616" t="s">
        <v>41</v>
      </c>
      <c r="E616">
        <v>2.4</v>
      </c>
      <c r="F616" t="s">
        <v>44</v>
      </c>
    </row>
    <row r="617" spans="1:6" ht="15" hidden="1" customHeight="1" x14ac:dyDescent="0.25">
      <c r="A617" t="s">
        <v>64</v>
      </c>
      <c r="B617" t="s">
        <v>51</v>
      </c>
      <c r="C617">
        <v>4</v>
      </c>
      <c r="D617" t="s">
        <v>45</v>
      </c>
      <c r="E617">
        <v>0</v>
      </c>
      <c r="F617" t="s">
        <v>44</v>
      </c>
    </row>
    <row r="618" spans="1:6" ht="15" hidden="1" customHeight="1" x14ac:dyDescent="0.25">
      <c r="A618" t="s">
        <v>64</v>
      </c>
      <c r="B618" t="s">
        <v>51</v>
      </c>
      <c r="C618">
        <v>5</v>
      </c>
      <c r="D618" t="s">
        <v>7</v>
      </c>
      <c r="E618">
        <v>0</v>
      </c>
      <c r="F618" t="s">
        <v>44</v>
      </c>
    </row>
    <row r="619" spans="1:6" ht="15" hidden="1" customHeight="1" x14ac:dyDescent="0.25">
      <c r="A619" t="s">
        <v>64</v>
      </c>
      <c r="B619" t="s">
        <v>51</v>
      </c>
      <c r="C619">
        <v>6</v>
      </c>
      <c r="D619" t="s">
        <v>53</v>
      </c>
      <c r="E619">
        <v>0</v>
      </c>
      <c r="F619" t="s">
        <v>44</v>
      </c>
    </row>
    <row r="620" spans="1:6" ht="15" hidden="1" customHeight="1" x14ac:dyDescent="0.25">
      <c r="A620" t="s">
        <v>64</v>
      </c>
      <c r="B620" t="s">
        <v>51</v>
      </c>
      <c r="C620">
        <v>7</v>
      </c>
      <c r="D620" t="s">
        <v>56</v>
      </c>
      <c r="E620">
        <v>0</v>
      </c>
      <c r="F620" t="s">
        <v>44</v>
      </c>
    </row>
    <row r="621" spans="1:6" ht="15" hidden="1" customHeight="1" x14ac:dyDescent="0.25">
      <c r="A621" t="s">
        <v>64</v>
      </c>
      <c r="B621" t="s">
        <v>51</v>
      </c>
      <c r="C621">
        <v>8</v>
      </c>
      <c r="D621" t="s">
        <v>60</v>
      </c>
      <c r="E621">
        <v>0</v>
      </c>
      <c r="F621" t="s">
        <v>44</v>
      </c>
    </row>
    <row r="622" spans="1:6" ht="15" hidden="1" customHeight="1" x14ac:dyDescent="0.25">
      <c r="A622" t="s">
        <v>64</v>
      </c>
      <c r="B622" t="s">
        <v>51</v>
      </c>
      <c r="C622">
        <v>9</v>
      </c>
      <c r="D622" t="s">
        <v>63</v>
      </c>
      <c r="E622">
        <v>14.6636818181818</v>
      </c>
      <c r="F622" t="s">
        <v>44</v>
      </c>
    </row>
    <row r="623" spans="1:6" ht="15" hidden="1" customHeight="1" x14ac:dyDescent="0.25">
      <c r="A623" t="s">
        <v>64</v>
      </c>
      <c r="B623" t="s">
        <v>51</v>
      </c>
      <c r="C623">
        <v>10</v>
      </c>
      <c r="D623" t="s">
        <v>65</v>
      </c>
      <c r="E623">
        <v>0.42399999999999999</v>
      </c>
      <c r="F623" t="s">
        <v>44</v>
      </c>
    </row>
    <row r="624" spans="1:6" ht="15" hidden="1" customHeight="1" x14ac:dyDescent="0.25">
      <c r="A624" t="s">
        <v>64</v>
      </c>
      <c r="B624" t="s">
        <v>51</v>
      </c>
      <c r="C624">
        <v>11</v>
      </c>
      <c r="D624" t="s">
        <v>67</v>
      </c>
      <c r="E624">
        <v>0</v>
      </c>
      <c r="F624" t="s">
        <v>44</v>
      </c>
    </row>
    <row r="625" spans="1:6" ht="15" hidden="1" customHeight="1" x14ac:dyDescent="0.25">
      <c r="A625" t="s">
        <v>64</v>
      </c>
      <c r="B625" t="s">
        <v>51</v>
      </c>
      <c r="C625">
        <v>12</v>
      </c>
      <c r="D625" t="s">
        <v>70</v>
      </c>
      <c r="E625">
        <v>0</v>
      </c>
      <c r="F625" t="s">
        <v>44</v>
      </c>
    </row>
    <row r="626" spans="1:6" ht="15" customHeight="1" x14ac:dyDescent="0.25">
      <c r="A626" t="s">
        <v>64</v>
      </c>
      <c r="B626" t="s">
        <v>55</v>
      </c>
      <c r="C626">
        <v>1</v>
      </c>
      <c r="D626" t="s">
        <v>35</v>
      </c>
      <c r="E626">
        <v>0.84666666666666701</v>
      </c>
      <c r="F626" t="s">
        <v>44</v>
      </c>
    </row>
    <row r="627" spans="1:6" ht="15" hidden="1" customHeight="1" x14ac:dyDescent="0.25">
      <c r="A627" t="s">
        <v>64</v>
      </c>
      <c r="B627" t="s">
        <v>55</v>
      </c>
      <c r="C627">
        <v>2</v>
      </c>
      <c r="D627" t="s">
        <v>37</v>
      </c>
      <c r="E627">
        <v>0</v>
      </c>
      <c r="F627" t="s">
        <v>44</v>
      </c>
    </row>
    <row r="628" spans="1:6" ht="15" hidden="1" customHeight="1" x14ac:dyDescent="0.25">
      <c r="A628" t="s">
        <v>64</v>
      </c>
      <c r="B628" t="s">
        <v>55</v>
      </c>
      <c r="C628">
        <v>3</v>
      </c>
      <c r="D628" t="s">
        <v>41</v>
      </c>
      <c r="E628">
        <v>4.7</v>
      </c>
      <c r="F628" t="s">
        <v>44</v>
      </c>
    </row>
    <row r="629" spans="1:6" ht="15" hidden="1" customHeight="1" x14ac:dyDescent="0.25">
      <c r="A629" t="s">
        <v>64</v>
      </c>
      <c r="B629" t="s">
        <v>55</v>
      </c>
      <c r="C629">
        <v>4</v>
      </c>
      <c r="D629" t="s">
        <v>45</v>
      </c>
      <c r="E629">
        <v>1.4</v>
      </c>
      <c r="F629" t="s">
        <v>44</v>
      </c>
    </row>
    <row r="630" spans="1:6" ht="15" hidden="1" customHeight="1" x14ac:dyDescent="0.25">
      <c r="A630" t="s">
        <v>64</v>
      </c>
      <c r="B630" t="s">
        <v>55</v>
      </c>
      <c r="C630">
        <v>5</v>
      </c>
      <c r="D630" t="s">
        <v>7</v>
      </c>
      <c r="E630">
        <v>0</v>
      </c>
      <c r="F630" t="s">
        <v>44</v>
      </c>
    </row>
    <row r="631" spans="1:6" ht="15" hidden="1" customHeight="1" x14ac:dyDescent="0.25">
      <c r="A631" t="s">
        <v>64</v>
      </c>
      <c r="B631" t="s">
        <v>55</v>
      </c>
      <c r="C631">
        <v>6</v>
      </c>
      <c r="D631" t="s">
        <v>53</v>
      </c>
      <c r="E631">
        <v>0.6</v>
      </c>
      <c r="F631" t="s">
        <v>44</v>
      </c>
    </row>
    <row r="632" spans="1:6" ht="15" hidden="1" customHeight="1" x14ac:dyDescent="0.25">
      <c r="A632" t="s">
        <v>64</v>
      </c>
      <c r="B632" t="s">
        <v>55</v>
      </c>
      <c r="C632">
        <v>7</v>
      </c>
      <c r="D632" t="s">
        <v>56</v>
      </c>
      <c r="E632">
        <v>2.2933333333333299</v>
      </c>
      <c r="F632" t="s">
        <v>44</v>
      </c>
    </row>
    <row r="633" spans="1:6" ht="15" hidden="1" customHeight="1" x14ac:dyDescent="0.25">
      <c r="A633" t="s">
        <v>64</v>
      </c>
      <c r="B633" t="s">
        <v>55</v>
      </c>
      <c r="C633">
        <v>8</v>
      </c>
      <c r="D633" t="s">
        <v>60</v>
      </c>
      <c r="E633">
        <v>0</v>
      </c>
      <c r="F633" t="s">
        <v>44</v>
      </c>
    </row>
    <row r="634" spans="1:6" ht="15" hidden="1" customHeight="1" x14ac:dyDescent="0.25">
      <c r="A634" t="s">
        <v>64</v>
      </c>
      <c r="B634" t="s">
        <v>55</v>
      </c>
      <c r="C634">
        <v>9</v>
      </c>
      <c r="D634" t="s">
        <v>63</v>
      </c>
      <c r="E634">
        <v>2.1</v>
      </c>
      <c r="F634" t="s">
        <v>44</v>
      </c>
    </row>
    <row r="635" spans="1:6" ht="15" hidden="1" customHeight="1" x14ac:dyDescent="0.25">
      <c r="A635" t="s">
        <v>64</v>
      </c>
      <c r="B635" t="s">
        <v>55</v>
      </c>
      <c r="C635">
        <v>10</v>
      </c>
      <c r="D635" t="s">
        <v>65</v>
      </c>
      <c r="E635">
        <v>0</v>
      </c>
      <c r="F635" t="s">
        <v>44</v>
      </c>
    </row>
    <row r="636" spans="1:6" ht="15" hidden="1" customHeight="1" x14ac:dyDescent="0.25">
      <c r="A636" t="s">
        <v>64</v>
      </c>
      <c r="B636" t="s">
        <v>55</v>
      </c>
      <c r="C636">
        <v>11</v>
      </c>
      <c r="D636" t="s">
        <v>67</v>
      </c>
      <c r="E636">
        <v>0.6</v>
      </c>
      <c r="F636" t="s">
        <v>44</v>
      </c>
    </row>
    <row r="637" spans="1:6" ht="15" hidden="1" customHeight="1" x14ac:dyDescent="0.25">
      <c r="A637" t="s">
        <v>64</v>
      </c>
      <c r="B637" t="s">
        <v>55</v>
      </c>
      <c r="C637">
        <v>12</v>
      </c>
      <c r="D637" t="s">
        <v>70</v>
      </c>
      <c r="E637">
        <v>0</v>
      </c>
      <c r="F637" t="s">
        <v>44</v>
      </c>
    </row>
    <row r="638" spans="1:6" ht="15" customHeight="1" x14ac:dyDescent="0.25">
      <c r="A638" t="s">
        <v>64</v>
      </c>
      <c r="B638" t="s">
        <v>58</v>
      </c>
      <c r="C638">
        <v>1</v>
      </c>
      <c r="D638" t="s">
        <v>35</v>
      </c>
      <c r="E638">
        <v>0</v>
      </c>
      <c r="F638" t="s">
        <v>44</v>
      </c>
    </row>
    <row r="639" spans="1:6" ht="15" hidden="1" customHeight="1" x14ac:dyDescent="0.25">
      <c r="A639" t="s">
        <v>64</v>
      </c>
      <c r="B639" t="s">
        <v>58</v>
      </c>
      <c r="C639">
        <v>2</v>
      </c>
      <c r="D639" t="s">
        <v>37</v>
      </c>
      <c r="E639">
        <v>0</v>
      </c>
      <c r="F639" t="s">
        <v>44</v>
      </c>
    </row>
    <row r="640" spans="1:6" ht="15" hidden="1" customHeight="1" x14ac:dyDescent="0.25">
      <c r="A640" t="s">
        <v>64</v>
      </c>
      <c r="B640" t="s">
        <v>58</v>
      </c>
      <c r="C640">
        <v>3</v>
      </c>
      <c r="D640" t="s">
        <v>41</v>
      </c>
      <c r="E640">
        <v>0</v>
      </c>
      <c r="F640" t="s">
        <v>44</v>
      </c>
    </row>
    <row r="641" spans="1:6" ht="15" hidden="1" customHeight="1" x14ac:dyDescent="0.25">
      <c r="A641" t="s">
        <v>64</v>
      </c>
      <c r="B641" t="s">
        <v>58</v>
      </c>
      <c r="C641">
        <v>4</v>
      </c>
      <c r="D641" t="s">
        <v>45</v>
      </c>
      <c r="E641">
        <v>0</v>
      </c>
      <c r="F641" t="s">
        <v>44</v>
      </c>
    </row>
    <row r="642" spans="1:6" ht="15" hidden="1" customHeight="1" x14ac:dyDescent="0.25">
      <c r="A642" t="s">
        <v>64</v>
      </c>
      <c r="B642" t="s">
        <v>58</v>
      </c>
      <c r="C642">
        <v>5</v>
      </c>
      <c r="D642" t="s">
        <v>7</v>
      </c>
      <c r="E642">
        <v>0</v>
      </c>
      <c r="F642" t="s">
        <v>44</v>
      </c>
    </row>
    <row r="643" spans="1:6" ht="15" hidden="1" customHeight="1" x14ac:dyDescent="0.25">
      <c r="A643" t="s">
        <v>64</v>
      </c>
      <c r="B643" t="s">
        <v>58</v>
      </c>
      <c r="C643">
        <v>6</v>
      </c>
      <c r="D643" t="s">
        <v>53</v>
      </c>
      <c r="E643">
        <v>0</v>
      </c>
      <c r="F643" t="s">
        <v>44</v>
      </c>
    </row>
    <row r="644" spans="1:6" ht="15" hidden="1" customHeight="1" x14ac:dyDescent="0.25">
      <c r="A644" t="s">
        <v>64</v>
      </c>
      <c r="B644" t="s">
        <v>58</v>
      </c>
      <c r="C644">
        <v>7</v>
      </c>
      <c r="D644" t="s">
        <v>56</v>
      </c>
      <c r="E644">
        <v>0</v>
      </c>
      <c r="F644" t="s">
        <v>44</v>
      </c>
    </row>
    <row r="645" spans="1:6" ht="15" hidden="1" customHeight="1" x14ac:dyDescent="0.25">
      <c r="A645" t="s">
        <v>64</v>
      </c>
      <c r="B645" t="s">
        <v>58</v>
      </c>
      <c r="C645">
        <v>8</v>
      </c>
      <c r="D645" t="s">
        <v>60</v>
      </c>
      <c r="E645">
        <v>0</v>
      </c>
      <c r="F645" t="s">
        <v>44</v>
      </c>
    </row>
    <row r="646" spans="1:6" ht="15" hidden="1" customHeight="1" x14ac:dyDescent="0.25">
      <c r="A646" t="s">
        <v>64</v>
      </c>
      <c r="B646" t="s">
        <v>58</v>
      </c>
      <c r="C646">
        <v>9</v>
      </c>
      <c r="D646" t="s">
        <v>63</v>
      </c>
      <c r="E646">
        <v>0</v>
      </c>
      <c r="F646" t="s">
        <v>44</v>
      </c>
    </row>
    <row r="647" spans="1:6" ht="15" hidden="1" customHeight="1" x14ac:dyDescent="0.25">
      <c r="A647" t="s">
        <v>64</v>
      </c>
      <c r="B647" t="s">
        <v>58</v>
      </c>
      <c r="C647">
        <v>10</v>
      </c>
      <c r="D647" t="s">
        <v>65</v>
      </c>
      <c r="E647">
        <v>0</v>
      </c>
      <c r="F647" t="s">
        <v>44</v>
      </c>
    </row>
    <row r="648" spans="1:6" ht="15" hidden="1" customHeight="1" x14ac:dyDescent="0.25">
      <c r="A648" t="s">
        <v>64</v>
      </c>
      <c r="B648" t="s">
        <v>58</v>
      </c>
      <c r="C648">
        <v>11</v>
      </c>
      <c r="D648" t="s">
        <v>67</v>
      </c>
      <c r="E648">
        <v>0</v>
      </c>
      <c r="F648" t="s">
        <v>44</v>
      </c>
    </row>
    <row r="649" spans="1:6" ht="15" hidden="1" customHeight="1" x14ac:dyDescent="0.25">
      <c r="A649" t="s">
        <v>64</v>
      </c>
      <c r="B649" t="s">
        <v>58</v>
      </c>
      <c r="C649">
        <v>12</v>
      </c>
      <c r="D649" t="s">
        <v>70</v>
      </c>
      <c r="E649">
        <v>0</v>
      </c>
      <c r="F649" t="s">
        <v>44</v>
      </c>
    </row>
    <row r="650" spans="1:6" ht="15" customHeight="1" x14ac:dyDescent="0.25">
      <c r="A650" t="s">
        <v>66</v>
      </c>
      <c r="B650" t="s">
        <v>39</v>
      </c>
      <c r="C650">
        <v>1</v>
      </c>
      <c r="D650" t="s">
        <v>35</v>
      </c>
      <c r="E650">
        <v>87.302000000000007</v>
      </c>
      <c r="F650" t="s">
        <v>44</v>
      </c>
    </row>
    <row r="651" spans="1:6" ht="15" hidden="1" customHeight="1" x14ac:dyDescent="0.25">
      <c r="A651" t="s">
        <v>66</v>
      </c>
      <c r="B651" t="s">
        <v>39</v>
      </c>
      <c r="C651">
        <v>2</v>
      </c>
      <c r="D651" t="s">
        <v>37</v>
      </c>
      <c r="E651">
        <v>29.548400000000001</v>
      </c>
      <c r="F651" t="s">
        <v>44</v>
      </c>
    </row>
    <row r="652" spans="1:6" ht="15" hidden="1" customHeight="1" x14ac:dyDescent="0.25">
      <c r="A652" t="s">
        <v>66</v>
      </c>
      <c r="B652" t="s">
        <v>39</v>
      </c>
      <c r="C652">
        <v>3</v>
      </c>
      <c r="D652" t="s">
        <v>41</v>
      </c>
      <c r="E652">
        <v>3.38</v>
      </c>
      <c r="F652" t="s">
        <v>44</v>
      </c>
    </row>
    <row r="653" spans="1:6" ht="15" hidden="1" customHeight="1" x14ac:dyDescent="0.25">
      <c r="A653" t="s">
        <v>66</v>
      </c>
      <c r="B653" t="s">
        <v>39</v>
      </c>
      <c r="C653">
        <v>4</v>
      </c>
      <c r="D653" t="s">
        <v>45</v>
      </c>
      <c r="E653">
        <v>6.1731999999999996</v>
      </c>
      <c r="F653" t="s">
        <v>44</v>
      </c>
    </row>
    <row r="654" spans="1:6" ht="15" hidden="1" customHeight="1" x14ac:dyDescent="0.25">
      <c r="A654" t="s">
        <v>66</v>
      </c>
      <c r="B654" t="s">
        <v>39</v>
      </c>
      <c r="C654">
        <v>5</v>
      </c>
      <c r="D654" t="s">
        <v>7</v>
      </c>
      <c r="E654">
        <v>6.3525</v>
      </c>
      <c r="F654" t="s">
        <v>44</v>
      </c>
    </row>
    <row r="655" spans="1:6" ht="15" hidden="1" customHeight="1" x14ac:dyDescent="0.25">
      <c r="A655" t="s">
        <v>66</v>
      </c>
      <c r="B655" t="s">
        <v>39</v>
      </c>
      <c r="C655">
        <v>6</v>
      </c>
      <c r="D655" t="s">
        <v>53</v>
      </c>
      <c r="E655">
        <v>76.168000000000006</v>
      </c>
      <c r="F655" t="s">
        <v>44</v>
      </c>
    </row>
    <row r="656" spans="1:6" ht="15" hidden="1" customHeight="1" x14ac:dyDescent="0.25">
      <c r="A656" t="s">
        <v>66</v>
      </c>
      <c r="B656" t="s">
        <v>39</v>
      </c>
      <c r="C656">
        <v>7</v>
      </c>
      <c r="D656" t="s">
        <v>56</v>
      </c>
      <c r="E656">
        <v>0</v>
      </c>
      <c r="F656" t="s">
        <v>44</v>
      </c>
    </row>
    <row r="657" spans="1:6" ht="15" hidden="1" customHeight="1" x14ac:dyDescent="0.25">
      <c r="A657" t="s">
        <v>66</v>
      </c>
      <c r="B657" t="s">
        <v>39</v>
      </c>
      <c r="C657">
        <v>8</v>
      </c>
      <c r="D657" t="s">
        <v>60</v>
      </c>
      <c r="E657">
        <v>2.7208000000000001</v>
      </c>
      <c r="F657" t="s">
        <v>44</v>
      </c>
    </row>
    <row r="658" spans="1:6" ht="15" hidden="1" customHeight="1" x14ac:dyDescent="0.25">
      <c r="A658" t="s">
        <v>66</v>
      </c>
      <c r="B658" t="s">
        <v>39</v>
      </c>
      <c r="C658">
        <v>9</v>
      </c>
      <c r="D658" t="s">
        <v>63</v>
      </c>
      <c r="E658">
        <v>14.608000000000001</v>
      </c>
      <c r="F658" t="s">
        <v>44</v>
      </c>
    </row>
    <row r="659" spans="1:6" ht="15" hidden="1" customHeight="1" x14ac:dyDescent="0.25">
      <c r="A659" t="s">
        <v>66</v>
      </c>
      <c r="B659" t="s">
        <v>39</v>
      </c>
      <c r="C659">
        <v>10</v>
      </c>
      <c r="D659" t="s">
        <v>65</v>
      </c>
      <c r="E659">
        <v>11.647500000000001</v>
      </c>
      <c r="F659" t="s">
        <v>44</v>
      </c>
    </row>
    <row r="660" spans="1:6" ht="15" hidden="1" customHeight="1" x14ac:dyDescent="0.25">
      <c r="A660" t="s">
        <v>66</v>
      </c>
      <c r="B660" t="s">
        <v>39</v>
      </c>
      <c r="C660">
        <v>11</v>
      </c>
      <c r="D660" t="s">
        <v>67</v>
      </c>
      <c r="E660">
        <v>0</v>
      </c>
      <c r="F660" t="s">
        <v>44</v>
      </c>
    </row>
    <row r="661" spans="1:6" ht="15" hidden="1" customHeight="1" x14ac:dyDescent="0.25">
      <c r="A661" t="s">
        <v>66</v>
      </c>
      <c r="B661" t="s">
        <v>39</v>
      </c>
      <c r="C661">
        <v>12</v>
      </c>
      <c r="D661" t="s">
        <v>70</v>
      </c>
      <c r="E661">
        <v>23.2484</v>
      </c>
      <c r="F661" t="s">
        <v>44</v>
      </c>
    </row>
    <row r="662" spans="1:6" ht="15" customHeight="1" x14ac:dyDescent="0.25">
      <c r="A662" t="s">
        <v>66</v>
      </c>
      <c r="B662" t="s">
        <v>43</v>
      </c>
      <c r="C662">
        <v>1</v>
      </c>
      <c r="D662" t="s">
        <v>35</v>
      </c>
      <c r="E662">
        <v>164.48990000000001</v>
      </c>
      <c r="F662" t="s">
        <v>44</v>
      </c>
    </row>
    <row r="663" spans="1:6" ht="15" hidden="1" customHeight="1" x14ac:dyDescent="0.25">
      <c r="A663" t="s">
        <v>66</v>
      </c>
      <c r="B663" t="s">
        <v>43</v>
      </c>
      <c r="C663">
        <v>2</v>
      </c>
      <c r="D663" t="s">
        <v>37</v>
      </c>
      <c r="E663">
        <v>124.64735</v>
      </c>
      <c r="F663" t="s">
        <v>44</v>
      </c>
    </row>
    <row r="664" spans="1:6" ht="15" hidden="1" customHeight="1" x14ac:dyDescent="0.25">
      <c r="A664" t="s">
        <v>66</v>
      </c>
      <c r="B664" t="s">
        <v>43</v>
      </c>
      <c r="C664">
        <v>3</v>
      </c>
      <c r="D664" t="s">
        <v>41</v>
      </c>
      <c r="E664">
        <v>88.1267</v>
      </c>
      <c r="F664" t="s">
        <v>44</v>
      </c>
    </row>
    <row r="665" spans="1:6" ht="15" hidden="1" customHeight="1" x14ac:dyDescent="0.25">
      <c r="A665" t="s">
        <v>66</v>
      </c>
      <c r="B665" t="s">
        <v>43</v>
      </c>
      <c r="C665">
        <v>4</v>
      </c>
      <c r="D665" t="s">
        <v>45</v>
      </c>
      <c r="E665">
        <v>100.68685000000001</v>
      </c>
      <c r="F665" t="s">
        <v>44</v>
      </c>
    </row>
    <row r="666" spans="1:6" ht="15" hidden="1" customHeight="1" x14ac:dyDescent="0.25">
      <c r="A666" t="s">
        <v>66</v>
      </c>
      <c r="B666" t="s">
        <v>43</v>
      </c>
      <c r="C666">
        <v>5</v>
      </c>
      <c r="D666" t="s">
        <v>7</v>
      </c>
      <c r="E666">
        <v>125.82865</v>
      </c>
      <c r="F666" t="s">
        <v>44</v>
      </c>
    </row>
    <row r="667" spans="1:6" ht="15" hidden="1" customHeight="1" x14ac:dyDescent="0.25">
      <c r="A667" t="s">
        <v>66</v>
      </c>
      <c r="B667" t="s">
        <v>43</v>
      </c>
      <c r="C667">
        <v>6</v>
      </c>
      <c r="D667" t="s">
        <v>53</v>
      </c>
      <c r="E667">
        <v>158.48185000000001</v>
      </c>
      <c r="F667" t="s">
        <v>44</v>
      </c>
    </row>
    <row r="668" spans="1:6" ht="15" hidden="1" customHeight="1" x14ac:dyDescent="0.25">
      <c r="A668" t="s">
        <v>66</v>
      </c>
      <c r="B668" t="s">
        <v>43</v>
      </c>
      <c r="C668">
        <v>7</v>
      </c>
      <c r="D668" t="s">
        <v>56</v>
      </c>
      <c r="E668">
        <v>193.43265</v>
      </c>
      <c r="F668" t="s">
        <v>44</v>
      </c>
    </row>
    <row r="669" spans="1:6" ht="15" hidden="1" customHeight="1" x14ac:dyDescent="0.25">
      <c r="A669" t="s">
        <v>66</v>
      </c>
      <c r="B669" t="s">
        <v>43</v>
      </c>
      <c r="C669">
        <v>8</v>
      </c>
      <c r="D669" t="s">
        <v>60</v>
      </c>
      <c r="E669">
        <v>114.7128</v>
      </c>
      <c r="F669" t="s">
        <v>44</v>
      </c>
    </row>
    <row r="670" spans="1:6" ht="15" hidden="1" customHeight="1" x14ac:dyDescent="0.25">
      <c r="A670" t="s">
        <v>66</v>
      </c>
      <c r="B670" t="s">
        <v>43</v>
      </c>
      <c r="C670">
        <v>9</v>
      </c>
      <c r="D670" t="s">
        <v>63</v>
      </c>
      <c r="E670">
        <v>109.61794999999999</v>
      </c>
      <c r="F670" t="s">
        <v>44</v>
      </c>
    </row>
    <row r="671" spans="1:6" ht="15" hidden="1" customHeight="1" x14ac:dyDescent="0.25">
      <c r="A671" t="s">
        <v>66</v>
      </c>
      <c r="B671" t="s">
        <v>43</v>
      </c>
      <c r="C671">
        <v>10</v>
      </c>
      <c r="D671" t="s">
        <v>65</v>
      </c>
      <c r="E671">
        <v>116.5025</v>
      </c>
      <c r="F671" t="s">
        <v>44</v>
      </c>
    </row>
    <row r="672" spans="1:6" ht="15" hidden="1" customHeight="1" x14ac:dyDescent="0.25">
      <c r="A672" t="s">
        <v>66</v>
      </c>
      <c r="B672" t="s">
        <v>43</v>
      </c>
      <c r="C672">
        <v>11</v>
      </c>
      <c r="D672" t="s">
        <v>67</v>
      </c>
      <c r="E672">
        <v>57.370800000000003</v>
      </c>
      <c r="F672" t="s">
        <v>44</v>
      </c>
    </row>
    <row r="673" spans="1:6" ht="15" hidden="1" customHeight="1" x14ac:dyDescent="0.25">
      <c r="A673" t="s">
        <v>66</v>
      </c>
      <c r="B673" t="s">
        <v>43</v>
      </c>
      <c r="C673">
        <v>12</v>
      </c>
      <c r="D673" t="s">
        <v>70</v>
      </c>
      <c r="E673">
        <v>92.049700000000001</v>
      </c>
      <c r="F673" t="s">
        <v>44</v>
      </c>
    </row>
    <row r="674" spans="1:6" ht="15" customHeight="1" x14ac:dyDescent="0.25">
      <c r="A674" t="s">
        <v>66</v>
      </c>
      <c r="B674" t="s">
        <v>47</v>
      </c>
      <c r="C674">
        <v>1</v>
      </c>
      <c r="D674" t="s">
        <v>35</v>
      </c>
      <c r="E674">
        <v>0</v>
      </c>
      <c r="F674" t="s">
        <v>44</v>
      </c>
    </row>
    <row r="675" spans="1:6" ht="15" hidden="1" customHeight="1" x14ac:dyDescent="0.25">
      <c r="A675" t="s">
        <v>66</v>
      </c>
      <c r="B675" t="s">
        <v>47</v>
      </c>
      <c r="C675">
        <v>2</v>
      </c>
      <c r="D675" t="s">
        <v>37</v>
      </c>
      <c r="E675">
        <v>0.05</v>
      </c>
      <c r="F675" t="s">
        <v>44</v>
      </c>
    </row>
    <row r="676" spans="1:6" ht="15" hidden="1" customHeight="1" x14ac:dyDescent="0.25">
      <c r="A676" t="s">
        <v>66</v>
      </c>
      <c r="B676" t="s">
        <v>47</v>
      </c>
      <c r="C676">
        <v>3</v>
      </c>
      <c r="D676" t="s">
        <v>41</v>
      </c>
      <c r="E676">
        <v>9.9629999999999992</v>
      </c>
      <c r="F676" t="s">
        <v>44</v>
      </c>
    </row>
    <row r="677" spans="1:6" ht="15" hidden="1" customHeight="1" x14ac:dyDescent="0.25">
      <c r="A677" t="s">
        <v>66</v>
      </c>
      <c r="B677" t="s">
        <v>47</v>
      </c>
      <c r="C677">
        <v>4</v>
      </c>
      <c r="D677" t="s">
        <v>45</v>
      </c>
      <c r="E677">
        <v>8.0690000000000008</v>
      </c>
      <c r="F677" t="s">
        <v>44</v>
      </c>
    </row>
    <row r="678" spans="1:6" ht="15" hidden="1" customHeight="1" x14ac:dyDescent="0.25">
      <c r="A678" t="s">
        <v>66</v>
      </c>
      <c r="B678" t="s">
        <v>47</v>
      </c>
      <c r="C678">
        <v>5</v>
      </c>
      <c r="D678" t="s">
        <v>7</v>
      </c>
      <c r="E678">
        <v>0</v>
      </c>
      <c r="F678" t="s">
        <v>44</v>
      </c>
    </row>
    <row r="679" spans="1:6" ht="15" hidden="1" customHeight="1" x14ac:dyDescent="0.25">
      <c r="A679" t="s">
        <v>66</v>
      </c>
      <c r="B679" t="s">
        <v>47</v>
      </c>
      <c r="C679">
        <v>6</v>
      </c>
      <c r="D679" t="s">
        <v>53</v>
      </c>
      <c r="E679">
        <v>0.05</v>
      </c>
      <c r="F679" t="s">
        <v>44</v>
      </c>
    </row>
    <row r="680" spans="1:6" ht="15" hidden="1" customHeight="1" x14ac:dyDescent="0.25">
      <c r="A680" t="s">
        <v>66</v>
      </c>
      <c r="B680" t="s">
        <v>47</v>
      </c>
      <c r="C680">
        <v>7</v>
      </c>
      <c r="D680" t="s">
        <v>56</v>
      </c>
      <c r="E680">
        <v>0</v>
      </c>
      <c r="F680" t="s">
        <v>44</v>
      </c>
    </row>
    <row r="681" spans="1:6" ht="15" hidden="1" customHeight="1" x14ac:dyDescent="0.25">
      <c r="A681" t="s">
        <v>66</v>
      </c>
      <c r="B681" t="s">
        <v>47</v>
      </c>
      <c r="C681">
        <v>8</v>
      </c>
      <c r="D681" t="s">
        <v>60</v>
      </c>
      <c r="E681">
        <v>0.05</v>
      </c>
      <c r="F681" t="s">
        <v>44</v>
      </c>
    </row>
    <row r="682" spans="1:6" ht="15" hidden="1" customHeight="1" x14ac:dyDescent="0.25">
      <c r="A682" t="s">
        <v>66</v>
      </c>
      <c r="B682" t="s">
        <v>47</v>
      </c>
      <c r="C682">
        <v>9</v>
      </c>
      <c r="D682" t="s">
        <v>63</v>
      </c>
      <c r="E682">
        <v>0</v>
      </c>
      <c r="F682" t="s">
        <v>44</v>
      </c>
    </row>
    <row r="683" spans="1:6" ht="15" hidden="1" customHeight="1" x14ac:dyDescent="0.25">
      <c r="A683" t="s">
        <v>66</v>
      </c>
      <c r="B683" t="s">
        <v>47</v>
      </c>
      <c r="C683">
        <v>10</v>
      </c>
      <c r="D683" t="s">
        <v>65</v>
      </c>
      <c r="E683">
        <v>0.05</v>
      </c>
      <c r="F683" t="s">
        <v>44</v>
      </c>
    </row>
    <row r="684" spans="1:6" ht="15" hidden="1" customHeight="1" x14ac:dyDescent="0.25">
      <c r="A684" t="s">
        <v>66</v>
      </c>
      <c r="B684" t="s">
        <v>47</v>
      </c>
      <c r="C684">
        <v>11</v>
      </c>
      <c r="D684" t="s">
        <v>67</v>
      </c>
      <c r="E684">
        <v>0</v>
      </c>
      <c r="F684" t="s">
        <v>44</v>
      </c>
    </row>
    <row r="685" spans="1:6" ht="15" hidden="1" customHeight="1" x14ac:dyDescent="0.25">
      <c r="A685" t="s">
        <v>66</v>
      </c>
      <c r="B685" t="s">
        <v>47</v>
      </c>
      <c r="C685">
        <v>12</v>
      </c>
      <c r="D685" t="s">
        <v>70</v>
      </c>
      <c r="E685">
        <v>0.05</v>
      </c>
      <c r="F685" t="s">
        <v>44</v>
      </c>
    </row>
    <row r="686" spans="1:6" ht="15" customHeight="1" x14ac:dyDescent="0.25">
      <c r="A686" t="s">
        <v>66</v>
      </c>
      <c r="B686" t="s">
        <v>51</v>
      </c>
      <c r="C686">
        <v>1</v>
      </c>
      <c r="D686" t="s">
        <v>35</v>
      </c>
      <c r="E686">
        <v>0</v>
      </c>
      <c r="F686" t="s">
        <v>44</v>
      </c>
    </row>
    <row r="687" spans="1:6" ht="15" hidden="1" customHeight="1" x14ac:dyDescent="0.25">
      <c r="A687" t="s">
        <v>66</v>
      </c>
      <c r="B687" t="s">
        <v>51</v>
      </c>
      <c r="C687">
        <v>2</v>
      </c>
      <c r="D687" t="s">
        <v>37</v>
      </c>
      <c r="E687">
        <v>0</v>
      </c>
      <c r="F687" t="s">
        <v>44</v>
      </c>
    </row>
    <row r="688" spans="1:6" ht="15" hidden="1" customHeight="1" x14ac:dyDescent="0.25">
      <c r="A688" t="s">
        <v>66</v>
      </c>
      <c r="B688" t="s">
        <v>51</v>
      </c>
      <c r="C688">
        <v>3</v>
      </c>
      <c r="D688" t="s">
        <v>41</v>
      </c>
      <c r="E688">
        <v>2.4</v>
      </c>
      <c r="F688" t="s">
        <v>44</v>
      </c>
    </row>
    <row r="689" spans="1:6" ht="15" hidden="1" customHeight="1" x14ac:dyDescent="0.25">
      <c r="A689" t="s">
        <v>66</v>
      </c>
      <c r="B689" t="s">
        <v>51</v>
      </c>
      <c r="C689">
        <v>4</v>
      </c>
      <c r="D689" t="s">
        <v>45</v>
      </c>
      <c r="E689">
        <v>0</v>
      </c>
      <c r="F689" t="s">
        <v>44</v>
      </c>
    </row>
    <row r="690" spans="1:6" ht="15" hidden="1" customHeight="1" x14ac:dyDescent="0.25">
      <c r="A690" t="s">
        <v>66</v>
      </c>
      <c r="B690" t="s">
        <v>51</v>
      </c>
      <c r="C690">
        <v>5</v>
      </c>
      <c r="D690" t="s">
        <v>7</v>
      </c>
      <c r="E690">
        <v>0</v>
      </c>
      <c r="F690" t="s">
        <v>44</v>
      </c>
    </row>
    <row r="691" spans="1:6" ht="15" hidden="1" customHeight="1" x14ac:dyDescent="0.25">
      <c r="A691" t="s">
        <v>66</v>
      </c>
      <c r="B691" t="s">
        <v>51</v>
      </c>
      <c r="C691">
        <v>6</v>
      </c>
      <c r="D691" t="s">
        <v>53</v>
      </c>
      <c r="E691">
        <v>1.6</v>
      </c>
      <c r="F691" t="s">
        <v>44</v>
      </c>
    </row>
    <row r="692" spans="1:6" ht="15" hidden="1" customHeight="1" x14ac:dyDescent="0.25">
      <c r="A692" t="s">
        <v>66</v>
      </c>
      <c r="B692" t="s">
        <v>51</v>
      </c>
      <c r="C692">
        <v>7</v>
      </c>
      <c r="D692" t="s">
        <v>56</v>
      </c>
      <c r="E692">
        <v>0</v>
      </c>
      <c r="F692" t="s">
        <v>44</v>
      </c>
    </row>
    <row r="693" spans="1:6" ht="15" hidden="1" customHeight="1" x14ac:dyDescent="0.25">
      <c r="A693" t="s">
        <v>66</v>
      </c>
      <c r="B693" t="s">
        <v>51</v>
      </c>
      <c r="C693">
        <v>8</v>
      </c>
      <c r="D693" t="s">
        <v>60</v>
      </c>
      <c r="E693">
        <v>0</v>
      </c>
      <c r="F693" t="s">
        <v>44</v>
      </c>
    </row>
    <row r="694" spans="1:6" ht="15" hidden="1" customHeight="1" x14ac:dyDescent="0.25">
      <c r="A694" t="s">
        <v>66</v>
      </c>
      <c r="B694" t="s">
        <v>51</v>
      </c>
      <c r="C694">
        <v>9</v>
      </c>
      <c r="D694" t="s">
        <v>63</v>
      </c>
      <c r="E694">
        <v>0</v>
      </c>
      <c r="F694" t="s">
        <v>44</v>
      </c>
    </row>
    <row r="695" spans="1:6" ht="15" hidden="1" customHeight="1" x14ac:dyDescent="0.25">
      <c r="A695" t="s">
        <v>66</v>
      </c>
      <c r="B695" t="s">
        <v>51</v>
      </c>
      <c r="C695">
        <v>10</v>
      </c>
      <c r="D695" t="s">
        <v>65</v>
      </c>
      <c r="E695">
        <v>2</v>
      </c>
      <c r="F695" t="s">
        <v>44</v>
      </c>
    </row>
    <row r="696" spans="1:6" ht="15" hidden="1" customHeight="1" x14ac:dyDescent="0.25">
      <c r="A696" t="s">
        <v>66</v>
      </c>
      <c r="B696" t="s">
        <v>51</v>
      </c>
      <c r="C696">
        <v>11</v>
      </c>
      <c r="D696" t="s">
        <v>67</v>
      </c>
      <c r="E696">
        <v>0</v>
      </c>
      <c r="F696" t="s">
        <v>44</v>
      </c>
    </row>
    <row r="697" spans="1:6" ht="15" hidden="1" customHeight="1" x14ac:dyDescent="0.25">
      <c r="A697" t="s">
        <v>66</v>
      </c>
      <c r="B697" t="s">
        <v>51</v>
      </c>
      <c r="C697">
        <v>12</v>
      </c>
      <c r="D697" t="s">
        <v>70</v>
      </c>
      <c r="E697">
        <v>0</v>
      </c>
      <c r="F697" t="s">
        <v>44</v>
      </c>
    </row>
    <row r="698" spans="1:6" ht="15" customHeight="1" x14ac:dyDescent="0.25">
      <c r="A698" t="s">
        <v>66</v>
      </c>
      <c r="B698" t="s">
        <v>55</v>
      </c>
      <c r="C698">
        <v>1</v>
      </c>
      <c r="D698" t="s">
        <v>35</v>
      </c>
      <c r="E698">
        <v>3.4</v>
      </c>
      <c r="F698" t="s">
        <v>44</v>
      </c>
    </row>
    <row r="699" spans="1:6" ht="15" hidden="1" customHeight="1" x14ac:dyDescent="0.25">
      <c r="A699" t="s">
        <v>66</v>
      </c>
      <c r="B699" t="s">
        <v>55</v>
      </c>
      <c r="C699">
        <v>2</v>
      </c>
      <c r="D699" t="s">
        <v>37</v>
      </c>
      <c r="E699">
        <v>0.2</v>
      </c>
      <c r="F699" t="s">
        <v>44</v>
      </c>
    </row>
    <row r="700" spans="1:6" ht="15" hidden="1" customHeight="1" x14ac:dyDescent="0.25">
      <c r="A700" t="s">
        <v>66</v>
      </c>
      <c r="B700" t="s">
        <v>55</v>
      </c>
      <c r="C700">
        <v>3</v>
      </c>
      <c r="D700" t="s">
        <v>41</v>
      </c>
      <c r="E700">
        <v>1.1200000000000001</v>
      </c>
      <c r="F700" t="s">
        <v>44</v>
      </c>
    </row>
    <row r="701" spans="1:6" ht="15" hidden="1" customHeight="1" x14ac:dyDescent="0.25">
      <c r="A701" t="s">
        <v>66</v>
      </c>
      <c r="B701" t="s">
        <v>55</v>
      </c>
      <c r="C701">
        <v>4</v>
      </c>
      <c r="D701" t="s">
        <v>45</v>
      </c>
      <c r="E701">
        <v>2.7</v>
      </c>
      <c r="F701" t="s">
        <v>44</v>
      </c>
    </row>
    <row r="702" spans="1:6" ht="15" hidden="1" customHeight="1" x14ac:dyDescent="0.25">
      <c r="A702" t="s">
        <v>66</v>
      </c>
      <c r="B702" t="s">
        <v>55</v>
      </c>
      <c r="C702">
        <v>5</v>
      </c>
      <c r="D702" t="s">
        <v>7</v>
      </c>
      <c r="E702">
        <v>5.3</v>
      </c>
      <c r="F702" t="s">
        <v>44</v>
      </c>
    </row>
    <row r="703" spans="1:6" ht="15" hidden="1" customHeight="1" x14ac:dyDescent="0.25">
      <c r="A703" t="s">
        <v>66</v>
      </c>
      <c r="B703" t="s">
        <v>55</v>
      </c>
      <c r="C703">
        <v>6</v>
      </c>
      <c r="D703" t="s">
        <v>53</v>
      </c>
      <c r="E703">
        <v>2.2999999999999998</v>
      </c>
      <c r="F703" t="s">
        <v>44</v>
      </c>
    </row>
    <row r="704" spans="1:6" ht="15" hidden="1" customHeight="1" x14ac:dyDescent="0.25">
      <c r="A704" t="s">
        <v>66</v>
      </c>
      <c r="B704" t="s">
        <v>55</v>
      </c>
      <c r="C704">
        <v>7</v>
      </c>
      <c r="D704" t="s">
        <v>56</v>
      </c>
      <c r="E704">
        <v>1.05</v>
      </c>
      <c r="F704" t="s">
        <v>44</v>
      </c>
    </row>
    <row r="705" spans="1:6" ht="15" hidden="1" customHeight="1" x14ac:dyDescent="0.25">
      <c r="A705" t="s">
        <v>66</v>
      </c>
      <c r="B705" t="s">
        <v>55</v>
      </c>
      <c r="C705">
        <v>8</v>
      </c>
      <c r="D705" t="s">
        <v>60</v>
      </c>
      <c r="E705">
        <v>0.2</v>
      </c>
      <c r="F705" t="s">
        <v>44</v>
      </c>
    </row>
    <row r="706" spans="1:6" ht="15" hidden="1" customHeight="1" x14ac:dyDescent="0.25">
      <c r="A706" t="s">
        <v>66</v>
      </c>
      <c r="B706" t="s">
        <v>55</v>
      </c>
      <c r="C706">
        <v>9</v>
      </c>
      <c r="D706" t="s">
        <v>63</v>
      </c>
      <c r="E706">
        <v>0.2</v>
      </c>
      <c r="F706" t="s">
        <v>44</v>
      </c>
    </row>
    <row r="707" spans="1:6" ht="15" hidden="1" customHeight="1" x14ac:dyDescent="0.25">
      <c r="A707" t="s">
        <v>66</v>
      </c>
      <c r="B707" t="s">
        <v>55</v>
      </c>
      <c r="C707">
        <v>10</v>
      </c>
      <c r="D707" t="s">
        <v>65</v>
      </c>
      <c r="E707">
        <v>6.06</v>
      </c>
      <c r="F707" t="s">
        <v>44</v>
      </c>
    </row>
    <row r="708" spans="1:6" ht="15" hidden="1" customHeight="1" x14ac:dyDescent="0.25">
      <c r="A708" t="s">
        <v>66</v>
      </c>
      <c r="B708" t="s">
        <v>55</v>
      </c>
      <c r="C708">
        <v>11</v>
      </c>
      <c r="D708" t="s">
        <v>67</v>
      </c>
      <c r="E708">
        <v>5.2</v>
      </c>
      <c r="F708" t="s">
        <v>44</v>
      </c>
    </row>
    <row r="709" spans="1:6" ht="15" hidden="1" customHeight="1" x14ac:dyDescent="0.25">
      <c r="A709" t="s">
        <v>66</v>
      </c>
      <c r="B709" t="s">
        <v>55</v>
      </c>
      <c r="C709">
        <v>12</v>
      </c>
      <c r="D709" t="s">
        <v>70</v>
      </c>
      <c r="E709">
        <v>3.12</v>
      </c>
      <c r="F709" t="s">
        <v>44</v>
      </c>
    </row>
    <row r="710" spans="1:6" ht="15" customHeight="1" x14ac:dyDescent="0.25">
      <c r="A710" t="s">
        <v>66</v>
      </c>
      <c r="B710" t="s">
        <v>58</v>
      </c>
      <c r="C710">
        <v>1</v>
      </c>
      <c r="D710" t="s">
        <v>35</v>
      </c>
      <c r="E710">
        <v>0</v>
      </c>
      <c r="F710" t="s">
        <v>44</v>
      </c>
    </row>
    <row r="711" spans="1:6" ht="15" hidden="1" customHeight="1" x14ac:dyDescent="0.25">
      <c r="A711" t="s">
        <v>66</v>
      </c>
      <c r="B711" t="s">
        <v>58</v>
      </c>
      <c r="C711">
        <v>2</v>
      </c>
      <c r="D711" t="s">
        <v>37</v>
      </c>
      <c r="E711">
        <v>0</v>
      </c>
      <c r="F711" t="s">
        <v>44</v>
      </c>
    </row>
    <row r="712" spans="1:6" ht="15" hidden="1" customHeight="1" x14ac:dyDescent="0.25">
      <c r="A712" t="s">
        <v>66</v>
      </c>
      <c r="B712" t="s">
        <v>58</v>
      </c>
      <c r="C712">
        <v>3</v>
      </c>
      <c r="D712" t="s">
        <v>41</v>
      </c>
      <c r="E712">
        <v>0</v>
      </c>
      <c r="F712" t="s">
        <v>44</v>
      </c>
    </row>
    <row r="713" spans="1:6" ht="15" hidden="1" customHeight="1" x14ac:dyDescent="0.25">
      <c r="A713" t="s">
        <v>66</v>
      </c>
      <c r="B713" t="s">
        <v>58</v>
      </c>
      <c r="C713">
        <v>4</v>
      </c>
      <c r="D713" t="s">
        <v>45</v>
      </c>
      <c r="E713">
        <v>0</v>
      </c>
      <c r="F713" t="s">
        <v>44</v>
      </c>
    </row>
    <row r="714" spans="1:6" ht="15" hidden="1" customHeight="1" x14ac:dyDescent="0.25">
      <c r="A714" t="s">
        <v>66</v>
      </c>
      <c r="B714" t="s">
        <v>58</v>
      </c>
      <c r="C714">
        <v>5</v>
      </c>
      <c r="D714" t="s">
        <v>7</v>
      </c>
      <c r="E714">
        <v>0</v>
      </c>
      <c r="F714" t="s">
        <v>44</v>
      </c>
    </row>
    <row r="715" spans="1:6" ht="15" hidden="1" customHeight="1" x14ac:dyDescent="0.25">
      <c r="A715" t="s">
        <v>66</v>
      </c>
      <c r="B715" t="s">
        <v>58</v>
      </c>
      <c r="C715">
        <v>6</v>
      </c>
      <c r="D715" t="s">
        <v>53</v>
      </c>
      <c r="E715">
        <v>0</v>
      </c>
      <c r="F715" t="s">
        <v>44</v>
      </c>
    </row>
    <row r="716" spans="1:6" ht="15" hidden="1" customHeight="1" x14ac:dyDescent="0.25">
      <c r="A716" t="s">
        <v>66</v>
      </c>
      <c r="B716" t="s">
        <v>58</v>
      </c>
      <c r="C716">
        <v>7</v>
      </c>
      <c r="D716" t="s">
        <v>56</v>
      </c>
      <c r="E716">
        <v>0</v>
      </c>
      <c r="F716" t="s">
        <v>44</v>
      </c>
    </row>
    <row r="717" spans="1:6" ht="15" hidden="1" customHeight="1" x14ac:dyDescent="0.25">
      <c r="A717" t="s">
        <v>66</v>
      </c>
      <c r="B717" t="s">
        <v>58</v>
      </c>
      <c r="C717">
        <v>8</v>
      </c>
      <c r="D717" t="s">
        <v>60</v>
      </c>
      <c r="E717">
        <v>0</v>
      </c>
      <c r="F717" t="s">
        <v>44</v>
      </c>
    </row>
    <row r="718" spans="1:6" ht="15" hidden="1" customHeight="1" x14ac:dyDescent="0.25">
      <c r="A718" t="s">
        <v>66</v>
      </c>
      <c r="B718" t="s">
        <v>58</v>
      </c>
      <c r="C718">
        <v>9</v>
      </c>
      <c r="D718" t="s">
        <v>63</v>
      </c>
      <c r="E718">
        <v>0</v>
      </c>
      <c r="F718" t="s">
        <v>44</v>
      </c>
    </row>
    <row r="719" spans="1:6" ht="15" hidden="1" customHeight="1" x14ac:dyDescent="0.25">
      <c r="A719" t="s">
        <v>66</v>
      </c>
      <c r="B719" t="s">
        <v>58</v>
      </c>
      <c r="C719">
        <v>10</v>
      </c>
      <c r="D719" t="s">
        <v>65</v>
      </c>
      <c r="E719">
        <v>0</v>
      </c>
      <c r="F719" t="s">
        <v>44</v>
      </c>
    </row>
    <row r="720" spans="1:6" ht="15" hidden="1" customHeight="1" x14ac:dyDescent="0.25">
      <c r="A720" t="s">
        <v>66</v>
      </c>
      <c r="B720" t="s">
        <v>58</v>
      </c>
      <c r="C720">
        <v>11</v>
      </c>
      <c r="D720" t="s">
        <v>67</v>
      </c>
      <c r="E720">
        <v>0</v>
      </c>
      <c r="F720" t="s">
        <v>44</v>
      </c>
    </row>
    <row r="721" spans="1:6" ht="15" hidden="1" customHeight="1" x14ac:dyDescent="0.25">
      <c r="A721" t="s">
        <v>66</v>
      </c>
      <c r="B721" t="s">
        <v>58</v>
      </c>
      <c r="C721">
        <v>12</v>
      </c>
      <c r="D721" t="s">
        <v>70</v>
      </c>
      <c r="E721">
        <v>0</v>
      </c>
      <c r="F721" t="s">
        <v>44</v>
      </c>
    </row>
    <row r="722" spans="1:6" ht="15" customHeight="1" x14ac:dyDescent="0.25">
      <c r="A722" t="s">
        <v>68</v>
      </c>
      <c r="B722" t="s">
        <v>39</v>
      </c>
      <c r="C722">
        <v>1</v>
      </c>
      <c r="D722" t="s">
        <v>35</v>
      </c>
      <c r="E722">
        <v>0</v>
      </c>
      <c r="F722" t="s">
        <v>44</v>
      </c>
    </row>
    <row r="723" spans="1:6" ht="15" hidden="1" customHeight="1" x14ac:dyDescent="0.25">
      <c r="A723" t="s">
        <v>68</v>
      </c>
      <c r="B723" t="s">
        <v>39</v>
      </c>
      <c r="C723">
        <v>2</v>
      </c>
      <c r="D723" t="s">
        <v>37</v>
      </c>
      <c r="E723">
        <v>0</v>
      </c>
      <c r="F723" t="s">
        <v>44</v>
      </c>
    </row>
    <row r="724" spans="1:6" ht="15" hidden="1" customHeight="1" x14ac:dyDescent="0.25">
      <c r="A724" t="s">
        <v>68</v>
      </c>
      <c r="B724" t="s">
        <v>39</v>
      </c>
      <c r="C724">
        <v>3</v>
      </c>
      <c r="D724" t="s">
        <v>41</v>
      </c>
      <c r="E724">
        <v>0</v>
      </c>
      <c r="F724" t="s">
        <v>44</v>
      </c>
    </row>
    <row r="725" spans="1:6" ht="15" hidden="1" customHeight="1" x14ac:dyDescent="0.25">
      <c r="A725" t="s">
        <v>68</v>
      </c>
      <c r="B725" t="s">
        <v>39</v>
      </c>
      <c r="C725">
        <v>4</v>
      </c>
      <c r="D725" t="s">
        <v>45</v>
      </c>
      <c r="E725">
        <v>1.2705</v>
      </c>
      <c r="F725" t="s">
        <v>44</v>
      </c>
    </row>
    <row r="726" spans="1:6" ht="15" hidden="1" customHeight="1" x14ac:dyDescent="0.25">
      <c r="A726" t="s">
        <v>68</v>
      </c>
      <c r="B726" t="s">
        <v>39</v>
      </c>
      <c r="C726">
        <v>5</v>
      </c>
      <c r="D726" t="s">
        <v>7</v>
      </c>
      <c r="E726">
        <v>9.9120000000000008</v>
      </c>
      <c r="F726" t="s">
        <v>44</v>
      </c>
    </row>
    <row r="727" spans="1:6" ht="15" hidden="1" customHeight="1" x14ac:dyDescent="0.25">
      <c r="A727" t="s">
        <v>68</v>
      </c>
      <c r="B727" t="s">
        <v>39</v>
      </c>
      <c r="C727">
        <v>6</v>
      </c>
      <c r="D727" t="s">
        <v>53</v>
      </c>
      <c r="E727">
        <v>0</v>
      </c>
      <c r="F727" t="s">
        <v>44</v>
      </c>
    </row>
    <row r="728" spans="1:6" ht="15" hidden="1" customHeight="1" x14ac:dyDescent="0.25">
      <c r="A728" t="s">
        <v>68</v>
      </c>
      <c r="B728" t="s">
        <v>39</v>
      </c>
      <c r="C728">
        <v>7</v>
      </c>
      <c r="D728" t="s">
        <v>56</v>
      </c>
      <c r="E728">
        <v>0</v>
      </c>
      <c r="F728" t="s">
        <v>44</v>
      </c>
    </row>
    <row r="729" spans="1:6" ht="15" hidden="1" customHeight="1" x14ac:dyDescent="0.25">
      <c r="A729" t="s">
        <v>68</v>
      </c>
      <c r="B729" t="s">
        <v>39</v>
      </c>
      <c r="C729">
        <v>8</v>
      </c>
      <c r="D729" t="s">
        <v>60</v>
      </c>
      <c r="E729">
        <v>1.65</v>
      </c>
      <c r="F729" t="s">
        <v>44</v>
      </c>
    </row>
    <row r="730" spans="1:6" ht="15" hidden="1" customHeight="1" x14ac:dyDescent="0.25">
      <c r="A730" t="s">
        <v>68</v>
      </c>
      <c r="B730" t="s">
        <v>39</v>
      </c>
      <c r="C730">
        <v>9</v>
      </c>
      <c r="D730" t="s">
        <v>63</v>
      </c>
      <c r="E730">
        <v>0</v>
      </c>
      <c r="F730" t="s">
        <v>44</v>
      </c>
    </row>
    <row r="731" spans="1:6" ht="15" hidden="1" customHeight="1" x14ac:dyDescent="0.25">
      <c r="A731" t="s">
        <v>68</v>
      </c>
      <c r="B731" t="s">
        <v>39</v>
      </c>
      <c r="C731">
        <v>10</v>
      </c>
      <c r="D731" t="s">
        <v>65</v>
      </c>
      <c r="E731">
        <v>6.93</v>
      </c>
      <c r="F731" t="s">
        <v>44</v>
      </c>
    </row>
    <row r="732" spans="1:6" ht="15" hidden="1" customHeight="1" x14ac:dyDescent="0.25">
      <c r="A732" t="s">
        <v>68</v>
      </c>
      <c r="B732" t="s">
        <v>39</v>
      </c>
      <c r="C732">
        <v>11</v>
      </c>
      <c r="D732" t="s">
        <v>67</v>
      </c>
      <c r="E732">
        <v>0</v>
      </c>
      <c r="F732" t="s">
        <v>44</v>
      </c>
    </row>
    <row r="733" spans="1:6" ht="15" hidden="1" customHeight="1" x14ac:dyDescent="0.25">
      <c r="A733" t="s">
        <v>68</v>
      </c>
      <c r="B733" t="s">
        <v>39</v>
      </c>
      <c r="C733">
        <v>12</v>
      </c>
      <c r="D733" t="s">
        <v>70</v>
      </c>
      <c r="E733">
        <v>0</v>
      </c>
      <c r="F733" t="s">
        <v>44</v>
      </c>
    </row>
    <row r="734" spans="1:6" ht="15" customHeight="1" x14ac:dyDescent="0.25">
      <c r="A734" t="s">
        <v>68</v>
      </c>
      <c r="B734" t="s">
        <v>43</v>
      </c>
      <c r="C734">
        <v>1</v>
      </c>
      <c r="D734" t="s">
        <v>35</v>
      </c>
      <c r="E734">
        <v>49.531714999999998</v>
      </c>
      <c r="F734" t="s">
        <v>44</v>
      </c>
    </row>
    <row r="735" spans="1:6" ht="15" hidden="1" customHeight="1" x14ac:dyDescent="0.25">
      <c r="A735" t="s">
        <v>68</v>
      </c>
      <c r="B735" t="s">
        <v>43</v>
      </c>
      <c r="C735">
        <v>2</v>
      </c>
      <c r="D735" t="s">
        <v>37</v>
      </c>
      <c r="E735">
        <v>42.53</v>
      </c>
      <c r="F735" t="s">
        <v>44</v>
      </c>
    </row>
    <row r="736" spans="1:6" ht="15" hidden="1" customHeight="1" x14ac:dyDescent="0.25">
      <c r="A736" t="s">
        <v>68</v>
      </c>
      <c r="B736" t="s">
        <v>43</v>
      </c>
      <c r="C736">
        <v>3</v>
      </c>
      <c r="D736" t="s">
        <v>41</v>
      </c>
      <c r="E736">
        <v>38.138800000000003</v>
      </c>
      <c r="F736" t="s">
        <v>44</v>
      </c>
    </row>
    <row r="737" spans="1:6" ht="15" hidden="1" customHeight="1" x14ac:dyDescent="0.25">
      <c r="A737" t="s">
        <v>68</v>
      </c>
      <c r="B737" t="s">
        <v>43</v>
      </c>
      <c r="C737">
        <v>4</v>
      </c>
      <c r="D737" t="s">
        <v>45</v>
      </c>
      <c r="E737">
        <v>45.573999999999998</v>
      </c>
      <c r="F737" t="s">
        <v>44</v>
      </c>
    </row>
    <row r="738" spans="1:6" ht="15" hidden="1" customHeight="1" x14ac:dyDescent="0.25">
      <c r="A738" t="s">
        <v>68</v>
      </c>
      <c r="B738" t="s">
        <v>43</v>
      </c>
      <c r="C738">
        <v>5</v>
      </c>
      <c r="D738" t="s">
        <v>7</v>
      </c>
      <c r="E738">
        <v>62.892299999999999</v>
      </c>
      <c r="F738" t="s">
        <v>44</v>
      </c>
    </row>
    <row r="739" spans="1:6" ht="15" hidden="1" customHeight="1" x14ac:dyDescent="0.25">
      <c r="A739" t="s">
        <v>68</v>
      </c>
      <c r="B739" t="s">
        <v>43</v>
      </c>
      <c r="C739">
        <v>6</v>
      </c>
      <c r="D739" t="s">
        <v>53</v>
      </c>
      <c r="E739">
        <v>49.864800000000002</v>
      </c>
      <c r="F739" t="s">
        <v>44</v>
      </c>
    </row>
    <row r="740" spans="1:6" ht="15" hidden="1" customHeight="1" x14ac:dyDescent="0.25">
      <c r="A740" t="s">
        <v>68</v>
      </c>
      <c r="B740" t="s">
        <v>43</v>
      </c>
      <c r="C740">
        <v>7</v>
      </c>
      <c r="D740" t="s">
        <v>56</v>
      </c>
      <c r="E740">
        <v>52.794750000000001</v>
      </c>
      <c r="F740" t="s">
        <v>44</v>
      </c>
    </row>
    <row r="741" spans="1:6" ht="15" hidden="1" customHeight="1" x14ac:dyDescent="0.25">
      <c r="A741" t="s">
        <v>68</v>
      </c>
      <c r="B741" t="s">
        <v>43</v>
      </c>
      <c r="C741">
        <v>8</v>
      </c>
      <c r="D741" t="s">
        <v>60</v>
      </c>
      <c r="E741">
        <v>33.65025</v>
      </c>
      <c r="F741" t="s">
        <v>44</v>
      </c>
    </row>
    <row r="742" spans="1:6" ht="15" hidden="1" customHeight="1" x14ac:dyDescent="0.25">
      <c r="A742" t="s">
        <v>68</v>
      </c>
      <c r="B742" t="s">
        <v>43</v>
      </c>
      <c r="C742">
        <v>9</v>
      </c>
      <c r="D742" t="s">
        <v>63</v>
      </c>
      <c r="E742">
        <v>55.229399999999998</v>
      </c>
      <c r="F742" t="s">
        <v>44</v>
      </c>
    </row>
    <row r="743" spans="1:6" ht="15" hidden="1" customHeight="1" x14ac:dyDescent="0.25">
      <c r="A743" t="s">
        <v>68</v>
      </c>
      <c r="B743" t="s">
        <v>43</v>
      </c>
      <c r="C743">
        <v>10</v>
      </c>
      <c r="D743" t="s">
        <v>65</v>
      </c>
      <c r="E743">
        <v>31.826000000000001</v>
      </c>
      <c r="F743" t="s">
        <v>44</v>
      </c>
    </row>
    <row r="744" spans="1:6" ht="15" hidden="1" customHeight="1" x14ac:dyDescent="0.25">
      <c r="A744" t="s">
        <v>68</v>
      </c>
      <c r="B744" t="s">
        <v>43</v>
      </c>
      <c r="C744">
        <v>11</v>
      </c>
      <c r="D744" t="s">
        <v>67</v>
      </c>
      <c r="E744">
        <v>40.262500000000003</v>
      </c>
      <c r="F744" t="s">
        <v>44</v>
      </c>
    </row>
    <row r="745" spans="1:6" ht="15" hidden="1" customHeight="1" x14ac:dyDescent="0.25">
      <c r="A745" t="s">
        <v>68</v>
      </c>
      <c r="B745" t="s">
        <v>43</v>
      </c>
      <c r="C745">
        <v>12</v>
      </c>
      <c r="D745" t="s">
        <v>70</v>
      </c>
      <c r="E745">
        <v>20.702999999999999</v>
      </c>
      <c r="F745" t="s">
        <v>44</v>
      </c>
    </row>
    <row r="746" spans="1:6" ht="15" customHeight="1" x14ac:dyDescent="0.25">
      <c r="A746" t="s">
        <v>68</v>
      </c>
      <c r="B746" t="s">
        <v>47</v>
      </c>
      <c r="C746">
        <v>1</v>
      </c>
      <c r="D746" t="s">
        <v>35</v>
      </c>
      <c r="E746">
        <v>0.26</v>
      </c>
      <c r="F746" t="s">
        <v>44</v>
      </c>
    </row>
    <row r="747" spans="1:6" ht="15" hidden="1" customHeight="1" x14ac:dyDescent="0.25">
      <c r="A747" t="s">
        <v>68</v>
      </c>
      <c r="B747" t="s">
        <v>47</v>
      </c>
      <c r="C747">
        <v>2</v>
      </c>
      <c r="D747" t="s">
        <v>37</v>
      </c>
      <c r="E747">
        <v>0.51500000000000001</v>
      </c>
      <c r="F747" t="s">
        <v>44</v>
      </c>
    </row>
    <row r="748" spans="1:6" ht="15" hidden="1" customHeight="1" x14ac:dyDescent="0.25">
      <c r="A748" t="s">
        <v>68</v>
      </c>
      <c r="B748" t="s">
        <v>47</v>
      </c>
      <c r="C748">
        <v>3</v>
      </c>
      <c r="D748" t="s">
        <v>41</v>
      </c>
      <c r="E748">
        <v>0.26</v>
      </c>
      <c r="F748" t="s">
        <v>44</v>
      </c>
    </row>
    <row r="749" spans="1:6" ht="15" hidden="1" customHeight="1" x14ac:dyDescent="0.25">
      <c r="A749" t="s">
        <v>68</v>
      </c>
      <c r="B749" t="s">
        <v>47</v>
      </c>
      <c r="C749">
        <v>4</v>
      </c>
      <c r="D749" t="s">
        <v>45</v>
      </c>
      <c r="E749">
        <v>0.34</v>
      </c>
      <c r="F749" t="s">
        <v>44</v>
      </c>
    </row>
    <row r="750" spans="1:6" ht="15" hidden="1" customHeight="1" x14ac:dyDescent="0.25">
      <c r="A750" t="s">
        <v>68</v>
      </c>
      <c r="B750" t="s">
        <v>47</v>
      </c>
      <c r="C750">
        <v>5</v>
      </c>
      <c r="D750" t="s">
        <v>7</v>
      </c>
      <c r="E750">
        <v>0.26</v>
      </c>
      <c r="F750" t="s">
        <v>44</v>
      </c>
    </row>
    <row r="751" spans="1:6" ht="15" hidden="1" customHeight="1" x14ac:dyDescent="0.25">
      <c r="A751" t="s">
        <v>68</v>
      </c>
      <c r="B751" t="s">
        <v>47</v>
      </c>
      <c r="C751">
        <v>6</v>
      </c>
      <c r="D751" t="s">
        <v>53</v>
      </c>
      <c r="E751">
        <v>0.26</v>
      </c>
      <c r="F751" t="s">
        <v>44</v>
      </c>
    </row>
    <row r="752" spans="1:6" ht="15" hidden="1" customHeight="1" x14ac:dyDescent="0.25">
      <c r="A752" t="s">
        <v>68</v>
      </c>
      <c r="B752" t="s">
        <v>47</v>
      </c>
      <c r="C752">
        <v>7</v>
      </c>
      <c r="D752" t="s">
        <v>56</v>
      </c>
      <c r="E752">
        <v>0.26</v>
      </c>
      <c r="F752" t="s">
        <v>44</v>
      </c>
    </row>
    <row r="753" spans="1:6" ht="15" hidden="1" customHeight="1" x14ac:dyDescent="0.25">
      <c r="A753" t="s">
        <v>68</v>
      </c>
      <c r="B753" t="s">
        <v>47</v>
      </c>
      <c r="C753">
        <v>8</v>
      </c>
      <c r="D753" t="s">
        <v>60</v>
      </c>
      <c r="E753">
        <v>0.26</v>
      </c>
      <c r="F753" t="s">
        <v>44</v>
      </c>
    </row>
    <row r="754" spans="1:6" ht="15" hidden="1" customHeight="1" x14ac:dyDescent="0.25">
      <c r="A754" t="s">
        <v>68</v>
      </c>
      <c r="B754" t="s">
        <v>47</v>
      </c>
      <c r="C754">
        <v>9</v>
      </c>
      <c r="D754" t="s">
        <v>63</v>
      </c>
      <c r="E754">
        <v>0.26</v>
      </c>
      <c r="F754" t="s">
        <v>44</v>
      </c>
    </row>
    <row r="755" spans="1:6" ht="15" hidden="1" customHeight="1" x14ac:dyDescent="0.25">
      <c r="A755" t="s">
        <v>68</v>
      </c>
      <c r="B755" t="s">
        <v>47</v>
      </c>
      <c r="C755">
        <v>10</v>
      </c>
      <c r="D755" t="s">
        <v>65</v>
      </c>
      <c r="E755">
        <v>5.3</v>
      </c>
      <c r="F755" t="s">
        <v>44</v>
      </c>
    </row>
    <row r="756" spans="1:6" ht="15" hidden="1" customHeight="1" x14ac:dyDescent="0.25">
      <c r="A756" t="s">
        <v>68</v>
      </c>
      <c r="B756" t="s">
        <v>47</v>
      </c>
      <c r="C756">
        <v>11</v>
      </c>
      <c r="D756" t="s">
        <v>67</v>
      </c>
      <c r="E756">
        <v>0.26</v>
      </c>
      <c r="F756" t="s">
        <v>44</v>
      </c>
    </row>
    <row r="757" spans="1:6" ht="15" hidden="1" customHeight="1" x14ac:dyDescent="0.25">
      <c r="A757" t="s">
        <v>68</v>
      </c>
      <c r="B757" t="s">
        <v>47</v>
      </c>
      <c r="C757">
        <v>12</v>
      </c>
      <c r="D757" t="s">
        <v>70</v>
      </c>
      <c r="E757">
        <v>0.26</v>
      </c>
      <c r="F757" t="s">
        <v>44</v>
      </c>
    </row>
    <row r="758" spans="1:6" ht="15" customHeight="1" x14ac:dyDescent="0.25">
      <c r="A758" t="s">
        <v>68</v>
      </c>
      <c r="B758" t="s">
        <v>51</v>
      </c>
      <c r="C758">
        <v>1</v>
      </c>
      <c r="D758" t="s">
        <v>35</v>
      </c>
      <c r="E758">
        <v>0</v>
      </c>
      <c r="F758" t="s">
        <v>44</v>
      </c>
    </row>
    <row r="759" spans="1:6" ht="15" hidden="1" customHeight="1" x14ac:dyDescent="0.25">
      <c r="A759" t="s">
        <v>68</v>
      </c>
      <c r="B759" t="s">
        <v>51</v>
      </c>
      <c r="C759">
        <v>2</v>
      </c>
      <c r="D759" t="s">
        <v>37</v>
      </c>
      <c r="E759">
        <v>1.085</v>
      </c>
      <c r="F759" t="s">
        <v>44</v>
      </c>
    </row>
    <row r="760" spans="1:6" ht="15" hidden="1" customHeight="1" x14ac:dyDescent="0.25">
      <c r="A760" t="s">
        <v>68</v>
      </c>
      <c r="B760" t="s">
        <v>51</v>
      </c>
      <c r="C760">
        <v>3</v>
      </c>
      <c r="D760" t="s">
        <v>41</v>
      </c>
      <c r="E760">
        <v>1.1052</v>
      </c>
      <c r="F760" t="s">
        <v>44</v>
      </c>
    </row>
    <row r="761" spans="1:6" ht="15" hidden="1" customHeight="1" x14ac:dyDescent="0.25">
      <c r="A761" t="s">
        <v>68</v>
      </c>
      <c r="B761" t="s">
        <v>51</v>
      </c>
      <c r="C761">
        <v>4</v>
      </c>
      <c r="D761" t="s">
        <v>45</v>
      </c>
      <c r="E761">
        <v>0.495</v>
      </c>
      <c r="F761" t="s">
        <v>44</v>
      </c>
    </row>
    <row r="762" spans="1:6" ht="15" hidden="1" customHeight="1" x14ac:dyDescent="0.25">
      <c r="A762" t="s">
        <v>68</v>
      </c>
      <c r="B762" t="s">
        <v>51</v>
      </c>
      <c r="C762">
        <v>5</v>
      </c>
      <c r="D762" t="s">
        <v>7</v>
      </c>
      <c r="E762">
        <v>11.305199999999999</v>
      </c>
      <c r="F762" t="s">
        <v>44</v>
      </c>
    </row>
    <row r="763" spans="1:6" ht="15" hidden="1" customHeight="1" x14ac:dyDescent="0.25">
      <c r="A763" t="s">
        <v>68</v>
      </c>
      <c r="B763" t="s">
        <v>51</v>
      </c>
      <c r="C763">
        <v>6</v>
      </c>
      <c r="D763" t="s">
        <v>53</v>
      </c>
      <c r="E763">
        <v>0</v>
      </c>
      <c r="F763" t="s">
        <v>44</v>
      </c>
    </row>
    <row r="764" spans="1:6" ht="15" hidden="1" customHeight="1" x14ac:dyDescent="0.25">
      <c r="A764" t="s">
        <v>68</v>
      </c>
      <c r="B764" t="s">
        <v>51</v>
      </c>
      <c r="C764">
        <v>7</v>
      </c>
      <c r="D764" t="s">
        <v>56</v>
      </c>
      <c r="E764">
        <v>1.1052</v>
      </c>
      <c r="F764" t="s">
        <v>44</v>
      </c>
    </row>
    <row r="765" spans="1:6" ht="15" hidden="1" customHeight="1" x14ac:dyDescent="0.25">
      <c r="A765" t="s">
        <v>68</v>
      </c>
      <c r="B765" t="s">
        <v>51</v>
      </c>
      <c r="C765">
        <v>8</v>
      </c>
      <c r="D765" t="s">
        <v>60</v>
      </c>
      <c r="E765">
        <v>0</v>
      </c>
      <c r="F765" t="s">
        <v>44</v>
      </c>
    </row>
    <row r="766" spans="1:6" ht="15" hidden="1" customHeight="1" x14ac:dyDescent="0.25">
      <c r="A766" t="s">
        <v>68</v>
      </c>
      <c r="B766" t="s">
        <v>51</v>
      </c>
      <c r="C766">
        <v>9</v>
      </c>
      <c r="D766" t="s">
        <v>63</v>
      </c>
      <c r="E766">
        <v>1.8049999999999999</v>
      </c>
      <c r="F766" t="s">
        <v>44</v>
      </c>
    </row>
    <row r="767" spans="1:6" ht="15" hidden="1" customHeight="1" x14ac:dyDescent="0.25">
      <c r="A767" t="s">
        <v>68</v>
      </c>
      <c r="B767" t="s">
        <v>51</v>
      </c>
      <c r="C767">
        <v>10</v>
      </c>
      <c r="D767" t="s">
        <v>65</v>
      </c>
      <c r="E767">
        <v>0</v>
      </c>
      <c r="F767" t="s">
        <v>44</v>
      </c>
    </row>
    <row r="768" spans="1:6" ht="15" hidden="1" customHeight="1" x14ac:dyDescent="0.25">
      <c r="A768" t="s">
        <v>68</v>
      </c>
      <c r="B768" t="s">
        <v>51</v>
      </c>
      <c r="C768">
        <v>11</v>
      </c>
      <c r="D768" t="s">
        <v>67</v>
      </c>
      <c r="E768">
        <v>1.1052</v>
      </c>
      <c r="F768" t="s">
        <v>44</v>
      </c>
    </row>
    <row r="769" spans="1:6" ht="15" hidden="1" customHeight="1" x14ac:dyDescent="0.25">
      <c r="A769" t="s">
        <v>68</v>
      </c>
      <c r="B769" t="s">
        <v>51</v>
      </c>
      <c r="C769">
        <v>12</v>
      </c>
      <c r="D769" t="s">
        <v>70</v>
      </c>
      <c r="E769">
        <v>0</v>
      </c>
      <c r="F769" t="s">
        <v>44</v>
      </c>
    </row>
    <row r="770" spans="1:6" ht="15" customHeight="1" x14ac:dyDescent="0.25">
      <c r="A770" t="s">
        <v>68</v>
      </c>
      <c r="B770" t="s">
        <v>55</v>
      </c>
      <c r="C770">
        <v>1</v>
      </c>
      <c r="D770" t="s">
        <v>35</v>
      </c>
      <c r="E770">
        <v>1.08</v>
      </c>
      <c r="F770" t="s">
        <v>44</v>
      </c>
    </row>
    <row r="771" spans="1:6" ht="15" hidden="1" customHeight="1" x14ac:dyDescent="0.25">
      <c r="A771" t="s">
        <v>68</v>
      </c>
      <c r="B771" t="s">
        <v>55</v>
      </c>
      <c r="C771">
        <v>2</v>
      </c>
      <c r="D771" t="s">
        <v>37</v>
      </c>
      <c r="E771">
        <v>1.23</v>
      </c>
      <c r="F771" t="s">
        <v>44</v>
      </c>
    </row>
    <row r="772" spans="1:6" ht="15" hidden="1" customHeight="1" x14ac:dyDescent="0.25">
      <c r="A772" t="s">
        <v>68</v>
      </c>
      <c r="B772" t="s">
        <v>55</v>
      </c>
      <c r="C772">
        <v>3</v>
      </c>
      <c r="D772" t="s">
        <v>41</v>
      </c>
      <c r="E772">
        <v>2.012</v>
      </c>
      <c r="F772" t="s">
        <v>44</v>
      </c>
    </row>
    <row r="773" spans="1:6" ht="15" hidden="1" customHeight="1" x14ac:dyDescent="0.25">
      <c r="A773" t="s">
        <v>68</v>
      </c>
      <c r="B773" t="s">
        <v>55</v>
      </c>
      <c r="C773">
        <v>4</v>
      </c>
      <c r="D773" t="s">
        <v>45</v>
      </c>
      <c r="E773">
        <v>2.09</v>
      </c>
      <c r="F773" t="s">
        <v>44</v>
      </c>
    </row>
    <row r="774" spans="1:6" ht="15" hidden="1" customHeight="1" x14ac:dyDescent="0.25">
      <c r="A774" t="s">
        <v>68</v>
      </c>
      <c r="B774" t="s">
        <v>55</v>
      </c>
      <c r="C774">
        <v>5</v>
      </c>
      <c r="D774" t="s">
        <v>7</v>
      </c>
      <c r="E774">
        <v>4.5599999999999996</v>
      </c>
      <c r="F774" t="s">
        <v>44</v>
      </c>
    </row>
    <row r="775" spans="1:6" ht="15" hidden="1" customHeight="1" x14ac:dyDescent="0.25">
      <c r="A775" t="s">
        <v>68</v>
      </c>
      <c r="B775" t="s">
        <v>55</v>
      </c>
      <c r="C775">
        <v>6</v>
      </c>
      <c r="D775" t="s">
        <v>53</v>
      </c>
      <c r="E775">
        <v>5.7220000000000004</v>
      </c>
      <c r="F775" t="s">
        <v>44</v>
      </c>
    </row>
    <row r="776" spans="1:6" ht="15" hidden="1" customHeight="1" x14ac:dyDescent="0.25">
      <c r="A776" t="s">
        <v>68</v>
      </c>
      <c r="B776" t="s">
        <v>55</v>
      </c>
      <c r="C776">
        <v>7</v>
      </c>
      <c r="D776" t="s">
        <v>56</v>
      </c>
      <c r="E776">
        <v>10.416</v>
      </c>
      <c r="F776" t="s">
        <v>44</v>
      </c>
    </row>
    <row r="777" spans="1:6" ht="15" hidden="1" customHeight="1" x14ac:dyDescent="0.25">
      <c r="A777" t="s">
        <v>68</v>
      </c>
      <c r="B777" t="s">
        <v>55</v>
      </c>
      <c r="C777">
        <v>8</v>
      </c>
      <c r="D777" t="s">
        <v>60</v>
      </c>
      <c r="E777">
        <v>0.81599999999999995</v>
      </c>
      <c r="F777" t="s">
        <v>44</v>
      </c>
    </row>
    <row r="778" spans="1:6" ht="15" hidden="1" customHeight="1" x14ac:dyDescent="0.25">
      <c r="A778" t="s">
        <v>68</v>
      </c>
      <c r="B778" t="s">
        <v>55</v>
      </c>
      <c r="C778">
        <v>9</v>
      </c>
      <c r="D778" t="s">
        <v>63</v>
      </c>
      <c r="E778">
        <v>10.686</v>
      </c>
      <c r="F778" t="s">
        <v>44</v>
      </c>
    </row>
    <row r="779" spans="1:6" ht="15" hidden="1" customHeight="1" x14ac:dyDescent="0.25">
      <c r="A779" t="s">
        <v>68</v>
      </c>
      <c r="B779" t="s">
        <v>55</v>
      </c>
      <c r="C779">
        <v>10</v>
      </c>
      <c r="D779" t="s">
        <v>65</v>
      </c>
      <c r="E779">
        <v>0.81599999999999995</v>
      </c>
      <c r="F779" t="s">
        <v>44</v>
      </c>
    </row>
    <row r="780" spans="1:6" ht="15" hidden="1" customHeight="1" x14ac:dyDescent="0.25">
      <c r="A780" t="s">
        <v>68</v>
      </c>
      <c r="B780" t="s">
        <v>55</v>
      </c>
      <c r="C780">
        <v>11</v>
      </c>
      <c r="D780" t="s">
        <v>67</v>
      </c>
      <c r="E780">
        <v>1.3260000000000001</v>
      </c>
      <c r="F780" t="s">
        <v>44</v>
      </c>
    </row>
    <row r="781" spans="1:6" ht="15" hidden="1" customHeight="1" x14ac:dyDescent="0.25">
      <c r="A781" t="s">
        <v>68</v>
      </c>
      <c r="B781" t="s">
        <v>55</v>
      </c>
      <c r="C781">
        <v>12</v>
      </c>
      <c r="D781" t="s">
        <v>70</v>
      </c>
      <c r="E781">
        <v>0.216</v>
      </c>
      <c r="F781" t="s">
        <v>44</v>
      </c>
    </row>
    <row r="782" spans="1:6" ht="15" customHeight="1" x14ac:dyDescent="0.25">
      <c r="A782" t="s">
        <v>68</v>
      </c>
      <c r="B782" t="s">
        <v>58</v>
      </c>
      <c r="C782">
        <v>1</v>
      </c>
      <c r="D782" t="s">
        <v>35</v>
      </c>
      <c r="E782">
        <v>0</v>
      </c>
      <c r="F782" t="s">
        <v>44</v>
      </c>
    </row>
    <row r="783" spans="1:6" ht="15" hidden="1" customHeight="1" x14ac:dyDescent="0.25">
      <c r="A783" t="s">
        <v>68</v>
      </c>
      <c r="B783" t="s">
        <v>58</v>
      </c>
      <c r="C783">
        <v>2</v>
      </c>
      <c r="D783" t="s">
        <v>37</v>
      </c>
      <c r="E783">
        <v>0</v>
      </c>
      <c r="F783" t="s">
        <v>44</v>
      </c>
    </row>
    <row r="784" spans="1:6" ht="15" hidden="1" customHeight="1" x14ac:dyDescent="0.25">
      <c r="A784" t="s">
        <v>68</v>
      </c>
      <c r="B784" t="s">
        <v>58</v>
      </c>
      <c r="C784">
        <v>3</v>
      </c>
      <c r="D784" t="s">
        <v>41</v>
      </c>
      <c r="E784">
        <v>0</v>
      </c>
      <c r="F784" t="s">
        <v>44</v>
      </c>
    </row>
    <row r="785" spans="1:6" ht="15" hidden="1" customHeight="1" x14ac:dyDescent="0.25">
      <c r="A785" t="s">
        <v>68</v>
      </c>
      <c r="B785" t="s">
        <v>58</v>
      </c>
      <c r="C785">
        <v>4</v>
      </c>
      <c r="D785" t="s">
        <v>45</v>
      </c>
      <c r="E785">
        <v>0</v>
      </c>
      <c r="F785" t="s">
        <v>44</v>
      </c>
    </row>
    <row r="786" spans="1:6" ht="15" hidden="1" customHeight="1" x14ac:dyDescent="0.25">
      <c r="A786" t="s">
        <v>68</v>
      </c>
      <c r="B786" t="s">
        <v>58</v>
      </c>
      <c r="C786">
        <v>5</v>
      </c>
      <c r="D786" t="s">
        <v>7</v>
      </c>
      <c r="E786">
        <v>0</v>
      </c>
      <c r="F786" t="s">
        <v>44</v>
      </c>
    </row>
    <row r="787" spans="1:6" ht="15" hidden="1" customHeight="1" x14ac:dyDescent="0.25">
      <c r="A787" t="s">
        <v>68</v>
      </c>
      <c r="B787" t="s">
        <v>58</v>
      </c>
      <c r="C787">
        <v>6</v>
      </c>
      <c r="D787" t="s">
        <v>53</v>
      </c>
      <c r="E787">
        <v>0</v>
      </c>
      <c r="F787" t="s">
        <v>44</v>
      </c>
    </row>
    <row r="788" spans="1:6" ht="15" hidden="1" customHeight="1" x14ac:dyDescent="0.25">
      <c r="A788" t="s">
        <v>68</v>
      </c>
      <c r="B788" t="s">
        <v>58</v>
      </c>
      <c r="C788">
        <v>7</v>
      </c>
      <c r="D788" t="s">
        <v>56</v>
      </c>
      <c r="E788">
        <v>0</v>
      </c>
      <c r="F788" t="s">
        <v>44</v>
      </c>
    </row>
    <row r="789" spans="1:6" ht="15" hidden="1" customHeight="1" x14ac:dyDescent="0.25">
      <c r="A789" t="s">
        <v>68</v>
      </c>
      <c r="B789" t="s">
        <v>58</v>
      </c>
      <c r="C789">
        <v>8</v>
      </c>
      <c r="D789" t="s">
        <v>60</v>
      </c>
      <c r="E789">
        <v>0</v>
      </c>
      <c r="F789" t="s">
        <v>44</v>
      </c>
    </row>
    <row r="790" spans="1:6" ht="15" hidden="1" customHeight="1" x14ac:dyDescent="0.25">
      <c r="A790" t="s">
        <v>68</v>
      </c>
      <c r="B790" t="s">
        <v>58</v>
      </c>
      <c r="C790">
        <v>9</v>
      </c>
      <c r="D790" t="s">
        <v>63</v>
      </c>
      <c r="E790">
        <v>0</v>
      </c>
      <c r="F790" t="s">
        <v>44</v>
      </c>
    </row>
    <row r="791" spans="1:6" ht="15" hidden="1" customHeight="1" x14ac:dyDescent="0.25">
      <c r="A791" t="s">
        <v>68</v>
      </c>
      <c r="B791" t="s">
        <v>58</v>
      </c>
      <c r="C791">
        <v>10</v>
      </c>
      <c r="D791" t="s">
        <v>65</v>
      </c>
      <c r="E791">
        <v>0</v>
      </c>
      <c r="F791" t="s">
        <v>44</v>
      </c>
    </row>
    <row r="792" spans="1:6" ht="15" hidden="1" customHeight="1" x14ac:dyDescent="0.25">
      <c r="A792" t="s">
        <v>68</v>
      </c>
      <c r="B792" t="s">
        <v>58</v>
      </c>
      <c r="C792">
        <v>11</v>
      </c>
      <c r="D792" t="s">
        <v>67</v>
      </c>
      <c r="E792">
        <v>0</v>
      </c>
      <c r="F792" t="s">
        <v>44</v>
      </c>
    </row>
    <row r="793" spans="1:6" ht="15" hidden="1" customHeight="1" x14ac:dyDescent="0.25">
      <c r="A793" t="s">
        <v>68</v>
      </c>
      <c r="B793" t="s">
        <v>58</v>
      </c>
      <c r="C793">
        <v>12</v>
      </c>
      <c r="D793" t="s">
        <v>70</v>
      </c>
      <c r="E793">
        <v>0</v>
      </c>
      <c r="F793" t="s">
        <v>44</v>
      </c>
    </row>
    <row r="794" spans="1:6" ht="15" customHeight="1" x14ac:dyDescent="0.25">
      <c r="A794" t="s">
        <v>71</v>
      </c>
      <c r="B794" t="s">
        <v>39</v>
      </c>
      <c r="C794">
        <v>1</v>
      </c>
      <c r="D794" t="s">
        <v>35</v>
      </c>
      <c r="E794">
        <v>122.765902274246</v>
      </c>
      <c r="F794" t="s">
        <v>44</v>
      </c>
    </row>
    <row r="795" spans="1:6" ht="15" hidden="1" customHeight="1" x14ac:dyDescent="0.25">
      <c r="A795" t="s">
        <v>71</v>
      </c>
      <c r="B795" t="s">
        <v>39</v>
      </c>
      <c r="C795">
        <v>2</v>
      </c>
      <c r="D795" t="s">
        <v>37</v>
      </c>
      <c r="E795">
        <v>15.9192</v>
      </c>
      <c r="F795" t="s">
        <v>44</v>
      </c>
    </row>
    <row r="796" spans="1:6" ht="15" hidden="1" customHeight="1" x14ac:dyDescent="0.25">
      <c r="A796" t="s">
        <v>71</v>
      </c>
      <c r="B796" t="s">
        <v>39</v>
      </c>
      <c r="C796">
        <v>3</v>
      </c>
      <c r="D796" t="s">
        <v>41</v>
      </c>
      <c r="E796">
        <v>135.91027569782801</v>
      </c>
      <c r="F796" t="s">
        <v>44</v>
      </c>
    </row>
    <row r="797" spans="1:6" ht="15" hidden="1" customHeight="1" x14ac:dyDescent="0.25">
      <c r="A797" t="s">
        <v>71</v>
      </c>
      <c r="B797" t="s">
        <v>39</v>
      </c>
      <c r="C797">
        <v>4</v>
      </c>
      <c r="D797" t="s">
        <v>45</v>
      </c>
      <c r="E797">
        <v>14.2844</v>
      </c>
      <c r="F797" t="s">
        <v>44</v>
      </c>
    </row>
    <row r="798" spans="1:6" ht="15" hidden="1" customHeight="1" x14ac:dyDescent="0.25">
      <c r="A798" t="s">
        <v>71</v>
      </c>
      <c r="B798" t="s">
        <v>39</v>
      </c>
      <c r="C798">
        <v>5</v>
      </c>
      <c r="D798" t="s">
        <v>7</v>
      </c>
      <c r="E798">
        <v>12.4624268039216</v>
      </c>
      <c r="F798" t="s">
        <v>44</v>
      </c>
    </row>
    <row r="799" spans="1:6" ht="15" hidden="1" customHeight="1" x14ac:dyDescent="0.25">
      <c r="A799" t="s">
        <v>71</v>
      </c>
      <c r="B799" t="s">
        <v>39</v>
      </c>
      <c r="C799">
        <v>6</v>
      </c>
      <c r="D799" t="s">
        <v>53</v>
      </c>
      <c r="E799">
        <v>107.823243872608</v>
      </c>
      <c r="F799" t="s">
        <v>44</v>
      </c>
    </row>
    <row r="800" spans="1:6" ht="15" hidden="1" customHeight="1" x14ac:dyDescent="0.25">
      <c r="A800" t="s">
        <v>71</v>
      </c>
      <c r="B800" t="s">
        <v>39</v>
      </c>
      <c r="C800">
        <v>7</v>
      </c>
      <c r="D800" t="s">
        <v>56</v>
      </c>
      <c r="E800">
        <v>26.885814842438901</v>
      </c>
      <c r="F800" t="s">
        <v>44</v>
      </c>
    </row>
    <row r="801" spans="1:6" ht="15" hidden="1" customHeight="1" x14ac:dyDescent="0.25">
      <c r="A801" t="s">
        <v>71</v>
      </c>
      <c r="B801" t="s">
        <v>39</v>
      </c>
      <c r="C801">
        <v>8</v>
      </c>
      <c r="D801" t="s">
        <v>60</v>
      </c>
      <c r="E801">
        <v>0</v>
      </c>
      <c r="F801" t="s">
        <v>44</v>
      </c>
    </row>
    <row r="802" spans="1:6" ht="15" hidden="1" customHeight="1" x14ac:dyDescent="0.25">
      <c r="A802" t="s">
        <v>71</v>
      </c>
      <c r="B802" t="s">
        <v>39</v>
      </c>
      <c r="C802">
        <v>9</v>
      </c>
      <c r="D802" t="s">
        <v>63</v>
      </c>
      <c r="E802">
        <v>6.5594999999999999</v>
      </c>
      <c r="F802" t="s">
        <v>44</v>
      </c>
    </row>
    <row r="803" spans="1:6" ht="15" hidden="1" customHeight="1" x14ac:dyDescent="0.25">
      <c r="A803" t="s">
        <v>71</v>
      </c>
      <c r="B803" t="s">
        <v>39</v>
      </c>
      <c r="C803">
        <v>10</v>
      </c>
      <c r="D803" t="s">
        <v>65</v>
      </c>
      <c r="E803">
        <v>66.886974610625103</v>
      </c>
      <c r="F803" t="s">
        <v>44</v>
      </c>
    </row>
    <row r="804" spans="1:6" ht="15" hidden="1" customHeight="1" x14ac:dyDescent="0.25">
      <c r="A804" t="s">
        <v>71</v>
      </c>
      <c r="B804" t="s">
        <v>39</v>
      </c>
      <c r="C804">
        <v>11</v>
      </c>
      <c r="D804" t="s">
        <v>67</v>
      </c>
      <c r="E804">
        <v>50.82</v>
      </c>
      <c r="F804" t="s">
        <v>44</v>
      </c>
    </row>
    <row r="805" spans="1:6" ht="15" hidden="1" customHeight="1" x14ac:dyDescent="0.25">
      <c r="A805" t="s">
        <v>71</v>
      </c>
      <c r="B805" t="s">
        <v>39</v>
      </c>
      <c r="C805">
        <v>12</v>
      </c>
      <c r="D805" t="s">
        <v>70</v>
      </c>
      <c r="E805">
        <v>64.022492075331002</v>
      </c>
      <c r="F805" t="s">
        <v>44</v>
      </c>
    </row>
    <row r="806" spans="1:6" ht="15" customHeight="1" x14ac:dyDescent="0.25">
      <c r="A806" t="s">
        <v>71</v>
      </c>
      <c r="B806" t="s">
        <v>43</v>
      </c>
      <c r="C806">
        <v>1</v>
      </c>
      <c r="D806" t="s">
        <v>35</v>
      </c>
      <c r="E806">
        <v>64.596463327723001</v>
      </c>
      <c r="F806" t="s">
        <v>44</v>
      </c>
    </row>
    <row r="807" spans="1:6" ht="15" hidden="1" customHeight="1" x14ac:dyDescent="0.25">
      <c r="A807" t="s">
        <v>71</v>
      </c>
      <c r="B807" t="s">
        <v>43</v>
      </c>
      <c r="C807">
        <v>2</v>
      </c>
      <c r="D807" t="s">
        <v>37</v>
      </c>
      <c r="E807">
        <v>125.997495824346</v>
      </c>
      <c r="F807" t="s">
        <v>44</v>
      </c>
    </row>
    <row r="808" spans="1:6" ht="15" hidden="1" customHeight="1" x14ac:dyDescent="0.25">
      <c r="A808" t="s">
        <v>71</v>
      </c>
      <c r="B808" t="s">
        <v>43</v>
      </c>
      <c r="C808">
        <v>3</v>
      </c>
      <c r="D808" t="s">
        <v>41</v>
      </c>
      <c r="E808">
        <v>34.872790121456902</v>
      </c>
      <c r="F808" t="s">
        <v>44</v>
      </c>
    </row>
    <row r="809" spans="1:6" ht="15" hidden="1" customHeight="1" x14ac:dyDescent="0.25">
      <c r="A809" t="s">
        <v>71</v>
      </c>
      <c r="B809" t="s">
        <v>43</v>
      </c>
      <c r="C809">
        <v>4</v>
      </c>
      <c r="D809" t="s">
        <v>45</v>
      </c>
      <c r="E809">
        <v>160.77608920535701</v>
      </c>
      <c r="F809" t="s">
        <v>44</v>
      </c>
    </row>
    <row r="810" spans="1:6" ht="15" hidden="1" customHeight="1" x14ac:dyDescent="0.25">
      <c r="A810" t="s">
        <v>71</v>
      </c>
      <c r="B810" t="s">
        <v>43</v>
      </c>
      <c r="C810">
        <v>5</v>
      </c>
      <c r="D810" t="s">
        <v>7</v>
      </c>
      <c r="E810">
        <v>88.917798858302106</v>
      </c>
      <c r="F810" t="s">
        <v>44</v>
      </c>
    </row>
    <row r="811" spans="1:6" ht="15" hidden="1" customHeight="1" x14ac:dyDescent="0.25">
      <c r="A811" t="s">
        <v>71</v>
      </c>
      <c r="B811" t="s">
        <v>43</v>
      </c>
      <c r="C811">
        <v>6</v>
      </c>
      <c r="D811" t="s">
        <v>53</v>
      </c>
      <c r="E811">
        <v>142.84952234685201</v>
      </c>
      <c r="F811" t="s">
        <v>44</v>
      </c>
    </row>
    <row r="812" spans="1:6" ht="15" hidden="1" customHeight="1" x14ac:dyDescent="0.25">
      <c r="A812" t="s">
        <v>71</v>
      </c>
      <c r="B812" t="s">
        <v>43</v>
      </c>
      <c r="C812">
        <v>7</v>
      </c>
      <c r="D812" t="s">
        <v>56</v>
      </c>
      <c r="E812">
        <v>95.055884027708302</v>
      </c>
      <c r="F812" t="s">
        <v>44</v>
      </c>
    </row>
    <row r="813" spans="1:6" ht="15" hidden="1" customHeight="1" x14ac:dyDescent="0.25">
      <c r="A813" t="s">
        <v>71</v>
      </c>
      <c r="B813" t="s">
        <v>43</v>
      </c>
      <c r="C813">
        <v>8</v>
      </c>
      <c r="D813" t="s">
        <v>60</v>
      </c>
      <c r="E813">
        <v>81.641133594189199</v>
      </c>
      <c r="F813" t="s">
        <v>44</v>
      </c>
    </row>
    <row r="814" spans="1:6" ht="15" hidden="1" customHeight="1" x14ac:dyDescent="0.25">
      <c r="A814" t="s">
        <v>71</v>
      </c>
      <c r="B814" t="s">
        <v>43</v>
      </c>
      <c r="C814">
        <v>9</v>
      </c>
      <c r="D814" t="s">
        <v>63</v>
      </c>
      <c r="E814">
        <v>97.024101641474701</v>
      </c>
      <c r="F814" t="s">
        <v>44</v>
      </c>
    </row>
    <row r="815" spans="1:6" ht="15" hidden="1" customHeight="1" x14ac:dyDescent="0.25">
      <c r="A815" t="s">
        <v>71</v>
      </c>
      <c r="B815" t="s">
        <v>43</v>
      </c>
      <c r="C815">
        <v>10</v>
      </c>
      <c r="D815" t="s">
        <v>65</v>
      </c>
      <c r="E815">
        <v>133.01938584755001</v>
      </c>
      <c r="F815" t="s">
        <v>44</v>
      </c>
    </row>
    <row r="816" spans="1:6" ht="15" hidden="1" customHeight="1" x14ac:dyDescent="0.25">
      <c r="A816" t="s">
        <v>71</v>
      </c>
      <c r="B816" t="s">
        <v>43</v>
      </c>
      <c r="C816">
        <v>11</v>
      </c>
      <c r="D816" t="s">
        <v>67</v>
      </c>
      <c r="E816">
        <v>119.67139515636499</v>
      </c>
      <c r="F816" t="s">
        <v>44</v>
      </c>
    </row>
    <row r="817" spans="1:6" ht="15" hidden="1" customHeight="1" x14ac:dyDescent="0.25">
      <c r="A817" t="s">
        <v>71</v>
      </c>
      <c r="B817" t="s">
        <v>43</v>
      </c>
      <c r="C817">
        <v>12</v>
      </c>
      <c r="D817" t="s">
        <v>70</v>
      </c>
      <c r="E817">
        <v>140.59548370273799</v>
      </c>
      <c r="F817" t="s">
        <v>44</v>
      </c>
    </row>
    <row r="818" spans="1:6" ht="15" customHeight="1" x14ac:dyDescent="0.25">
      <c r="A818" t="s">
        <v>71</v>
      </c>
      <c r="B818" t="s">
        <v>47</v>
      </c>
      <c r="C818">
        <v>1</v>
      </c>
      <c r="D818" t="s">
        <v>35</v>
      </c>
      <c r="E818">
        <v>0</v>
      </c>
      <c r="F818" t="s">
        <v>44</v>
      </c>
    </row>
    <row r="819" spans="1:6" ht="15" hidden="1" customHeight="1" x14ac:dyDescent="0.25">
      <c r="A819" t="s">
        <v>71</v>
      </c>
      <c r="B819" t="s">
        <v>47</v>
      </c>
      <c r="C819">
        <v>2</v>
      </c>
      <c r="D819" t="s">
        <v>37</v>
      </c>
      <c r="E819">
        <v>0</v>
      </c>
      <c r="F819" t="s">
        <v>44</v>
      </c>
    </row>
    <row r="820" spans="1:6" ht="15" hidden="1" customHeight="1" x14ac:dyDescent="0.25">
      <c r="A820" t="s">
        <v>71</v>
      </c>
      <c r="B820" t="s">
        <v>47</v>
      </c>
      <c r="C820">
        <v>3</v>
      </c>
      <c r="D820" t="s">
        <v>41</v>
      </c>
      <c r="E820">
        <v>0</v>
      </c>
      <c r="F820" t="s">
        <v>44</v>
      </c>
    </row>
    <row r="821" spans="1:6" ht="15" hidden="1" customHeight="1" x14ac:dyDescent="0.25">
      <c r="A821" t="s">
        <v>71</v>
      </c>
      <c r="B821" t="s">
        <v>47</v>
      </c>
      <c r="C821">
        <v>4</v>
      </c>
      <c r="D821" t="s">
        <v>45</v>
      </c>
      <c r="E821">
        <v>2.4950800000000002</v>
      </c>
      <c r="F821" t="s">
        <v>44</v>
      </c>
    </row>
    <row r="822" spans="1:6" ht="15" hidden="1" customHeight="1" x14ac:dyDescent="0.25">
      <c r="A822" t="s">
        <v>71</v>
      </c>
      <c r="B822" t="s">
        <v>47</v>
      </c>
      <c r="C822">
        <v>5</v>
      </c>
      <c r="D822" t="s">
        <v>7</v>
      </c>
      <c r="E822">
        <v>0</v>
      </c>
      <c r="F822" t="s">
        <v>44</v>
      </c>
    </row>
    <row r="823" spans="1:6" ht="15" hidden="1" customHeight="1" x14ac:dyDescent="0.25">
      <c r="A823" t="s">
        <v>71</v>
      </c>
      <c r="B823" t="s">
        <v>47</v>
      </c>
      <c r="C823">
        <v>6</v>
      </c>
      <c r="D823" t="s">
        <v>53</v>
      </c>
      <c r="E823">
        <v>0</v>
      </c>
      <c r="F823" t="s">
        <v>44</v>
      </c>
    </row>
    <row r="824" spans="1:6" ht="15" hidden="1" customHeight="1" x14ac:dyDescent="0.25">
      <c r="A824" t="s">
        <v>71</v>
      </c>
      <c r="B824" t="s">
        <v>47</v>
      </c>
      <c r="C824">
        <v>7</v>
      </c>
      <c r="D824" t="s">
        <v>56</v>
      </c>
      <c r="E824">
        <v>0</v>
      </c>
      <c r="F824" t="s">
        <v>44</v>
      </c>
    </row>
    <row r="825" spans="1:6" ht="15" hidden="1" customHeight="1" x14ac:dyDescent="0.25">
      <c r="A825" t="s">
        <v>71</v>
      </c>
      <c r="B825" t="s">
        <v>47</v>
      </c>
      <c r="C825">
        <v>8</v>
      </c>
      <c r="D825" t="s">
        <v>60</v>
      </c>
      <c r="E825">
        <v>0.85</v>
      </c>
      <c r="F825" t="s">
        <v>44</v>
      </c>
    </row>
    <row r="826" spans="1:6" ht="15" hidden="1" customHeight="1" x14ac:dyDescent="0.25">
      <c r="A826" t="s">
        <v>71</v>
      </c>
      <c r="B826" t="s">
        <v>47</v>
      </c>
      <c r="C826">
        <v>9</v>
      </c>
      <c r="D826" t="s">
        <v>63</v>
      </c>
      <c r="E826">
        <v>0</v>
      </c>
      <c r="F826" t="s">
        <v>44</v>
      </c>
    </row>
    <row r="827" spans="1:6" ht="15" hidden="1" customHeight="1" x14ac:dyDescent="0.25">
      <c r="A827" t="s">
        <v>71</v>
      </c>
      <c r="B827" t="s">
        <v>47</v>
      </c>
      <c r="C827">
        <v>10</v>
      </c>
      <c r="D827" t="s">
        <v>65</v>
      </c>
      <c r="E827">
        <v>0</v>
      </c>
      <c r="F827" t="s">
        <v>44</v>
      </c>
    </row>
    <row r="828" spans="1:6" ht="15" hidden="1" customHeight="1" x14ac:dyDescent="0.25">
      <c r="A828" t="s">
        <v>71</v>
      </c>
      <c r="B828" t="s">
        <v>47</v>
      </c>
      <c r="C828">
        <v>11</v>
      </c>
      <c r="D828" t="s">
        <v>67</v>
      </c>
      <c r="E828">
        <v>0</v>
      </c>
      <c r="F828" t="s">
        <v>44</v>
      </c>
    </row>
    <row r="829" spans="1:6" ht="15" hidden="1" customHeight="1" x14ac:dyDescent="0.25">
      <c r="A829" t="s">
        <v>71</v>
      </c>
      <c r="B829" t="s">
        <v>47</v>
      </c>
      <c r="C829">
        <v>12</v>
      </c>
      <c r="D829" t="s">
        <v>70</v>
      </c>
      <c r="E829">
        <v>8</v>
      </c>
      <c r="F829" t="s">
        <v>44</v>
      </c>
    </row>
    <row r="830" spans="1:6" ht="15" customHeight="1" x14ac:dyDescent="0.25">
      <c r="A830" t="s">
        <v>71</v>
      </c>
      <c r="B830" t="s">
        <v>51</v>
      </c>
      <c r="C830">
        <v>1</v>
      </c>
      <c r="D830" t="s">
        <v>35</v>
      </c>
      <c r="E830">
        <v>2.0592000000000001</v>
      </c>
      <c r="F830" t="s">
        <v>44</v>
      </c>
    </row>
    <row r="831" spans="1:6" ht="15" hidden="1" customHeight="1" x14ac:dyDescent="0.25">
      <c r="A831" t="s">
        <v>71</v>
      </c>
      <c r="B831" t="s">
        <v>51</v>
      </c>
      <c r="C831">
        <v>2</v>
      </c>
      <c r="D831" t="s">
        <v>37</v>
      </c>
      <c r="E831">
        <v>0</v>
      </c>
      <c r="F831" t="s">
        <v>44</v>
      </c>
    </row>
    <row r="832" spans="1:6" ht="15" hidden="1" customHeight="1" x14ac:dyDescent="0.25">
      <c r="A832" t="s">
        <v>71</v>
      </c>
      <c r="B832" t="s">
        <v>51</v>
      </c>
      <c r="C832">
        <v>3</v>
      </c>
      <c r="D832" t="s">
        <v>41</v>
      </c>
      <c r="E832">
        <v>2.2266666666666701</v>
      </c>
      <c r="F832" t="s">
        <v>44</v>
      </c>
    </row>
    <row r="833" spans="1:6" ht="15" hidden="1" customHeight="1" x14ac:dyDescent="0.25">
      <c r="A833" t="s">
        <v>71</v>
      </c>
      <c r="B833" t="s">
        <v>51</v>
      </c>
      <c r="C833">
        <v>4</v>
      </c>
      <c r="D833" t="s">
        <v>45</v>
      </c>
      <c r="E833">
        <v>0.84</v>
      </c>
      <c r="F833" t="s">
        <v>44</v>
      </c>
    </row>
    <row r="834" spans="1:6" ht="15" hidden="1" customHeight="1" x14ac:dyDescent="0.25">
      <c r="A834" t="s">
        <v>71</v>
      </c>
      <c r="B834" t="s">
        <v>51</v>
      </c>
      <c r="C834">
        <v>5</v>
      </c>
      <c r="D834" t="s">
        <v>7</v>
      </c>
      <c r="E834">
        <v>0</v>
      </c>
      <c r="F834" t="s">
        <v>44</v>
      </c>
    </row>
    <row r="835" spans="1:6" ht="15" hidden="1" customHeight="1" x14ac:dyDescent="0.25">
      <c r="A835" t="s">
        <v>71</v>
      </c>
      <c r="B835" t="s">
        <v>51</v>
      </c>
      <c r="C835">
        <v>6</v>
      </c>
      <c r="D835" t="s">
        <v>53</v>
      </c>
      <c r="E835">
        <v>0</v>
      </c>
      <c r="F835" t="s">
        <v>44</v>
      </c>
    </row>
    <row r="836" spans="1:6" ht="15" hidden="1" customHeight="1" x14ac:dyDescent="0.25">
      <c r="A836" t="s">
        <v>71</v>
      </c>
      <c r="B836" t="s">
        <v>51</v>
      </c>
      <c r="C836">
        <v>7</v>
      </c>
      <c r="D836" t="s">
        <v>56</v>
      </c>
      <c r="E836">
        <v>2.2266666666666701</v>
      </c>
      <c r="F836" t="s">
        <v>44</v>
      </c>
    </row>
    <row r="837" spans="1:6" ht="15" hidden="1" customHeight="1" x14ac:dyDescent="0.25">
      <c r="A837" t="s">
        <v>71</v>
      </c>
      <c r="B837" t="s">
        <v>51</v>
      </c>
      <c r="C837">
        <v>8</v>
      </c>
      <c r="D837" t="s">
        <v>60</v>
      </c>
      <c r="E837">
        <v>6.9237730901400996</v>
      </c>
      <c r="F837" t="s">
        <v>44</v>
      </c>
    </row>
    <row r="838" spans="1:6" ht="15" hidden="1" customHeight="1" x14ac:dyDescent="0.25">
      <c r="A838" t="s">
        <v>71</v>
      </c>
      <c r="B838" t="s">
        <v>51</v>
      </c>
      <c r="C838">
        <v>9</v>
      </c>
      <c r="D838" t="s">
        <v>63</v>
      </c>
      <c r="E838">
        <v>0</v>
      </c>
      <c r="F838" t="s">
        <v>44</v>
      </c>
    </row>
    <row r="839" spans="1:6" ht="15" hidden="1" customHeight="1" x14ac:dyDescent="0.25">
      <c r="A839" t="s">
        <v>71</v>
      </c>
      <c r="B839" t="s">
        <v>51</v>
      </c>
      <c r="C839">
        <v>10</v>
      </c>
      <c r="D839" t="s">
        <v>65</v>
      </c>
      <c r="E839">
        <v>0</v>
      </c>
      <c r="F839" t="s">
        <v>44</v>
      </c>
    </row>
    <row r="840" spans="1:6" ht="15" hidden="1" customHeight="1" x14ac:dyDescent="0.25">
      <c r="A840" t="s">
        <v>71</v>
      </c>
      <c r="B840" t="s">
        <v>51</v>
      </c>
      <c r="C840">
        <v>11</v>
      </c>
      <c r="D840" t="s">
        <v>67</v>
      </c>
      <c r="E840">
        <v>0</v>
      </c>
      <c r="F840" t="s">
        <v>44</v>
      </c>
    </row>
    <row r="841" spans="1:6" ht="15" hidden="1" customHeight="1" x14ac:dyDescent="0.25">
      <c r="A841" t="s">
        <v>71</v>
      </c>
      <c r="B841" t="s">
        <v>51</v>
      </c>
      <c r="C841">
        <v>12</v>
      </c>
      <c r="D841" t="s">
        <v>70</v>
      </c>
      <c r="E841">
        <v>20</v>
      </c>
      <c r="F841" t="s">
        <v>44</v>
      </c>
    </row>
    <row r="842" spans="1:6" ht="15" customHeight="1" x14ac:dyDescent="0.25">
      <c r="A842" t="s">
        <v>71</v>
      </c>
      <c r="B842" t="s">
        <v>55</v>
      </c>
      <c r="C842">
        <v>1</v>
      </c>
      <c r="D842" t="s">
        <v>35</v>
      </c>
      <c r="E842">
        <v>1.38</v>
      </c>
      <c r="F842" t="s">
        <v>44</v>
      </c>
    </row>
    <row r="843" spans="1:6" ht="15" hidden="1" customHeight="1" x14ac:dyDescent="0.25">
      <c r="A843" t="s">
        <v>71</v>
      </c>
      <c r="B843" t="s">
        <v>55</v>
      </c>
      <c r="C843">
        <v>2</v>
      </c>
      <c r="D843" t="s">
        <v>37</v>
      </c>
      <c r="E843">
        <v>0</v>
      </c>
      <c r="F843" t="s">
        <v>44</v>
      </c>
    </row>
    <row r="844" spans="1:6" ht="15" hidden="1" customHeight="1" x14ac:dyDescent="0.25">
      <c r="A844" t="s">
        <v>71</v>
      </c>
      <c r="B844" t="s">
        <v>55</v>
      </c>
      <c r="C844">
        <v>3</v>
      </c>
      <c r="D844" t="s">
        <v>41</v>
      </c>
      <c r="E844">
        <v>0</v>
      </c>
      <c r="F844" t="s">
        <v>44</v>
      </c>
    </row>
    <row r="845" spans="1:6" ht="15" hidden="1" customHeight="1" x14ac:dyDescent="0.25">
      <c r="A845" t="s">
        <v>71</v>
      </c>
      <c r="B845" t="s">
        <v>55</v>
      </c>
      <c r="C845">
        <v>4</v>
      </c>
      <c r="D845" t="s">
        <v>45</v>
      </c>
      <c r="E845">
        <v>1.0232110091743101</v>
      </c>
      <c r="F845" t="s">
        <v>44</v>
      </c>
    </row>
    <row r="846" spans="1:6" ht="15" hidden="1" customHeight="1" x14ac:dyDescent="0.25">
      <c r="A846" t="s">
        <v>71</v>
      </c>
      <c r="B846" t="s">
        <v>55</v>
      </c>
      <c r="C846">
        <v>5</v>
      </c>
      <c r="D846" t="s">
        <v>7</v>
      </c>
      <c r="E846">
        <v>0</v>
      </c>
      <c r="F846" t="s">
        <v>44</v>
      </c>
    </row>
    <row r="847" spans="1:6" ht="15" hidden="1" customHeight="1" x14ac:dyDescent="0.25">
      <c r="A847" t="s">
        <v>71</v>
      </c>
      <c r="B847" t="s">
        <v>55</v>
      </c>
      <c r="C847">
        <v>6</v>
      </c>
      <c r="D847" t="s">
        <v>53</v>
      </c>
      <c r="E847">
        <v>0.67872996941896002</v>
      </c>
      <c r="F847" t="s">
        <v>44</v>
      </c>
    </row>
    <row r="848" spans="1:6" ht="15" hidden="1" customHeight="1" x14ac:dyDescent="0.25">
      <c r="A848" t="s">
        <v>71</v>
      </c>
      <c r="B848" t="s">
        <v>55</v>
      </c>
      <c r="C848">
        <v>7</v>
      </c>
      <c r="D848" t="s">
        <v>56</v>
      </c>
      <c r="E848">
        <v>1.0232110091743101</v>
      </c>
      <c r="F848" t="s">
        <v>44</v>
      </c>
    </row>
    <row r="849" spans="1:6" ht="15" hidden="1" customHeight="1" x14ac:dyDescent="0.25">
      <c r="A849" t="s">
        <v>71</v>
      </c>
      <c r="B849" t="s">
        <v>55</v>
      </c>
      <c r="C849">
        <v>8</v>
      </c>
      <c r="D849" t="s">
        <v>60</v>
      </c>
      <c r="E849">
        <v>0</v>
      </c>
      <c r="F849" t="s">
        <v>44</v>
      </c>
    </row>
    <row r="850" spans="1:6" ht="15" hidden="1" customHeight="1" x14ac:dyDescent="0.25">
      <c r="A850" t="s">
        <v>71</v>
      </c>
      <c r="B850" t="s">
        <v>55</v>
      </c>
      <c r="C850">
        <v>9</v>
      </c>
      <c r="D850" t="s">
        <v>63</v>
      </c>
      <c r="E850">
        <v>0</v>
      </c>
      <c r="F850" t="s">
        <v>44</v>
      </c>
    </row>
    <row r="851" spans="1:6" ht="15" hidden="1" customHeight="1" x14ac:dyDescent="0.25">
      <c r="A851" t="s">
        <v>71</v>
      </c>
      <c r="B851" t="s">
        <v>55</v>
      </c>
      <c r="C851">
        <v>10</v>
      </c>
      <c r="D851" t="s">
        <v>65</v>
      </c>
      <c r="E851">
        <v>1.0232110091743101</v>
      </c>
      <c r="F851" t="s">
        <v>44</v>
      </c>
    </row>
    <row r="852" spans="1:6" ht="15" hidden="1" customHeight="1" x14ac:dyDescent="0.25">
      <c r="A852" t="s">
        <v>71</v>
      </c>
      <c r="B852" t="s">
        <v>55</v>
      </c>
      <c r="C852">
        <v>11</v>
      </c>
      <c r="D852" t="s">
        <v>67</v>
      </c>
      <c r="E852">
        <v>0</v>
      </c>
      <c r="F852" t="s">
        <v>44</v>
      </c>
    </row>
    <row r="853" spans="1:6" ht="15" hidden="1" customHeight="1" x14ac:dyDescent="0.25">
      <c r="A853" t="s">
        <v>71</v>
      </c>
      <c r="B853" t="s">
        <v>55</v>
      </c>
      <c r="C853">
        <v>12</v>
      </c>
      <c r="D853" t="s">
        <v>70</v>
      </c>
      <c r="E853">
        <v>0</v>
      </c>
      <c r="F853" t="s">
        <v>44</v>
      </c>
    </row>
    <row r="854" spans="1:6" ht="15" customHeight="1" x14ac:dyDescent="0.25">
      <c r="A854" t="s">
        <v>71</v>
      </c>
      <c r="B854" t="s">
        <v>58</v>
      </c>
      <c r="C854">
        <v>1</v>
      </c>
      <c r="D854" t="s">
        <v>35</v>
      </c>
      <c r="E854">
        <v>0</v>
      </c>
      <c r="F854" t="s">
        <v>44</v>
      </c>
    </row>
    <row r="855" spans="1:6" ht="15" hidden="1" customHeight="1" x14ac:dyDescent="0.25">
      <c r="A855" t="s">
        <v>71</v>
      </c>
      <c r="B855" t="s">
        <v>58</v>
      </c>
      <c r="C855">
        <v>2</v>
      </c>
      <c r="D855" t="s">
        <v>37</v>
      </c>
      <c r="E855">
        <v>0</v>
      </c>
      <c r="F855" t="s">
        <v>44</v>
      </c>
    </row>
    <row r="856" spans="1:6" ht="15" hidden="1" customHeight="1" x14ac:dyDescent="0.25">
      <c r="A856" t="s">
        <v>71</v>
      </c>
      <c r="B856" t="s">
        <v>58</v>
      </c>
      <c r="C856">
        <v>3</v>
      </c>
      <c r="D856" t="s">
        <v>41</v>
      </c>
      <c r="E856">
        <v>0</v>
      </c>
      <c r="F856" t="s">
        <v>44</v>
      </c>
    </row>
    <row r="857" spans="1:6" ht="15" hidden="1" customHeight="1" x14ac:dyDescent="0.25">
      <c r="A857" t="s">
        <v>71</v>
      </c>
      <c r="B857" t="s">
        <v>58</v>
      </c>
      <c r="C857">
        <v>4</v>
      </c>
      <c r="D857" t="s">
        <v>45</v>
      </c>
      <c r="E857">
        <v>0</v>
      </c>
      <c r="F857" t="s">
        <v>44</v>
      </c>
    </row>
    <row r="858" spans="1:6" ht="15" hidden="1" customHeight="1" x14ac:dyDescent="0.25">
      <c r="A858" t="s">
        <v>71</v>
      </c>
      <c r="B858" t="s">
        <v>58</v>
      </c>
      <c r="C858">
        <v>5</v>
      </c>
      <c r="D858" t="s">
        <v>7</v>
      </c>
      <c r="E858">
        <v>0</v>
      </c>
      <c r="F858" t="s">
        <v>44</v>
      </c>
    </row>
    <row r="859" spans="1:6" ht="15" hidden="1" customHeight="1" x14ac:dyDescent="0.25">
      <c r="A859" t="s">
        <v>71</v>
      </c>
      <c r="B859" t="s">
        <v>58</v>
      </c>
      <c r="C859">
        <v>6</v>
      </c>
      <c r="D859" t="s">
        <v>53</v>
      </c>
      <c r="E859">
        <v>0</v>
      </c>
      <c r="F859" t="s">
        <v>44</v>
      </c>
    </row>
    <row r="860" spans="1:6" ht="15" hidden="1" customHeight="1" x14ac:dyDescent="0.25">
      <c r="A860" t="s">
        <v>71</v>
      </c>
      <c r="B860" t="s">
        <v>58</v>
      </c>
      <c r="C860">
        <v>7</v>
      </c>
      <c r="D860" t="s">
        <v>56</v>
      </c>
      <c r="E860">
        <v>0</v>
      </c>
      <c r="F860" t="s">
        <v>44</v>
      </c>
    </row>
    <row r="861" spans="1:6" ht="15" hidden="1" customHeight="1" x14ac:dyDescent="0.25">
      <c r="A861" t="s">
        <v>71</v>
      </c>
      <c r="B861" t="s">
        <v>58</v>
      </c>
      <c r="C861">
        <v>8</v>
      </c>
      <c r="D861" t="s">
        <v>60</v>
      </c>
      <c r="E861">
        <v>0</v>
      </c>
      <c r="F861" t="s">
        <v>44</v>
      </c>
    </row>
    <row r="862" spans="1:6" ht="15" hidden="1" customHeight="1" x14ac:dyDescent="0.25">
      <c r="A862" t="s">
        <v>71</v>
      </c>
      <c r="B862" t="s">
        <v>58</v>
      </c>
      <c r="C862">
        <v>9</v>
      </c>
      <c r="D862" t="s">
        <v>63</v>
      </c>
      <c r="E862">
        <v>0</v>
      </c>
      <c r="F862" t="s">
        <v>44</v>
      </c>
    </row>
    <row r="863" spans="1:6" ht="15" hidden="1" customHeight="1" x14ac:dyDescent="0.25">
      <c r="A863" t="s">
        <v>71</v>
      </c>
      <c r="B863" t="s">
        <v>58</v>
      </c>
      <c r="C863">
        <v>10</v>
      </c>
      <c r="D863" t="s">
        <v>65</v>
      </c>
      <c r="E863">
        <v>0</v>
      </c>
      <c r="F863" t="s">
        <v>44</v>
      </c>
    </row>
    <row r="864" spans="1:6" ht="15" hidden="1" customHeight="1" x14ac:dyDescent="0.25">
      <c r="A864" t="s">
        <v>71</v>
      </c>
      <c r="B864" t="s">
        <v>58</v>
      </c>
      <c r="C864">
        <v>11</v>
      </c>
      <c r="D864" t="s">
        <v>67</v>
      </c>
      <c r="E864">
        <v>0</v>
      </c>
      <c r="F864" t="s">
        <v>44</v>
      </c>
    </row>
    <row r="865" spans="1:6" ht="15" hidden="1" customHeight="1" x14ac:dyDescent="0.25">
      <c r="A865" t="s">
        <v>71</v>
      </c>
      <c r="B865" t="s">
        <v>58</v>
      </c>
      <c r="C865">
        <v>12</v>
      </c>
      <c r="D865" t="s">
        <v>70</v>
      </c>
      <c r="E865">
        <v>0</v>
      </c>
      <c r="F865" t="s">
        <v>44</v>
      </c>
    </row>
    <row r="866" spans="1:6" ht="15" customHeight="1" x14ac:dyDescent="0.25">
      <c r="A866" t="s">
        <v>73</v>
      </c>
      <c r="B866" t="s">
        <v>39</v>
      </c>
      <c r="C866">
        <v>1</v>
      </c>
      <c r="D866" t="s">
        <v>35</v>
      </c>
      <c r="E866">
        <v>11.781000000000001</v>
      </c>
      <c r="F866" t="s">
        <v>83</v>
      </c>
    </row>
    <row r="867" spans="1:6" ht="15" hidden="1" customHeight="1" x14ac:dyDescent="0.25">
      <c r="A867" t="s">
        <v>73</v>
      </c>
      <c r="B867" t="s">
        <v>39</v>
      </c>
      <c r="C867">
        <v>2</v>
      </c>
      <c r="D867" t="s">
        <v>37</v>
      </c>
      <c r="E867">
        <v>0</v>
      </c>
      <c r="F867" t="s">
        <v>83</v>
      </c>
    </row>
    <row r="868" spans="1:6" ht="15" hidden="1" customHeight="1" x14ac:dyDescent="0.25">
      <c r="A868" t="s">
        <v>73</v>
      </c>
      <c r="B868" t="s">
        <v>39</v>
      </c>
      <c r="C868">
        <v>3</v>
      </c>
      <c r="D868" t="s">
        <v>41</v>
      </c>
      <c r="E868">
        <v>9.6</v>
      </c>
      <c r="F868" t="s">
        <v>83</v>
      </c>
    </row>
    <row r="869" spans="1:6" ht="15" hidden="1" customHeight="1" x14ac:dyDescent="0.25">
      <c r="A869" t="s">
        <v>73</v>
      </c>
      <c r="B869" t="s">
        <v>39</v>
      </c>
      <c r="C869">
        <v>4</v>
      </c>
      <c r="D869" t="s">
        <v>45</v>
      </c>
      <c r="E869">
        <v>0</v>
      </c>
      <c r="F869" t="s">
        <v>83</v>
      </c>
    </row>
    <row r="870" spans="1:6" ht="15" hidden="1" customHeight="1" x14ac:dyDescent="0.25">
      <c r="A870" t="s">
        <v>73</v>
      </c>
      <c r="B870" t="s">
        <v>39</v>
      </c>
      <c r="C870">
        <v>5</v>
      </c>
      <c r="D870" t="s">
        <v>7</v>
      </c>
      <c r="E870">
        <v>0</v>
      </c>
      <c r="F870" t="s">
        <v>83</v>
      </c>
    </row>
    <row r="871" spans="1:6" ht="15" hidden="1" customHeight="1" x14ac:dyDescent="0.25">
      <c r="A871" t="s">
        <v>73</v>
      </c>
      <c r="B871" t="s">
        <v>39</v>
      </c>
      <c r="C871">
        <v>6</v>
      </c>
      <c r="D871" t="s">
        <v>53</v>
      </c>
      <c r="E871">
        <v>33.161999999999999</v>
      </c>
      <c r="F871" t="s">
        <v>83</v>
      </c>
    </row>
    <row r="872" spans="1:6" ht="15" hidden="1" customHeight="1" x14ac:dyDescent="0.25">
      <c r="A872" t="s">
        <v>73</v>
      </c>
      <c r="B872" t="s">
        <v>39</v>
      </c>
      <c r="C872">
        <v>7</v>
      </c>
      <c r="D872" t="s">
        <v>56</v>
      </c>
      <c r="E872">
        <v>0</v>
      </c>
      <c r="F872" t="s">
        <v>83</v>
      </c>
    </row>
    <row r="873" spans="1:6" ht="15" hidden="1" customHeight="1" x14ac:dyDescent="0.25">
      <c r="A873" t="s">
        <v>73</v>
      </c>
      <c r="B873" t="s">
        <v>39</v>
      </c>
      <c r="C873">
        <v>8</v>
      </c>
      <c r="D873" t="s">
        <v>60</v>
      </c>
      <c r="E873">
        <v>10.125</v>
      </c>
      <c r="F873" t="s">
        <v>83</v>
      </c>
    </row>
    <row r="874" spans="1:6" ht="15" hidden="1" customHeight="1" x14ac:dyDescent="0.25">
      <c r="A874" t="s">
        <v>73</v>
      </c>
      <c r="B874" t="s">
        <v>39</v>
      </c>
      <c r="C874">
        <v>9</v>
      </c>
      <c r="D874" t="s">
        <v>63</v>
      </c>
      <c r="E874">
        <v>13.8565</v>
      </c>
      <c r="F874" t="s">
        <v>83</v>
      </c>
    </row>
    <row r="875" spans="1:6" ht="15" hidden="1" customHeight="1" x14ac:dyDescent="0.25">
      <c r="A875" t="s">
        <v>73</v>
      </c>
      <c r="B875" t="s">
        <v>39</v>
      </c>
      <c r="C875">
        <v>10</v>
      </c>
      <c r="D875" t="s">
        <v>65</v>
      </c>
      <c r="E875">
        <v>54.148800000000001</v>
      </c>
      <c r="F875" t="s">
        <v>83</v>
      </c>
    </row>
    <row r="876" spans="1:6" ht="15" hidden="1" customHeight="1" x14ac:dyDescent="0.25">
      <c r="A876" t="s">
        <v>73</v>
      </c>
      <c r="B876" t="s">
        <v>39</v>
      </c>
      <c r="C876">
        <v>11</v>
      </c>
      <c r="D876" t="s">
        <v>67</v>
      </c>
      <c r="E876">
        <v>9.6</v>
      </c>
      <c r="F876" t="s">
        <v>83</v>
      </c>
    </row>
    <row r="877" spans="1:6" ht="15" hidden="1" customHeight="1" x14ac:dyDescent="0.25">
      <c r="A877" t="s">
        <v>73</v>
      </c>
      <c r="B877" t="s">
        <v>39</v>
      </c>
      <c r="C877">
        <v>12</v>
      </c>
      <c r="D877" t="s">
        <v>70</v>
      </c>
      <c r="E877">
        <v>0</v>
      </c>
      <c r="F877" t="s">
        <v>83</v>
      </c>
    </row>
    <row r="878" spans="1:6" ht="15" customHeight="1" x14ac:dyDescent="0.25">
      <c r="A878" t="s">
        <v>73</v>
      </c>
      <c r="B878" t="s">
        <v>43</v>
      </c>
      <c r="C878">
        <v>1</v>
      </c>
      <c r="D878" t="s">
        <v>35</v>
      </c>
      <c r="E878">
        <v>6.9</v>
      </c>
      <c r="F878" t="s">
        <v>83</v>
      </c>
    </row>
    <row r="879" spans="1:6" ht="15" hidden="1" customHeight="1" x14ac:dyDescent="0.25">
      <c r="A879" t="s">
        <v>73</v>
      </c>
      <c r="B879" t="s">
        <v>43</v>
      </c>
      <c r="C879">
        <v>2</v>
      </c>
      <c r="D879" t="s">
        <v>37</v>
      </c>
      <c r="E879">
        <v>3.0750000000000002</v>
      </c>
      <c r="F879" t="s">
        <v>83</v>
      </c>
    </row>
    <row r="880" spans="1:6" ht="15" hidden="1" customHeight="1" x14ac:dyDescent="0.25">
      <c r="A880" t="s">
        <v>73</v>
      </c>
      <c r="B880" t="s">
        <v>43</v>
      </c>
      <c r="C880">
        <v>3</v>
      </c>
      <c r="D880" t="s">
        <v>41</v>
      </c>
      <c r="E880">
        <v>61.207999999999998</v>
      </c>
      <c r="F880" t="s">
        <v>83</v>
      </c>
    </row>
    <row r="881" spans="1:6" ht="15" hidden="1" customHeight="1" x14ac:dyDescent="0.25">
      <c r="A881" t="s">
        <v>73</v>
      </c>
      <c r="B881" t="s">
        <v>43</v>
      </c>
      <c r="C881">
        <v>4</v>
      </c>
      <c r="D881" t="s">
        <v>45</v>
      </c>
      <c r="E881">
        <v>34.866500000000002</v>
      </c>
      <c r="F881" t="s">
        <v>83</v>
      </c>
    </row>
    <row r="882" spans="1:6" ht="15" hidden="1" customHeight="1" x14ac:dyDescent="0.25">
      <c r="A882" t="s">
        <v>73</v>
      </c>
      <c r="B882" t="s">
        <v>43</v>
      </c>
      <c r="C882">
        <v>5</v>
      </c>
      <c r="D882" t="s">
        <v>7</v>
      </c>
      <c r="E882">
        <v>23.85</v>
      </c>
      <c r="F882" t="s">
        <v>83</v>
      </c>
    </row>
    <row r="883" spans="1:6" ht="15" hidden="1" customHeight="1" x14ac:dyDescent="0.25">
      <c r="A883" t="s">
        <v>73</v>
      </c>
      <c r="B883" t="s">
        <v>43</v>
      </c>
      <c r="C883">
        <v>6</v>
      </c>
      <c r="D883" t="s">
        <v>53</v>
      </c>
      <c r="E883">
        <v>35.856000000000002</v>
      </c>
      <c r="F883" t="s">
        <v>83</v>
      </c>
    </row>
    <row r="884" spans="1:6" ht="15" hidden="1" customHeight="1" x14ac:dyDescent="0.25">
      <c r="A884" t="s">
        <v>73</v>
      </c>
      <c r="B884" t="s">
        <v>43</v>
      </c>
      <c r="C884">
        <v>7</v>
      </c>
      <c r="D884" t="s">
        <v>56</v>
      </c>
      <c r="E884">
        <v>40.817999999999998</v>
      </c>
      <c r="F884" t="s">
        <v>83</v>
      </c>
    </row>
    <row r="885" spans="1:6" ht="15" hidden="1" customHeight="1" x14ac:dyDescent="0.25">
      <c r="A885" t="s">
        <v>73</v>
      </c>
      <c r="B885" t="s">
        <v>43</v>
      </c>
      <c r="C885">
        <v>8</v>
      </c>
      <c r="D885" t="s">
        <v>60</v>
      </c>
      <c r="E885">
        <v>0</v>
      </c>
      <c r="F885" t="s">
        <v>83</v>
      </c>
    </row>
    <row r="886" spans="1:6" ht="15" hidden="1" customHeight="1" x14ac:dyDescent="0.25">
      <c r="A886" t="s">
        <v>73</v>
      </c>
      <c r="B886" t="s">
        <v>43</v>
      </c>
      <c r="C886">
        <v>9</v>
      </c>
      <c r="D886" t="s">
        <v>63</v>
      </c>
      <c r="E886">
        <v>40.027999999999999</v>
      </c>
      <c r="F886" t="s">
        <v>83</v>
      </c>
    </row>
    <row r="887" spans="1:6" ht="15" hidden="1" customHeight="1" x14ac:dyDescent="0.25">
      <c r="A887" t="s">
        <v>73</v>
      </c>
      <c r="B887" t="s">
        <v>43</v>
      </c>
      <c r="C887">
        <v>10</v>
      </c>
      <c r="D887" t="s">
        <v>65</v>
      </c>
      <c r="E887">
        <v>116.298</v>
      </c>
      <c r="F887" t="s">
        <v>83</v>
      </c>
    </row>
    <row r="888" spans="1:6" ht="15" hidden="1" customHeight="1" x14ac:dyDescent="0.25">
      <c r="A888" t="s">
        <v>73</v>
      </c>
      <c r="B888" t="s">
        <v>43</v>
      </c>
      <c r="C888">
        <v>11</v>
      </c>
      <c r="D888" t="s">
        <v>67</v>
      </c>
      <c r="E888">
        <v>94.002250000000004</v>
      </c>
      <c r="F888" t="s">
        <v>83</v>
      </c>
    </row>
    <row r="889" spans="1:6" ht="15" hidden="1" customHeight="1" x14ac:dyDescent="0.25">
      <c r="A889" t="s">
        <v>73</v>
      </c>
      <c r="B889" t="s">
        <v>43</v>
      </c>
      <c r="C889">
        <v>12</v>
      </c>
      <c r="D889" t="s">
        <v>70</v>
      </c>
      <c r="E889">
        <v>160.33349999999999</v>
      </c>
      <c r="F889" t="s">
        <v>83</v>
      </c>
    </row>
    <row r="890" spans="1:6" ht="15" customHeight="1" x14ac:dyDescent="0.25">
      <c r="A890" t="s">
        <v>73</v>
      </c>
      <c r="B890" t="s">
        <v>47</v>
      </c>
      <c r="C890">
        <v>1</v>
      </c>
      <c r="D890" t="s">
        <v>35</v>
      </c>
      <c r="E890">
        <v>0</v>
      </c>
      <c r="F890" t="s">
        <v>83</v>
      </c>
    </row>
    <row r="891" spans="1:6" ht="15" hidden="1" customHeight="1" x14ac:dyDescent="0.25">
      <c r="A891" t="s">
        <v>73</v>
      </c>
      <c r="B891" t="s">
        <v>47</v>
      </c>
      <c r="C891">
        <v>2</v>
      </c>
      <c r="D891" t="s">
        <v>37</v>
      </c>
      <c r="E891">
        <v>0</v>
      </c>
      <c r="F891" t="s">
        <v>83</v>
      </c>
    </row>
    <row r="892" spans="1:6" ht="15" hidden="1" customHeight="1" x14ac:dyDescent="0.25">
      <c r="A892" t="s">
        <v>73</v>
      </c>
      <c r="B892" t="s">
        <v>47</v>
      </c>
      <c r="C892">
        <v>3</v>
      </c>
      <c r="D892" t="s">
        <v>41</v>
      </c>
      <c r="E892">
        <v>0</v>
      </c>
      <c r="F892" t="s">
        <v>83</v>
      </c>
    </row>
    <row r="893" spans="1:6" ht="15" hidden="1" customHeight="1" x14ac:dyDescent="0.25">
      <c r="A893" t="s">
        <v>73</v>
      </c>
      <c r="B893" t="s">
        <v>47</v>
      </c>
      <c r="C893">
        <v>4</v>
      </c>
      <c r="D893" t="s">
        <v>45</v>
      </c>
      <c r="E893">
        <v>0</v>
      </c>
      <c r="F893" t="s">
        <v>83</v>
      </c>
    </row>
    <row r="894" spans="1:6" ht="15" hidden="1" customHeight="1" x14ac:dyDescent="0.25">
      <c r="A894" t="s">
        <v>73</v>
      </c>
      <c r="B894" t="s">
        <v>47</v>
      </c>
      <c r="C894">
        <v>5</v>
      </c>
      <c r="D894" t="s">
        <v>7</v>
      </c>
      <c r="E894">
        <v>0</v>
      </c>
      <c r="F894" t="s">
        <v>83</v>
      </c>
    </row>
    <row r="895" spans="1:6" ht="15" hidden="1" customHeight="1" x14ac:dyDescent="0.25">
      <c r="A895" t="s">
        <v>73</v>
      </c>
      <c r="B895" t="s">
        <v>47</v>
      </c>
      <c r="C895">
        <v>6</v>
      </c>
      <c r="D895" t="s">
        <v>53</v>
      </c>
      <c r="E895">
        <v>0</v>
      </c>
      <c r="F895" t="s">
        <v>83</v>
      </c>
    </row>
    <row r="896" spans="1:6" ht="15" hidden="1" customHeight="1" x14ac:dyDescent="0.25">
      <c r="A896" t="s">
        <v>73</v>
      </c>
      <c r="B896" t="s">
        <v>47</v>
      </c>
      <c r="C896">
        <v>7</v>
      </c>
      <c r="D896" t="s">
        <v>56</v>
      </c>
      <c r="E896">
        <v>0</v>
      </c>
      <c r="F896" t="s">
        <v>83</v>
      </c>
    </row>
    <row r="897" spans="1:6" ht="15" hidden="1" customHeight="1" x14ac:dyDescent="0.25">
      <c r="A897" t="s">
        <v>73</v>
      </c>
      <c r="B897" t="s">
        <v>47</v>
      </c>
      <c r="C897">
        <v>8</v>
      </c>
      <c r="D897" t="s">
        <v>60</v>
      </c>
      <c r="E897">
        <v>0</v>
      </c>
      <c r="F897" t="s">
        <v>83</v>
      </c>
    </row>
    <row r="898" spans="1:6" ht="15" hidden="1" customHeight="1" x14ac:dyDescent="0.25">
      <c r="A898" t="s">
        <v>73</v>
      </c>
      <c r="B898" t="s">
        <v>47</v>
      </c>
      <c r="C898">
        <v>9</v>
      </c>
      <c r="D898" t="s">
        <v>63</v>
      </c>
      <c r="E898">
        <v>0</v>
      </c>
      <c r="F898" t="s">
        <v>83</v>
      </c>
    </row>
    <row r="899" spans="1:6" ht="15" hidden="1" customHeight="1" x14ac:dyDescent="0.25">
      <c r="A899" t="s">
        <v>73</v>
      </c>
      <c r="B899" t="s">
        <v>47</v>
      </c>
      <c r="C899">
        <v>10</v>
      </c>
      <c r="D899" t="s">
        <v>65</v>
      </c>
      <c r="E899">
        <v>0</v>
      </c>
      <c r="F899" t="s">
        <v>83</v>
      </c>
    </row>
    <row r="900" spans="1:6" ht="15" hidden="1" customHeight="1" x14ac:dyDescent="0.25">
      <c r="A900" t="s">
        <v>73</v>
      </c>
      <c r="B900" t="s">
        <v>47</v>
      </c>
      <c r="C900">
        <v>11</v>
      </c>
      <c r="D900" t="s">
        <v>67</v>
      </c>
      <c r="E900">
        <v>0</v>
      </c>
      <c r="F900" t="s">
        <v>83</v>
      </c>
    </row>
    <row r="901" spans="1:6" ht="15" hidden="1" customHeight="1" x14ac:dyDescent="0.25">
      <c r="A901" t="s">
        <v>73</v>
      </c>
      <c r="B901" t="s">
        <v>47</v>
      </c>
      <c r="C901">
        <v>12</v>
      </c>
      <c r="D901" t="s">
        <v>70</v>
      </c>
      <c r="E901">
        <v>0</v>
      </c>
      <c r="F901" t="s">
        <v>83</v>
      </c>
    </row>
    <row r="902" spans="1:6" ht="15" customHeight="1" x14ac:dyDescent="0.25">
      <c r="A902" t="s">
        <v>73</v>
      </c>
      <c r="B902" t="s">
        <v>51</v>
      </c>
      <c r="C902">
        <v>1</v>
      </c>
      <c r="D902" t="s">
        <v>35</v>
      </c>
      <c r="E902">
        <v>0</v>
      </c>
      <c r="F902" t="s">
        <v>83</v>
      </c>
    </row>
    <row r="903" spans="1:6" ht="15" hidden="1" customHeight="1" x14ac:dyDescent="0.25">
      <c r="A903" t="s">
        <v>73</v>
      </c>
      <c r="B903" t="s">
        <v>51</v>
      </c>
      <c r="C903">
        <v>2</v>
      </c>
      <c r="D903" t="s">
        <v>37</v>
      </c>
      <c r="E903">
        <v>0</v>
      </c>
      <c r="F903" t="s">
        <v>83</v>
      </c>
    </row>
    <row r="904" spans="1:6" ht="15" hidden="1" customHeight="1" x14ac:dyDescent="0.25">
      <c r="A904" t="s">
        <v>73</v>
      </c>
      <c r="B904" t="s">
        <v>51</v>
      </c>
      <c r="C904">
        <v>3</v>
      </c>
      <c r="D904" t="s">
        <v>41</v>
      </c>
      <c r="E904">
        <v>1.87</v>
      </c>
      <c r="F904" t="s">
        <v>83</v>
      </c>
    </row>
    <row r="905" spans="1:6" ht="15" hidden="1" customHeight="1" x14ac:dyDescent="0.25">
      <c r="A905" t="s">
        <v>73</v>
      </c>
      <c r="B905" t="s">
        <v>51</v>
      </c>
      <c r="C905">
        <v>4</v>
      </c>
      <c r="D905" t="s">
        <v>45</v>
      </c>
      <c r="E905">
        <v>0</v>
      </c>
      <c r="F905" t="s">
        <v>83</v>
      </c>
    </row>
    <row r="906" spans="1:6" ht="15" hidden="1" customHeight="1" x14ac:dyDescent="0.25">
      <c r="A906" t="s">
        <v>73</v>
      </c>
      <c r="B906" t="s">
        <v>51</v>
      </c>
      <c r="C906">
        <v>5</v>
      </c>
      <c r="D906" t="s">
        <v>7</v>
      </c>
      <c r="E906">
        <v>3.7</v>
      </c>
      <c r="F906" t="s">
        <v>83</v>
      </c>
    </row>
    <row r="907" spans="1:6" ht="15" hidden="1" customHeight="1" x14ac:dyDescent="0.25">
      <c r="A907" t="s">
        <v>73</v>
      </c>
      <c r="B907" t="s">
        <v>51</v>
      </c>
      <c r="C907">
        <v>6</v>
      </c>
      <c r="D907" t="s">
        <v>53</v>
      </c>
      <c r="E907">
        <v>2</v>
      </c>
      <c r="F907" t="s">
        <v>83</v>
      </c>
    </row>
    <row r="908" spans="1:6" ht="15" hidden="1" customHeight="1" x14ac:dyDescent="0.25">
      <c r="A908" t="s">
        <v>73</v>
      </c>
      <c r="B908" t="s">
        <v>51</v>
      </c>
      <c r="C908">
        <v>7</v>
      </c>
      <c r="D908" t="s">
        <v>56</v>
      </c>
      <c r="E908">
        <v>0</v>
      </c>
      <c r="F908" t="s">
        <v>83</v>
      </c>
    </row>
    <row r="909" spans="1:6" ht="15" hidden="1" customHeight="1" x14ac:dyDescent="0.25">
      <c r="A909" t="s">
        <v>73</v>
      </c>
      <c r="B909" t="s">
        <v>51</v>
      </c>
      <c r="C909">
        <v>8</v>
      </c>
      <c r="D909" t="s">
        <v>60</v>
      </c>
      <c r="E909">
        <v>0</v>
      </c>
      <c r="F909" t="s">
        <v>83</v>
      </c>
    </row>
    <row r="910" spans="1:6" ht="15" hidden="1" customHeight="1" x14ac:dyDescent="0.25">
      <c r="A910" t="s">
        <v>73</v>
      </c>
      <c r="B910" t="s">
        <v>51</v>
      </c>
      <c r="C910">
        <v>9</v>
      </c>
      <c r="D910" t="s">
        <v>63</v>
      </c>
      <c r="E910">
        <v>0</v>
      </c>
      <c r="F910" t="s">
        <v>83</v>
      </c>
    </row>
    <row r="911" spans="1:6" ht="15" hidden="1" customHeight="1" x14ac:dyDescent="0.25">
      <c r="A911" t="s">
        <v>73</v>
      </c>
      <c r="B911" t="s">
        <v>51</v>
      </c>
      <c r="C911">
        <v>10</v>
      </c>
      <c r="D911" t="s">
        <v>65</v>
      </c>
      <c r="E911">
        <v>0</v>
      </c>
      <c r="F911" t="s">
        <v>83</v>
      </c>
    </row>
    <row r="912" spans="1:6" ht="15" hidden="1" customHeight="1" x14ac:dyDescent="0.25">
      <c r="A912" t="s">
        <v>73</v>
      </c>
      <c r="B912" t="s">
        <v>51</v>
      </c>
      <c r="C912">
        <v>11</v>
      </c>
      <c r="D912" t="s">
        <v>67</v>
      </c>
      <c r="E912">
        <v>3.4750000000000001</v>
      </c>
      <c r="F912" t="s">
        <v>83</v>
      </c>
    </row>
    <row r="913" spans="1:6" ht="15" hidden="1" customHeight="1" x14ac:dyDescent="0.25">
      <c r="A913" t="s">
        <v>73</v>
      </c>
      <c r="B913" t="s">
        <v>51</v>
      </c>
      <c r="C913">
        <v>12</v>
      </c>
      <c r="D913" t="s">
        <v>70</v>
      </c>
      <c r="E913">
        <v>3.7</v>
      </c>
      <c r="F913" t="s">
        <v>83</v>
      </c>
    </row>
    <row r="914" spans="1:6" ht="15" customHeight="1" x14ac:dyDescent="0.25">
      <c r="A914" t="s">
        <v>73</v>
      </c>
      <c r="B914" t="s">
        <v>55</v>
      </c>
      <c r="C914">
        <v>1</v>
      </c>
      <c r="D914" t="s">
        <v>35</v>
      </c>
      <c r="E914">
        <v>0</v>
      </c>
      <c r="F914" t="s">
        <v>83</v>
      </c>
    </row>
    <row r="915" spans="1:6" ht="15" hidden="1" customHeight="1" x14ac:dyDescent="0.25">
      <c r="A915" t="s">
        <v>73</v>
      </c>
      <c r="B915" t="s">
        <v>55</v>
      </c>
      <c r="C915">
        <v>2</v>
      </c>
      <c r="D915" t="s">
        <v>37</v>
      </c>
      <c r="E915">
        <v>0</v>
      </c>
      <c r="F915" t="s">
        <v>83</v>
      </c>
    </row>
    <row r="916" spans="1:6" ht="15" hidden="1" customHeight="1" x14ac:dyDescent="0.25">
      <c r="A916" t="s">
        <v>73</v>
      </c>
      <c r="B916" t="s">
        <v>55</v>
      </c>
      <c r="C916">
        <v>3</v>
      </c>
      <c r="D916" t="s">
        <v>41</v>
      </c>
      <c r="E916">
        <v>0.3</v>
      </c>
      <c r="F916" t="s">
        <v>83</v>
      </c>
    </row>
    <row r="917" spans="1:6" ht="15" hidden="1" customHeight="1" x14ac:dyDescent="0.25">
      <c r="A917" t="s">
        <v>73</v>
      </c>
      <c r="B917" t="s">
        <v>55</v>
      </c>
      <c r="C917">
        <v>4</v>
      </c>
      <c r="D917" t="s">
        <v>45</v>
      </c>
      <c r="E917">
        <v>0</v>
      </c>
      <c r="F917" t="s">
        <v>83</v>
      </c>
    </row>
    <row r="918" spans="1:6" ht="15" hidden="1" customHeight="1" x14ac:dyDescent="0.25">
      <c r="A918" t="s">
        <v>73</v>
      </c>
      <c r="B918" t="s">
        <v>55</v>
      </c>
      <c r="C918">
        <v>5</v>
      </c>
      <c r="D918" t="s">
        <v>7</v>
      </c>
      <c r="E918">
        <v>0</v>
      </c>
      <c r="F918" t="s">
        <v>83</v>
      </c>
    </row>
    <row r="919" spans="1:6" ht="15" hidden="1" customHeight="1" x14ac:dyDescent="0.25">
      <c r="A919" t="s">
        <v>73</v>
      </c>
      <c r="B919" t="s">
        <v>55</v>
      </c>
      <c r="C919">
        <v>6</v>
      </c>
      <c r="D919" t="s">
        <v>53</v>
      </c>
      <c r="E919">
        <v>1.5</v>
      </c>
      <c r="F919" t="s">
        <v>83</v>
      </c>
    </row>
    <row r="920" spans="1:6" ht="15" hidden="1" customHeight="1" x14ac:dyDescent="0.25">
      <c r="A920" t="s">
        <v>73</v>
      </c>
      <c r="B920" t="s">
        <v>55</v>
      </c>
      <c r="C920">
        <v>7</v>
      </c>
      <c r="D920" t="s">
        <v>56</v>
      </c>
      <c r="E920">
        <v>0</v>
      </c>
      <c r="F920" t="s">
        <v>83</v>
      </c>
    </row>
    <row r="921" spans="1:6" ht="15" hidden="1" customHeight="1" x14ac:dyDescent="0.25">
      <c r="A921" t="s">
        <v>73</v>
      </c>
      <c r="B921" t="s">
        <v>55</v>
      </c>
      <c r="C921">
        <v>8</v>
      </c>
      <c r="D921" t="s">
        <v>60</v>
      </c>
      <c r="E921">
        <v>0</v>
      </c>
      <c r="F921" t="s">
        <v>83</v>
      </c>
    </row>
    <row r="922" spans="1:6" ht="15" hidden="1" customHeight="1" x14ac:dyDescent="0.25">
      <c r="A922" t="s">
        <v>73</v>
      </c>
      <c r="B922" t="s">
        <v>55</v>
      </c>
      <c r="C922">
        <v>9</v>
      </c>
      <c r="D922" t="s">
        <v>63</v>
      </c>
      <c r="E922">
        <v>0</v>
      </c>
      <c r="F922" t="s">
        <v>83</v>
      </c>
    </row>
    <row r="923" spans="1:6" ht="15" hidden="1" customHeight="1" x14ac:dyDescent="0.25">
      <c r="A923" t="s">
        <v>73</v>
      </c>
      <c r="B923" t="s">
        <v>55</v>
      </c>
      <c r="C923">
        <v>10</v>
      </c>
      <c r="D923" t="s">
        <v>65</v>
      </c>
      <c r="E923">
        <v>0</v>
      </c>
      <c r="F923" t="s">
        <v>83</v>
      </c>
    </row>
    <row r="924" spans="1:6" ht="15" hidden="1" customHeight="1" x14ac:dyDescent="0.25">
      <c r="A924" t="s">
        <v>73</v>
      </c>
      <c r="B924" t="s">
        <v>55</v>
      </c>
      <c r="C924">
        <v>11</v>
      </c>
      <c r="D924" t="s">
        <v>67</v>
      </c>
      <c r="E924">
        <v>1.2</v>
      </c>
      <c r="F924" t="s">
        <v>83</v>
      </c>
    </row>
    <row r="925" spans="1:6" ht="15" hidden="1" customHeight="1" x14ac:dyDescent="0.25">
      <c r="A925" t="s">
        <v>73</v>
      </c>
      <c r="B925" t="s">
        <v>55</v>
      </c>
      <c r="C925">
        <v>12</v>
      </c>
      <c r="D925" t="s">
        <v>70</v>
      </c>
      <c r="E925">
        <v>0</v>
      </c>
      <c r="F925" t="s">
        <v>83</v>
      </c>
    </row>
    <row r="926" spans="1:6" ht="15" customHeight="1" x14ac:dyDescent="0.25">
      <c r="A926" t="s">
        <v>73</v>
      </c>
      <c r="B926" t="s">
        <v>58</v>
      </c>
      <c r="C926">
        <v>1</v>
      </c>
      <c r="D926" t="s">
        <v>35</v>
      </c>
      <c r="E926">
        <v>0</v>
      </c>
      <c r="F926" t="s">
        <v>83</v>
      </c>
    </row>
    <row r="927" spans="1:6" ht="15" hidden="1" customHeight="1" x14ac:dyDescent="0.25">
      <c r="A927" t="s">
        <v>73</v>
      </c>
      <c r="B927" t="s">
        <v>58</v>
      </c>
      <c r="C927">
        <v>2</v>
      </c>
      <c r="D927" t="s">
        <v>37</v>
      </c>
      <c r="E927">
        <v>0</v>
      </c>
      <c r="F927" t="s">
        <v>83</v>
      </c>
    </row>
    <row r="928" spans="1:6" ht="15" hidden="1" customHeight="1" x14ac:dyDescent="0.25">
      <c r="A928" t="s">
        <v>73</v>
      </c>
      <c r="B928" t="s">
        <v>58</v>
      </c>
      <c r="C928">
        <v>3</v>
      </c>
      <c r="D928" t="s">
        <v>41</v>
      </c>
      <c r="E928">
        <v>0</v>
      </c>
      <c r="F928" t="s">
        <v>83</v>
      </c>
    </row>
    <row r="929" spans="1:6" ht="15" hidden="1" customHeight="1" x14ac:dyDescent="0.25">
      <c r="A929" t="s">
        <v>73</v>
      </c>
      <c r="B929" t="s">
        <v>58</v>
      </c>
      <c r="C929">
        <v>4</v>
      </c>
      <c r="D929" t="s">
        <v>45</v>
      </c>
      <c r="E929">
        <v>0</v>
      </c>
      <c r="F929" t="s">
        <v>83</v>
      </c>
    </row>
    <row r="930" spans="1:6" ht="15" hidden="1" customHeight="1" x14ac:dyDescent="0.25">
      <c r="A930" t="s">
        <v>73</v>
      </c>
      <c r="B930" t="s">
        <v>58</v>
      </c>
      <c r="C930">
        <v>5</v>
      </c>
      <c r="D930" t="s">
        <v>7</v>
      </c>
      <c r="E930">
        <v>0</v>
      </c>
      <c r="F930" t="s">
        <v>83</v>
      </c>
    </row>
    <row r="931" spans="1:6" ht="15" hidden="1" customHeight="1" x14ac:dyDescent="0.25">
      <c r="A931" t="s">
        <v>73</v>
      </c>
      <c r="B931" t="s">
        <v>58</v>
      </c>
      <c r="C931">
        <v>6</v>
      </c>
      <c r="D931" t="s">
        <v>53</v>
      </c>
      <c r="E931">
        <v>0</v>
      </c>
      <c r="F931" t="s">
        <v>83</v>
      </c>
    </row>
    <row r="932" spans="1:6" ht="15" hidden="1" customHeight="1" x14ac:dyDescent="0.25">
      <c r="A932" t="s">
        <v>73</v>
      </c>
      <c r="B932" t="s">
        <v>58</v>
      </c>
      <c r="C932">
        <v>7</v>
      </c>
      <c r="D932" t="s">
        <v>56</v>
      </c>
      <c r="E932">
        <v>0</v>
      </c>
      <c r="F932" t="s">
        <v>83</v>
      </c>
    </row>
    <row r="933" spans="1:6" ht="15" hidden="1" customHeight="1" x14ac:dyDescent="0.25">
      <c r="A933" t="s">
        <v>73</v>
      </c>
      <c r="B933" t="s">
        <v>58</v>
      </c>
      <c r="C933">
        <v>8</v>
      </c>
      <c r="D933" t="s">
        <v>60</v>
      </c>
      <c r="E933">
        <v>0</v>
      </c>
      <c r="F933" t="s">
        <v>83</v>
      </c>
    </row>
    <row r="934" spans="1:6" ht="15" hidden="1" customHeight="1" x14ac:dyDescent="0.25">
      <c r="A934" t="s">
        <v>73</v>
      </c>
      <c r="B934" t="s">
        <v>58</v>
      </c>
      <c r="C934">
        <v>9</v>
      </c>
      <c r="D934" t="s">
        <v>63</v>
      </c>
      <c r="E934">
        <v>0</v>
      </c>
      <c r="F934" t="s">
        <v>83</v>
      </c>
    </row>
    <row r="935" spans="1:6" ht="15" hidden="1" customHeight="1" x14ac:dyDescent="0.25">
      <c r="A935" t="s">
        <v>73</v>
      </c>
      <c r="B935" t="s">
        <v>58</v>
      </c>
      <c r="C935">
        <v>10</v>
      </c>
      <c r="D935" t="s">
        <v>65</v>
      </c>
      <c r="E935">
        <v>0</v>
      </c>
      <c r="F935" t="s">
        <v>83</v>
      </c>
    </row>
    <row r="936" spans="1:6" ht="15" hidden="1" customHeight="1" x14ac:dyDescent="0.25">
      <c r="A936" t="s">
        <v>73</v>
      </c>
      <c r="B936" t="s">
        <v>58</v>
      </c>
      <c r="C936">
        <v>11</v>
      </c>
      <c r="D936" t="s">
        <v>67</v>
      </c>
      <c r="E936">
        <v>0</v>
      </c>
      <c r="F936" t="s">
        <v>83</v>
      </c>
    </row>
    <row r="937" spans="1:6" ht="15" hidden="1" customHeight="1" x14ac:dyDescent="0.25">
      <c r="A937" t="s">
        <v>73</v>
      </c>
      <c r="B937" t="s">
        <v>58</v>
      </c>
      <c r="C937">
        <v>12</v>
      </c>
      <c r="D937" t="s">
        <v>70</v>
      </c>
      <c r="E937">
        <v>0</v>
      </c>
      <c r="F937" t="s">
        <v>83</v>
      </c>
    </row>
    <row r="938" spans="1:6" ht="15" customHeight="1" x14ac:dyDescent="0.25">
      <c r="A938" t="s">
        <v>74</v>
      </c>
      <c r="B938" t="s">
        <v>39</v>
      </c>
      <c r="C938">
        <v>1</v>
      </c>
      <c r="D938" t="s">
        <v>35</v>
      </c>
      <c r="E938">
        <v>0</v>
      </c>
      <c r="F938" t="s">
        <v>44</v>
      </c>
    </row>
    <row r="939" spans="1:6" ht="15" hidden="1" customHeight="1" x14ac:dyDescent="0.25">
      <c r="A939" t="s">
        <v>74</v>
      </c>
      <c r="B939" t="s">
        <v>39</v>
      </c>
      <c r="C939">
        <v>2</v>
      </c>
      <c r="D939" t="s">
        <v>37</v>
      </c>
      <c r="E939">
        <v>0</v>
      </c>
      <c r="F939" t="s">
        <v>44</v>
      </c>
    </row>
    <row r="940" spans="1:6" ht="15" hidden="1" customHeight="1" x14ac:dyDescent="0.25">
      <c r="A940" t="s">
        <v>74</v>
      </c>
      <c r="B940" t="s">
        <v>39</v>
      </c>
      <c r="C940">
        <v>3</v>
      </c>
      <c r="D940" t="s">
        <v>41</v>
      </c>
      <c r="E940">
        <v>13.4375</v>
      </c>
      <c r="F940" t="s">
        <v>44</v>
      </c>
    </row>
    <row r="941" spans="1:6" ht="15" hidden="1" customHeight="1" x14ac:dyDescent="0.25">
      <c r="A941" t="s">
        <v>74</v>
      </c>
      <c r="B941" t="s">
        <v>39</v>
      </c>
      <c r="C941">
        <v>4</v>
      </c>
      <c r="D941" t="s">
        <v>45</v>
      </c>
      <c r="E941">
        <v>0</v>
      </c>
      <c r="F941" t="s">
        <v>44</v>
      </c>
    </row>
    <row r="942" spans="1:6" ht="15" hidden="1" customHeight="1" x14ac:dyDescent="0.25">
      <c r="A942" t="s">
        <v>74</v>
      </c>
      <c r="B942" t="s">
        <v>39</v>
      </c>
      <c r="C942">
        <v>5</v>
      </c>
      <c r="D942" t="s">
        <v>7</v>
      </c>
      <c r="E942">
        <v>0</v>
      </c>
      <c r="F942" t="s">
        <v>44</v>
      </c>
    </row>
    <row r="943" spans="1:6" ht="15" hidden="1" customHeight="1" x14ac:dyDescent="0.25">
      <c r="A943" t="s">
        <v>74</v>
      </c>
      <c r="B943" t="s">
        <v>39</v>
      </c>
      <c r="C943">
        <v>6</v>
      </c>
      <c r="D943" t="s">
        <v>53</v>
      </c>
      <c r="E943">
        <v>0</v>
      </c>
      <c r="F943" t="s">
        <v>44</v>
      </c>
    </row>
    <row r="944" spans="1:6" ht="15" hidden="1" customHeight="1" x14ac:dyDescent="0.25">
      <c r="A944" t="s">
        <v>74</v>
      </c>
      <c r="B944" t="s">
        <v>39</v>
      </c>
      <c r="C944">
        <v>7</v>
      </c>
      <c r="D944" t="s">
        <v>56</v>
      </c>
      <c r="E944">
        <v>0</v>
      </c>
      <c r="F944" t="s">
        <v>44</v>
      </c>
    </row>
    <row r="945" spans="1:6" ht="15" hidden="1" customHeight="1" x14ac:dyDescent="0.25">
      <c r="A945" t="s">
        <v>74</v>
      </c>
      <c r="B945" t="s">
        <v>39</v>
      </c>
      <c r="C945">
        <v>8</v>
      </c>
      <c r="D945" t="s">
        <v>60</v>
      </c>
      <c r="E945">
        <v>0</v>
      </c>
      <c r="F945" t="s">
        <v>44</v>
      </c>
    </row>
    <row r="946" spans="1:6" ht="15" hidden="1" customHeight="1" x14ac:dyDescent="0.25">
      <c r="A946" t="s">
        <v>74</v>
      </c>
      <c r="B946" t="s">
        <v>39</v>
      </c>
      <c r="C946">
        <v>9</v>
      </c>
      <c r="D946" t="s">
        <v>63</v>
      </c>
      <c r="E946">
        <v>0</v>
      </c>
      <c r="F946" t="s">
        <v>44</v>
      </c>
    </row>
    <row r="947" spans="1:6" ht="15" hidden="1" customHeight="1" x14ac:dyDescent="0.25">
      <c r="A947" t="s">
        <v>74</v>
      </c>
      <c r="B947" t="s">
        <v>39</v>
      </c>
      <c r="C947">
        <v>10</v>
      </c>
      <c r="D947" t="s">
        <v>65</v>
      </c>
      <c r="E947">
        <v>0</v>
      </c>
      <c r="F947" t="s">
        <v>44</v>
      </c>
    </row>
    <row r="948" spans="1:6" ht="15" hidden="1" customHeight="1" x14ac:dyDescent="0.25">
      <c r="A948" t="s">
        <v>74</v>
      </c>
      <c r="B948" t="s">
        <v>39</v>
      </c>
      <c r="C948">
        <v>11</v>
      </c>
      <c r="D948" t="s">
        <v>67</v>
      </c>
      <c r="E948">
        <v>13.4375</v>
      </c>
      <c r="F948" t="s">
        <v>44</v>
      </c>
    </row>
    <row r="949" spans="1:6" ht="15" hidden="1" customHeight="1" x14ac:dyDescent="0.25">
      <c r="A949" t="s">
        <v>74</v>
      </c>
      <c r="B949" t="s">
        <v>39</v>
      </c>
      <c r="C949">
        <v>12</v>
      </c>
      <c r="D949" t="s">
        <v>70</v>
      </c>
      <c r="E949">
        <v>0</v>
      </c>
      <c r="F949" t="s">
        <v>44</v>
      </c>
    </row>
    <row r="950" spans="1:6" ht="15" customHeight="1" x14ac:dyDescent="0.25">
      <c r="A950" t="s">
        <v>74</v>
      </c>
      <c r="B950" t="s">
        <v>43</v>
      </c>
      <c r="C950">
        <v>1</v>
      </c>
      <c r="D950" t="s">
        <v>35</v>
      </c>
      <c r="E950">
        <v>30.756</v>
      </c>
      <c r="F950" t="s">
        <v>44</v>
      </c>
    </row>
    <row r="951" spans="1:6" ht="15" hidden="1" customHeight="1" x14ac:dyDescent="0.25">
      <c r="A951" t="s">
        <v>74</v>
      </c>
      <c r="B951" t="s">
        <v>43</v>
      </c>
      <c r="C951">
        <v>2</v>
      </c>
      <c r="D951" t="s">
        <v>37</v>
      </c>
      <c r="E951">
        <v>120</v>
      </c>
      <c r="F951" t="s">
        <v>44</v>
      </c>
    </row>
    <row r="952" spans="1:6" ht="15" hidden="1" customHeight="1" x14ac:dyDescent="0.25">
      <c r="A952" t="s">
        <v>74</v>
      </c>
      <c r="B952" t="s">
        <v>43</v>
      </c>
      <c r="C952">
        <v>3</v>
      </c>
      <c r="D952" t="s">
        <v>41</v>
      </c>
      <c r="E952">
        <v>53.045000000000002</v>
      </c>
      <c r="F952" t="s">
        <v>44</v>
      </c>
    </row>
    <row r="953" spans="1:6" ht="15" hidden="1" customHeight="1" x14ac:dyDescent="0.25">
      <c r="A953" t="s">
        <v>74</v>
      </c>
      <c r="B953" t="s">
        <v>43</v>
      </c>
      <c r="C953">
        <v>4</v>
      </c>
      <c r="D953" t="s">
        <v>45</v>
      </c>
      <c r="E953">
        <v>71.44</v>
      </c>
      <c r="F953" t="s">
        <v>44</v>
      </c>
    </row>
    <row r="954" spans="1:6" ht="15" hidden="1" customHeight="1" x14ac:dyDescent="0.25">
      <c r="A954" t="s">
        <v>74</v>
      </c>
      <c r="B954" t="s">
        <v>43</v>
      </c>
      <c r="C954">
        <v>5</v>
      </c>
      <c r="D954" t="s">
        <v>7</v>
      </c>
      <c r="E954">
        <v>60.5</v>
      </c>
      <c r="F954" t="s">
        <v>44</v>
      </c>
    </row>
    <row r="955" spans="1:6" ht="15" hidden="1" customHeight="1" x14ac:dyDescent="0.25">
      <c r="A955" t="s">
        <v>74</v>
      </c>
      <c r="B955" t="s">
        <v>43</v>
      </c>
      <c r="C955">
        <v>6</v>
      </c>
      <c r="D955" t="s">
        <v>53</v>
      </c>
      <c r="E955">
        <v>112.375</v>
      </c>
      <c r="F955" t="s">
        <v>44</v>
      </c>
    </row>
    <row r="956" spans="1:6" ht="15" hidden="1" customHeight="1" x14ac:dyDescent="0.25">
      <c r="A956" t="s">
        <v>74</v>
      </c>
      <c r="B956" t="s">
        <v>43</v>
      </c>
      <c r="C956">
        <v>7</v>
      </c>
      <c r="D956" t="s">
        <v>56</v>
      </c>
      <c r="E956">
        <v>19.5</v>
      </c>
      <c r="F956" t="s">
        <v>44</v>
      </c>
    </row>
    <row r="957" spans="1:6" ht="15" hidden="1" customHeight="1" x14ac:dyDescent="0.25">
      <c r="A957" t="s">
        <v>74</v>
      </c>
      <c r="B957" t="s">
        <v>43</v>
      </c>
      <c r="C957">
        <v>8</v>
      </c>
      <c r="D957" t="s">
        <v>60</v>
      </c>
      <c r="E957">
        <v>0</v>
      </c>
      <c r="F957" t="s">
        <v>44</v>
      </c>
    </row>
    <row r="958" spans="1:6" ht="15" hidden="1" customHeight="1" x14ac:dyDescent="0.25">
      <c r="A958" t="s">
        <v>74</v>
      </c>
      <c r="B958" t="s">
        <v>43</v>
      </c>
      <c r="C958">
        <v>9</v>
      </c>
      <c r="D958" t="s">
        <v>63</v>
      </c>
      <c r="E958">
        <v>100.575</v>
      </c>
      <c r="F958" t="s">
        <v>44</v>
      </c>
    </row>
    <row r="959" spans="1:6" ht="15" hidden="1" customHeight="1" x14ac:dyDescent="0.25">
      <c r="A959" t="s">
        <v>74</v>
      </c>
      <c r="B959" t="s">
        <v>43</v>
      </c>
      <c r="C959">
        <v>10</v>
      </c>
      <c r="D959" t="s">
        <v>65</v>
      </c>
      <c r="E959">
        <v>80.5</v>
      </c>
      <c r="F959" t="s">
        <v>44</v>
      </c>
    </row>
    <row r="960" spans="1:6" ht="15" hidden="1" customHeight="1" x14ac:dyDescent="0.25">
      <c r="A960" t="s">
        <v>74</v>
      </c>
      <c r="B960" t="s">
        <v>43</v>
      </c>
      <c r="C960">
        <v>11</v>
      </c>
      <c r="D960" t="s">
        <v>67</v>
      </c>
      <c r="E960">
        <v>75.94</v>
      </c>
      <c r="F960" t="s">
        <v>44</v>
      </c>
    </row>
    <row r="961" spans="1:6" ht="15" hidden="1" customHeight="1" x14ac:dyDescent="0.25">
      <c r="A961" t="s">
        <v>74</v>
      </c>
      <c r="B961" t="s">
        <v>43</v>
      </c>
      <c r="C961">
        <v>12</v>
      </c>
      <c r="D961" t="s">
        <v>70</v>
      </c>
      <c r="E961">
        <v>18.5</v>
      </c>
      <c r="F961" t="s">
        <v>44</v>
      </c>
    </row>
    <row r="962" spans="1:6" ht="15" customHeight="1" x14ac:dyDescent="0.25">
      <c r="A962" t="s">
        <v>74</v>
      </c>
      <c r="B962" t="s">
        <v>47</v>
      </c>
      <c r="C962">
        <v>1</v>
      </c>
      <c r="D962" t="s">
        <v>35</v>
      </c>
      <c r="E962">
        <v>0</v>
      </c>
      <c r="F962" t="s">
        <v>44</v>
      </c>
    </row>
    <row r="963" spans="1:6" ht="15" hidden="1" customHeight="1" x14ac:dyDescent="0.25">
      <c r="A963" t="s">
        <v>74</v>
      </c>
      <c r="B963" t="s">
        <v>47</v>
      </c>
      <c r="C963">
        <v>2</v>
      </c>
      <c r="D963" t="s">
        <v>37</v>
      </c>
      <c r="E963">
        <v>0</v>
      </c>
      <c r="F963" t="s">
        <v>44</v>
      </c>
    </row>
    <row r="964" spans="1:6" ht="15" hidden="1" customHeight="1" x14ac:dyDescent="0.25">
      <c r="A964" t="s">
        <v>74</v>
      </c>
      <c r="B964" t="s">
        <v>47</v>
      </c>
      <c r="C964">
        <v>3</v>
      </c>
      <c r="D964" t="s">
        <v>41</v>
      </c>
      <c r="E964">
        <v>0.18049999999999999</v>
      </c>
      <c r="F964" t="s">
        <v>44</v>
      </c>
    </row>
    <row r="965" spans="1:6" ht="15" hidden="1" customHeight="1" x14ac:dyDescent="0.25">
      <c r="A965" t="s">
        <v>74</v>
      </c>
      <c r="B965" t="s">
        <v>47</v>
      </c>
      <c r="C965">
        <v>4</v>
      </c>
      <c r="D965" t="s">
        <v>45</v>
      </c>
      <c r="E965">
        <v>0</v>
      </c>
      <c r="F965" t="s">
        <v>44</v>
      </c>
    </row>
    <row r="966" spans="1:6" ht="15" hidden="1" customHeight="1" x14ac:dyDescent="0.25">
      <c r="A966" t="s">
        <v>74</v>
      </c>
      <c r="B966" t="s">
        <v>47</v>
      </c>
      <c r="C966">
        <v>5</v>
      </c>
      <c r="D966" t="s">
        <v>7</v>
      </c>
      <c r="E966">
        <v>0</v>
      </c>
      <c r="F966" t="s">
        <v>44</v>
      </c>
    </row>
    <row r="967" spans="1:6" ht="15" hidden="1" customHeight="1" x14ac:dyDescent="0.25">
      <c r="A967" t="s">
        <v>74</v>
      </c>
      <c r="B967" t="s">
        <v>47</v>
      </c>
      <c r="C967">
        <v>6</v>
      </c>
      <c r="D967" t="s">
        <v>53</v>
      </c>
      <c r="E967">
        <v>0</v>
      </c>
      <c r="F967" t="s">
        <v>44</v>
      </c>
    </row>
    <row r="968" spans="1:6" ht="15" hidden="1" customHeight="1" x14ac:dyDescent="0.25">
      <c r="A968" t="s">
        <v>74</v>
      </c>
      <c r="B968" t="s">
        <v>47</v>
      </c>
      <c r="C968">
        <v>7</v>
      </c>
      <c r="D968" t="s">
        <v>56</v>
      </c>
      <c r="E968">
        <v>0</v>
      </c>
      <c r="F968" t="s">
        <v>44</v>
      </c>
    </row>
    <row r="969" spans="1:6" ht="15" hidden="1" customHeight="1" x14ac:dyDescent="0.25">
      <c r="A969" t="s">
        <v>74</v>
      </c>
      <c r="B969" t="s">
        <v>47</v>
      </c>
      <c r="C969">
        <v>8</v>
      </c>
      <c r="D969" t="s">
        <v>60</v>
      </c>
      <c r="E969">
        <v>0</v>
      </c>
      <c r="F969" t="s">
        <v>44</v>
      </c>
    </row>
    <row r="970" spans="1:6" ht="15" hidden="1" customHeight="1" x14ac:dyDescent="0.25">
      <c r="A970" t="s">
        <v>74</v>
      </c>
      <c r="B970" t="s">
        <v>47</v>
      </c>
      <c r="C970">
        <v>9</v>
      </c>
      <c r="D970" t="s">
        <v>63</v>
      </c>
      <c r="E970">
        <v>0</v>
      </c>
      <c r="F970" t="s">
        <v>44</v>
      </c>
    </row>
    <row r="971" spans="1:6" ht="15" hidden="1" customHeight="1" x14ac:dyDescent="0.25">
      <c r="A971" t="s">
        <v>74</v>
      </c>
      <c r="B971" t="s">
        <v>47</v>
      </c>
      <c r="C971">
        <v>10</v>
      </c>
      <c r="D971" t="s">
        <v>65</v>
      </c>
      <c r="E971">
        <v>0</v>
      </c>
      <c r="F971" t="s">
        <v>44</v>
      </c>
    </row>
    <row r="972" spans="1:6" ht="15" hidden="1" customHeight="1" x14ac:dyDescent="0.25">
      <c r="A972" t="s">
        <v>74</v>
      </c>
      <c r="B972" t="s">
        <v>47</v>
      </c>
      <c r="C972">
        <v>11</v>
      </c>
      <c r="D972" t="s">
        <v>67</v>
      </c>
      <c r="E972">
        <v>0</v>
      </c>
      <c r="F972" t="s">
        <v>44</v>
      </c>
    </row>
    <row r="973" spans="1:6" ht="15" hidden="1" customHeight="1" x14ac:dyDescent="0.25">
      <c r="A973" t="s">
        <v>74</v>
      </c>
      <c r="B973" t="s">
        <v>47</v>
      </c>
      <c r="C973">
        <v>12</v>
      </c>
      <c r="D973" t="s">
        <v>70</v>
      </c>
      <c r="E973">
        <v>0</v>
      </c>
      <c r="F973" t="s">
        <v>44</v>
      </c>
    </row>
    <row r="974" spans="1:6" ht="15" customHeight="1" x14ac:dyDescent="0.25">
      <c r="A974" t="s">
        <v>74</v>
      </c>
      <c r="B974" t="s">
        <v>51</v>
      </c>
      <c r="C974">
        <v>1</v>
      </c>
      <c r="D974" t="s">
        <v>35</v>
      </c>
      <c r="E974">
        <v>0</v>
      </c>
      <c r="F974" t="s">
        <v>44</v>
      </c>
    </row>
    <row r="975" spans="1:6" ht="15" hidden="1" customHeight="1" x14ac:dyDescent="0.25">
      <c r="A975" t="s">
        <v>74</v>
      </c>
      <c r="B975" t="s">
        <v>51</v>
      </c>
      <c r="C975">
        <v>2</v>
      </c>
      <c r="D975" t="s">
        <v>37</v>
      </c>
      <c r="E975">
        <v>2.7</v>
      </c>
      <c r="F975" t="s">
        <v>44</v>
      </c>
    </row>
    <row r="976" spans="1:6" ht="15" hidden="1" customHeight="1" x14ac:dyDescent="0.25">
      <c r="A976" t="s">
        <v>74</v>
      </c>
      <c r="B976" t="s">
        <v>51</v>
      </c>
      <c r="C976">
        <v>3</v>
      </c>
      <c r="D976" t="s">
        <v>41</v>
      </c>
      <c r="E976">
        <v>0</v>
      </c>
      <c r="F976" t="s">
        <v>44</v>
      </c>
    </row>
    <row r="977" spans="1:6" ht="15" hidden="1" customHeight="1" x14ac:dyDescent="0.25">
      <c r="A977" t="s">
        <v>74</v>
      </c>
      <c r="B977" t="s">
        <v>51</v>
      </c>
      <c r="C977">
        <v>4</v>
      </c>
      <c r="D977" t="s">
        <v>45</v>
      </c>
      <c r="E977">
        <v>0</v>
      </c>
      <c r="F977" t="s">
        <v>44</v>
      </c>
    </row>
    <row r="978" spans="1:6" ht="15" hidden="1" customHeight="1" x14ac:dyDescent="0.25">
      <c r="A978" t="s">
        <v>74</v>
      </c>
      <c r="B978" t="s">
        <v>51</v>
      </c>
      <c r="C978">
        <v>5</v>
      </c>
      <c r="D978" t="s">
        <v>7</v>
      </c>
      <c r="E978">
        <v>0</v>
      </c>
      <c r="F978" t="s">
        <v>44</v>
      </c>
    </row>
    <row r="979" spans="1:6" ht="15" hidden="1" customHeight="1" x14ac:dyDescent="0.25">
      <c r="A979" t="s">
        <v>74</v>
      </c>
      <c r="B979" t="s">
        <v>51</v>
      </c>
      <c r="C979">
        <v>6</v>
      </c>
      <c r="D979" t="s">
        <v>53</v>
      </c>
      <c r="E979">
        <v>0</v>
      </c>
      <c r="F979" t="s">
        <v>44</v>
      </c>
    </row>
    <row r="980" spans="1:6" ht="15" hidden="1" customHeight="1" x14ac:dyDescent="0.25">
      <c r="A980" t="s">
        <v>74</v>
      </c>
      <c r="B980" t="s">
        <v>51</v>
      </c>
      <c r="C980">
        <v>7</v>
      </c>
      <c r="D980" t="s">
        <v>56</v>
      </c>
      <c r="E980">
        <v>0</v>
      </c>
      <c r="F980" t="s">
        <v>44</v>
      </c>
    </row>
    <row r="981" spans="1:6" ht="15" hidden="1" customHeight="1" x14ac:dyDescent="0.25">
      <c r="A981" t="s">
        <v>74</v>
      </c>
      <c r="B981" t="s">
        <v>51</v>
      </c>
      <c r="C981">
        <v>8</v>
      </c>
      <c r="D981" t="s">
        <v>60</v>
      </c>
      <c r="E981">
        <v>0</v>
      </c>
      <c r="F981" t="s">
        <v>44</v>
      </c>
    </row>
    <row r="982" spans="1:6" ht="15" hidden="1" customHeight="1" x14ac:dyDescent="0.25">
      <c r="A982" t="s">
        <v>74</v>
      </c>
      <c r="B982" t="s">
        <v>51</v>
      </c>
      <c r="C982">
        <v>9</v>
      </c>
      <c r="D982" t="s">
        <v>63</v>
      </c>
      <c r="E982">
        <v>0</v>
      </c>
      <c r="F982" t="s">
        <v>44</v>
      </c>
    </row>
    <row r="983" spans="1:6" ht="15" hidden="1" customHeight="1" x14ac:dyDescent="0.25">
      <c r="A983" t="s">
        <v>74</v>
      </c>
      <c r="B983" t="s">
        <v>51</v>
      </c>
      <c r="C983">
        <v>10</v>
      </c>
      <c r="D983" t="s">
        <v>65</v>
      </c>
      <c r="E983">
        <v>0</v>
      </c>
      <c r="F983" t="s">
        <v>44</v>
      </c>
    </row>
    <row r="984" spans="1:6" ht="15" hidden="1" customHeight="1" x14ac:dyDescent="0.25">
      <c r="A984" t="s">
        <v>74</v>
      </c>
      <c r="B984" t="s">
        <v>51</v>
      </c>
      <c r="C984">
        <v>11</v>
      </c>
      <c r="D984" t="s">
        <v>67</v>
      </c>
      <c r="E984">
        <v>0</v>
      </c>
      <c r="F984" t="s">
        <v>44</v>
      </c>
    </row>
    <row r="985" spans="1:6" ht="15" hidden="1" customHeight="1" x14ac:dyDescent="0.25">
      <c r="A985" t="s">
        <v>74</v>
      </c>
      <c r="B985" t="s">
        <v>51</v>
      </c>
      <c r="C985">
        <v>12</v>
      </c>
      <c r="D985" t="s">
        <v>70</v>
      </c>
      <c r="E985">
        <v>0</v>
      </c>
      <c r="F985" t="s">
        <v>44</v>
      </c>
    </row>
    <row r="986" spans="1:6" ht="15" customHeight="1" x14ac:dyDescent="0.25">
      <c r="A986" t="s">
        <v>74</v>
      </c>
      <c r="B986" t="s">
        <v>55</v>
      </c>
      <c r="C986">
        <v>1</v>
      </c>
      <c r="D986" t="s">
        <v>35</v>
      </c>
      <c r="E986">
        <v>0</v>
      </c>
      <c r="F986" t="s">
        <v>44</v>
      </c>
    </row>
    <row r="987" spans="1:6" ht="15" hidden="1" customHeight="1" x14ac:dyDescent="0.25">
      <c r="A987" t="s">
        <v>74</v>
      </c>
      <c r="B987" t="s">
        <v>55</v>
      </c>
      <c r="C987">
        <v>2</v>
      </c>
      <c r="D987" t="s">
        <v>37</v>
      </c>
      <c r="E987">
        <v>0</v>
      </c>
      <c r="F987" t="s">
        <v>44</v>
      </c>
    </row>
    <row r="988" spans="1:6" ht="15" hidden="1" customHeight="1" x14ac:dyDescent="0.25">
      <c r="A988" t="s">
        <v>74</v>
      </c>
      <c r="B988" t="s">
        <v>55</v>
      </c>
      <c r="C988">
        <v>3</v>
      </c>
      <c r="D988" t="s">
        <v>41</v>
      </c>
      <c r="E988">
        <v>130.19999999999999</v>
      </c>
      <c r="F988" t="s">
        <v>44</v>
      </c>
    </row>
    <row r="989" spans="1:6" ht="15" hidden="1" customHeight="1" x14ac:dyDescent="0.25">
      <c r="A989" t="s">
        <v>74</v>
      </c>
      <c r="B989" t="s">
        <v>55</v>
      </c>
      <c r="C989">
        <v>4</v>
      </c>
      <c r="D989" t="s">
        <v>45</v>
      </c>
      <c r="E989">
        <v>35</v>
      </c>
      <c r="F989" t="s">
        <v>44</v>
      </c>
    </row>
    <row r="990" spans="1:6" ht="15" hidden="1" customHeight="1" x14ac:dyDescent="0.25">
      <c r="A990" t="s">
        <v>74</v>
      </c>
      <c r="B990" t="s">
        <v>55</v>
      </c>
      <c r="C990">
        <v>5</v>
      </c>
      <c r="D990" t="s">
        <v>7</v>
      </c>
      <c r="E990">
        <v>0</v>
      </c>
      <c r="F990" t="s">
        <v>44</v>
      </c>
    </row>
    <row r="991" spans="1:6" ht="15" hidden="1" customHeight="1" x14ac:dyDescent="0.25">
      <c r="A991" t="s">
        <v>74</v>
      </c>
      <c r="B991" t="s">
        <v>55</v>
      </c>
      <c r="C991">
        <v>6</v>
      </c>
      <c r="D991" t="s">
        <v>53</v>
      </c>
      <c r="E991">
        <v>69.3</v>
      </c>
      <c r="F991" t="s">
        <v>44</v>
      </c>
    </row>
    <row r="992" spans="1:6" ht="15" hidden="1" customHeight="1" x14ac:dyDescent="0.25">
      <c r="A992" t="s">
        <v>74</v>
      </c>
      <c r="B992" t="s">
        <v>55</v>
      </c>
      <c r="C992">
        <v>7</v>
      </c>
      <c r="D992" t="s">
        <v>56</v>
      </c>
      <c r="E992">
        <v>60.9</v>
      </c>
      <c r="F992" t="s">
        <v>44</v>
      </c>
    </row>
    <row r="993" spans="1:6" ht="15" hidden="1" customHeight="1" x14ac:dyDescent="0.25">
      <c r="A993" t="s">
        <v>74</v>
      </c>
      <c r="B993" t="s">
        <v>55</v>
      </c>
      <c r="C993">
        <v>8</v>
      </c>
      <c r="D993" t="s">
        <v>60</v>
      </c>
      <c r="E993">
        <v>0</v>
      </c>
      <c r="F993" t="s">
        <v>44</v>
      </c>
    </row>
    <row r="994" spans="1:6" ht="15" hidden="1" customHeight="1" x14ac:dyDescent="0.25">
      <c r="A994" t="s">
        <v>74</v>
      </c>
      <c r="B994" t="s">
        <v>55</v>
      </c>
      <c r="C994">
        <v>9</v>
      </c>
      <c r="D994" t="s">
        <v>63</v>
      </c>
      <c r="E994">
        <v>0</v>
      </c>
      <c r="F994" t="s">
        <v>44</v>
      </c>
    </row>
    <row r="995" spans="1:6" ht="15" hidden="1" customHeight="1" x14ac:dyDescent="0.25">
      <c r="A995" t="s">
        <v>74</v>
      </c>
      <c r="B995" t="s">
        <v>55</v>
      </c>
      <c r="C995">
        <v>10</v>
      </c>
      <c r="D995" t="s">
        <v>65</v>
      </c>
      <c r="E995">
        <v>0</v>
      </c>
      <c r="F995" t="s">
        <v>44</v>
      </c>
    </row>
    <row r="996" spans="1:6" ht="15" hidden="1" customHeight="1" x14ac:dyDescent="0.25">
      <c r="A996" t="s">
        <v>74</v>
      </c>
      <c r="B996" t="s">
        <v>55</v>
      </c>
      <c r="C996">
        <v>11</v>
      </c>
      <c r="D996" t="s">
        <v>67</v>
      </c>
      <c r="E996">
        <v>130.19999999999999</v>
      </c>
      <c r="F996" t="s">
        <v>44</v>
      </c>
    </row>
    <row r="997" spans="1:6" ht="15" hidden="1" customHeight="1" x14ac:dyDescent="0.25">
      <c r="A997" t="s">
        <v>74</v>
      </c>
      <c r="B997" t="s">
        <v>55</v>
      </c>
      <c r="C997">
        <v>12</v>
      </c>
      <c r="D997" t="s">
        <v>70</v>
      </c>
      <c r="E997">
        <v>0</v>
      </c>
      <c r="F997" t="s">
        <v>44</v>
      </c>
    </row>
    <row r="998" spans="1:6" ht="15" customHeight="1" x14ac:dyDescent="0.25">
      <c r="A998" t="s">
        <v>74</v>
      </c>
      <c r="B998" t="s">
        <v>58</v>
      </c>
      <c r="C998">
        <v>1</v>
      </c>
      <c r="D998" t="s">
        <v>35</v>
      </c>
      <c r="E998">
        <v>0</v>
      </c>
      <c r="F998" t="s">
        <v>44</v>
      </c>
    </row>
    <row r="999" spans="1:6" ht="15" hidden="1" customHeight="1" x14ac:dyDescent="0.25">
      <c r="A999" t="s">
        <v>74</v>
      </c>
      <c r="B999" t="s">
        <v>58</v>
      </c>
      <c r="C999">
        <v>2</v>
      </c>
      <c r="D999" t="s">
        <v>37</v>
      </c>
      <c r="E999">
        <v>0</v>
      </c>
      <c r="F999" t="s">
        <v>44</v>
      </c>
    </row>
    <row r="1000" spans="1:6" ht="15" hidden="1" customHeight="1" x14ac:dyDescent="0.25">
      <c r="A1000" t="s">
        <v>74</v>
      </c>
      <c r="B1000" t="s">
        <v>58</v>
      </c>
      <c r="C1000">
        <v>3</v>
      </c>
      <c r="D1000" t="s">
        <v>41</v>
      </c>
      <c r="E1000">
        <v>0</v>
      </c>
      <c r="F1000" t="s">
        <v>44</v>
      </c>
    </row>
    <row r="1001" spans="1:6" ht="15" hidden="1" customHeight="1" x14ac:dyDescent="0.25">
      <c r="A1001" t="s">
        <v>74</v>
      </c>
      <c r="B1001" t="s">
        <v>58</v>
      </c>
      <c r="C1001">
        <v>4</v>
      </c>
      <c r="D1001" t="s">
        <v>45</v>
      </c>
      <c r="E1001">
        <v>0</v>
      </c>
      <c r="F1001" t="s">
        <v>44</v>
      </c>
    </row>
    <row r="1002" spans="1:6" ht="15" hidden="1" customHeight="1" x14ac:dyDescent="0.25">
      <c r="A1002" t="s">
        <v>74</v>
      </c>
      <c r="B1002" t="s">
        <v>58</v>
      </c>
      <c r="C1002">
        <v>5</v>
      </c>
      <c r="D1002" t="s">
        <v>7</v>
      </c>
      <c r="E1002">
        <v>0</v>
      </c>
      <c r="F1002" t="s">
        <v>44</v>
      </c>
    </row>
    <row r="1003" spans="1:6" ht="15" hidden="1" customHeight="1" x14ac:dyDescent="0.25">
      <c r="A1003" t="s">
        <v>74</v>
      </c>
      <c r="B1003" t="s">
        <v>58</v>
      </c>
      <c r="C1003">
        <v>6</v>
      </c>
      <c r="D1003" t="s">
        <v>53</v>
      </c>
      <c r="E1003">
        <v>0</v>
      </c>
      <c r="F1003" t="s">
        <v>44</v>
      </c>
    </row>
    <row r="1004" spans="1:6" ht="15" hidden="1" customHeight="1" x14ac:dyDescent="0.25">
      <c r="A1004" t="s">
        <v>74</v>
      </c>
      <c r="B1004" t="s">
        <v>58</v>
      </c>
      <c r="C1004">
        <v>7</v>
      </c>
      <c r="D1004" t="s">
        <v>56</v>
      </c>
      <c r="E1004">
        <v>0</v>
      </c>
      <c r="F1004" t="s">
        <v>44</v>
      </c>
    </row>
    <row r="1005" spans="1:6" ht="15" hidden="1" customHeight="1" x14ac:dyDescent="0.25">
      <c r="A1005" t="s">
        <v>74</v>
      </c>
      <c r="B1005" t="s">
        <v>58</v>
      </c>
      <c r="C1005">
        <v>8</v>
      </c>
      <c r="D1005" t="s">
        <v>60</v>
      </c>
      <c r="E1005">
        <v>0</v>
      </c>
      <c r="F1005" t="s">
        <v>44</v>
      </c>
    </row>
    <row r="1006" spans="1:6" ht="15" hidden="1" customHeight="1" x14ac:dyDescent="0.25">
      <c r="A1006" t="s">
        <v>74</v>
      </c>
      <c r="B1006" t="s">
        <v>58</v>
      </c>
      <c r="C1006">
        <v>9</v>
      </c>
      <c r="D1006" t="s">
        <v>63</v>
      </c>
      <c r="E1006">
        <v>0</v>
      </c>
      <c r="F1006" t="s">
        <v>44</v>
      </c>
    </row>
    <row r="1007" spans="1:6" ht="15" hidden="1" customHeight="1" x14ac:dyDescent="0.25">
      <c r="A1007" t="s">
        <v>74</v>
      </c>
      <c r="B1007" t="s">
        <v>58</v>
      </c>
      <c r="C1007">
        <v>10</v>
      </c>
      <c r="D1007" t="s">
        <v>65</v>
      </c>
      <c r="E1007">
        <v>0</v>
      </c>
      <c r="F1007" t="s">
        <v>44</v>
      </c>
    </row>
    <row r="1008" spans="1:6" ht="15" hidden="1" customHeight="1" x14ac:dyDescent="0.25">
      <c r="A1008" t="s">
        <v>74</v>
      </c>
      <c r="B1008" t="s">
        <v>58</v>
      </c>
      <c r="C1008">
        <v>11</v>
      </c>
      <c r="D1008" t="s">
        <v>67</v>
      </c>
      <c r="E1008">
        <v>0</v>
      </c>
      <c r="F1008" t="s">
        <v>44</v>
      </c>
    </row>
    <row r="1009" spans="1:6" ht="15" hidden="1" customHeight="1" x14ac:dyDescent="0.25">
      <c r="A1009" t="s">
        <v>74</v>
      </c>
      <c r="B1009" t="s">
        <v>58</v>
      </c>
      <c r="C1009">
        <v>12</v>
      </c>
      <c r="D1009" t="s">
        <v>70</v>
      </c>
      <c r="E1009">
        <v>0</v>
      </c>
      <c r="F1009" t="s">
        <v>44</v>
      </c>
    </row>
    <row r="1010" spans="1:6" ht="15" customHeight="1" x14ac:dyDescent="0.25">
      <c r="A1010" t="s">
        <v>75</v>
      </c>
      <c r="B1010" t="s">
        <v>39</v>
      </c>
      <c r="C1010">
        <v>1</v>
      </c>
      <c r="D1010" t="s">
        <v>35</v>
      </c>
      <c r="E1010">
        <v>7.6</v>
      </c>
      <c r="F1010" t="s">
        <v>48</v>
      </c>
    </row>
    <row r="1011" spans="1:6" ht="15" hidden="1" customHeight="1" x14ac:dyDescent="0.25">
      <c r="A1011" t="s">
        <v>75</v>
      </c>
      <c r="B1011" t="s">
        <v>39</v>
      </c>
      <c r="C1011">
        <v>2</v>
      </c>
      <c r="D1011" t="s">
        <v>37</v>
      </c>
      <c r="E1011">
        <v>0</v>
      </c>
      <c r="F1011" t="s">
        <v>48</v>
      </c>
    </row>
    <row r="1012" spans="1:6" ht="15" hidden="1" customHeight="1" x14ac:dyDescent="0.25">
      <c r="A1012" t="s">
        <v>75</v>
      </c>
      <c r="B1012" t="s">
        <v>39</v>
      </c>
      <c r="C1012">
        <v>3</v>
      </c>
      <c r="D1012" t="s">
        <v>41</v>
      </c>
      <c r="E1012">
        <v>0</v>
      </c>
      <c r="F1012" t="s">
        <v>48</v>
      </c>
    </row>
    <row r="1013" spans="1:6" ht="15" hidden="1" customHeight="1" x14ac:dyDescent="0.25">
      <c r="A1013" t="s">
        <v>75</v>
      </c>
      <c r="B1013" t="s">
        <v>39</v>
      </c>
      <c r="C1013">
        <v>4</v>
      </c>
      <c r="D1013" t="s">
        <v>45</v>
      </c>
      <c r="E1013">
        <v>93.24</v>
      </c>
      <c r="F1013" t="s">
        <v>48</v>
      </c>
    </row>
    <row r="1014" spans="1:6" ht="15" hidden="1" customHeight="1" x14ac:dyDescent="0.25">
      <c r="A1014" t="s">
        <v>75</v>
      </c>
      <c r="B1014" t="s">
        <v>39</v>
      </c>
      <c r="C1014">
        <v>5</v>
      </c>
      <c r="D1014" t="s">
        <v>7</v>
      </c>
      <c r="E1014">
        <v>0</v>
      </c>
      <c r="F1014" t="s">
        <v>48</v>
      </c>
    </row>
    <row r="1015" spans="1:6" ht="15" hidden="1" customHeight="1" x14ac:dyDescent="0.25">
      <c r="A1015" t="s">
        <v>75</v>
      </c>
      <c r="B1015" t="s">
        <v>39</v>
      </c>
      <c r="C1015">
        <v>6</v>
      </c>
      <c r="D1015" t="s">
        <v>53</v>
      </c>
      <c r="E1015">
        <v>0</v>
      </c>
      <c r="F1015" t="s">
        <v>48</v>
      </c>
    </row>
    <row r="1016" spans="1:6" ht="15" hidden="1" customHeight="1" x14ac:dyDescent="0.25">
      <c r="A1016" t="s">
        <v>75</v>
      </c>
      <c r="B1016" t="s">
        <v>39</v>
      </c>
      <c r="C1016">
        <v>7</v>
      </c>
      <c r="D1016" t="s">
        <v>56</v>
      </c>
      <c r="E1016">
        <v>0</v>
      </c>
      <c r="F1016" t="s">
        <v>48</v>
      </c>
    </row>
    <row r="1017" spans="1:6" ht="15" hidden="1" customHeight="1" x14ac:dyDescent="0.25">
      <c r="A1017" t="s">
        <v>75</v>
      </c>
      <c r="B1017" t="s">
        <v>39</v>
      </c>
      <c r="C1017">
        <v>8</v>
      </c>
      <c r="D1017" t="s">
        <v>60</v>
      </c>
      <c r="E1017">
        <v>93.24</v>
      </c>
      <c r="F1017" t="s">
        <v>48</v>
      </c>
    </row>
    <row r="1018" spans="1:6" ht="15" hidden="1" customHeight="1" x14ac:dyDescent="0.25">
      <c r="A1018" t="s">
        <v>75</v>
      </c>
      <c r="B1018" t="s">
        <v>39</v>
      </c>
      <c r="C1018">
        <v>9</v>
      </c>
      <c r="D1018" t="s">
        <v>63</v>
      </c>
      <c r="E1018">
        <v>0</v>
      </c>
      <c r="F1018" t="s">
        <v>48</v>
      </c>
    </row>
    <row r="1019" spans="1:6" ht="15" hidden="1" customHeight="1" x14ac:dyDescent="0.25">
      <c r="A1019" t="s">
        <v>75</v>
      </c>
      <c r="B1019" t="s">
        <v>39</v>
      </c>
      <c r="C1019">
        <v>10</v>
      </c>
      <c r="D1019" t="s">
        <v>65</v>
      </c>
      <c r="E1019">
        <v>0</v>
      </c>
      <c r="F1019" t="s">
        <v>48</v>
      </c>
    </row>
    <row r="1020" spans="1:6" ht="15" hidden="1" customHeight="1" x14ac:dyDescent="0.25">
      <c r="A1020" t="s">
        <v>75</v>
      </c>
      <c r="B1020" t="s">
        <v>39</v>
      </c>
      <c r="C1020">
        <v>11</v>
      </c>
      <c r="D1020" t="s">
        <v>67</v>
      </c>
      <c r="E1020">
        <v>0</v>
      </c>
      <c r="F1020" t="s">
        <v>48</v>
      </c>
    </row>
    <row r="1021" spans="1:6" ht="15" hidden="1" customHeight="1" x14ac:dyDescent="0.25">
      <c r="A1021" t="s">
        <v>75</v>
      </c>
      <c r="B1021" t="s">
        <v>39</v>
      </c>
      <c r="C1021">
        <v>12</v>
      </c>
      <c r="D1021" t="s">
        <v>70</v>
      </c>
      <c r="E1021">
        <v>93.024000000000001</v>
      </c>
      <c r="F1021" t="s">
        <v>48</v>
      </c>
    </row>
    <row r="1022" spans="1:6" ht="15" customHeight="1" x14ac:dyDescent="0.25">
      <c r="A1022" t="s">
        <v>75</v>
      </c>
      <c r="B1022" t="s">
        <v>43</v>
      </c>
      <c r="C1022">
        <v>1</v>
      </c>
      <c r="D1022" t="s">
        <v>35</v>
      </c>
      <c r="E1022">
        <v>204.8408</v>
      </c>
      <c r="F1022" t="s">
        <v>48</v>
      </c>
    </row>
    <row r="1023" spans="1:6" ht="15" hidden="1" customHeight="1" x14ac:dyDescent="0.25">
      <c r="A1023" t="s">
        <v>75</v>
      </c>
      <c r="B1023" t="s">
        <v>43</v>
      </c>
      <c r="C1023">
        <v>2</v>
      </c>
      <c r="D1023" t="s">
        <v>37</v>
      </c>
      <c r="E1023">
        <v>132.28415000000001</v>
      </c>
      <c r="F1023" t="s">
        <v>48</v>
      </c>
    </row>
    <row r="1024" spans="1:6" ht="15" hidden="1" customHeight="1" x14ac:dyDescent="0.25">
      <c r="A1024" t="s">
        <v>75</v>
      </c>
      <c r="B1024" t="s">
        <v>43</v>
      </c>
      <c r="C1024">
        <v>3</v>
      </c>
      <c r="D1024" t="s">
        <v>41</v>
      </c>
      <c r="E1024">
        <v>170.25700000000001</v>
      </c>
      <c r="F1024" t="s">
        <v>48</v>
      </c>
    </row>
    <row r="1025" spans="1:6" ht="15" hidden="1" customHeight="1" x14ac:dyDescent="0.25">
      <c r="A1025" t="s">
        <v>75</v>
      </c>
      <c r="B1025" t="s">
        <v>43</v>
      </c>
      <c r="C1025">
        <v>4</v>
      </c>
      <c r="D1025" t="s">
        <v>45</v>
      </c>
      <c r="E1025">
        <v>295.79063000000002</v>
      </c>
      <c r="F1025" t="s">
        <v>48</v>
      </c>
    </row>
    <row r="1026" spans="1:6" ht="15" hidden="1" customHeight="1" x14ac:dyDescent="0.25">
      <c r="A1026" t="s">
        <v>75</v>
      </c>
      <c r="B1026" t="s">
        <v>43</v>
      </c>
      <c r="C1026">
        <v>5</v>
      </c>
      <c r="D1026" t="s">
        <v>7</v>
      </c>
      <c r="E1026">
        <v>286.75689999999997</v>
      </c>
      <c r="F1026" t="s">
        <v>48</v>
      </c>
    </row>
    <row r="1027" spans="1:6" ht="15" hidden="1" customHeight="1" x14ac:dyDescent="0.25">
      <c r="A1027" t="s">
        <v>75</v>
      </c>
      <c r="B1027" t="s">
        <v>43</v>
      </c>
      <c r="C1027">
        <v>6</v>
      </c>
      <c r="D1027" t="s">
        <v>53</v>
      </c>
      <c r="E1027">
        <v>356.61900000000003</v>
      </c>
      <c r="F1027" t="s">
        <v>48</v>
      </c>
    </row>
    <row r="1028" spans="1:6" ht="15" hidden="1" customHeight="1" x14ac:dyDescent="0.25">
      <c r="A1028" t="s">
        <v>75</v>
      </c>
      <c r="B1028" t="s">
        <v>43</v>
      </c>
      <c r="C1028">
        <v>7</v>
      </c>
      <c r="D1028" t="s">
        <v>56</v>
      </c>
      <c r="E1028">
        <v>94.081000000000003</v>
      </c>
      <c r="F1028" t="s">
        <v>48</v>
      </c>
    </row>
    <row r="1029" spans="1:6" ht="15" hidden="1" customHeight="1" x14ac:dyDescent="0.25">
      <c r="A1029" t="s">
        <v>75</v>
      </c>
      <c r="B1029" t="s">
        <v>43</v>
      </c>
      <c r="C1029">
        <v>8</v>
      </c>
      <c r="D1029" t="s">
        <v>60</v>
      </c>
      <c r="E1029">
        <v>55.262500000000003</v>
      </c>
      <c r="F1029" t="s">
        <v>48</v>
      </c>
    </row>
    <row r="1030" spans="1:6" ht="15" hidden="1" customHeight="1" x14ac:dyDescent="0.25">
      <c r="A1030" t="s">
        <v>75</v>
      </c>
      <c r="B1030" t="s">
        <v>43</v>
      </c>
      <c r="C1030">
        <v>9</v>
      </c>
      <c r="D1030" t="s">
        <v>63</v>
      </c>
      <c r="E1030">
        <v>281.09300000000002</v>
      </c>
      <c r="F1030" t="s">
        <v>48</v>
      </c>
    </row>
    <row r="1031" spans="1:6" ht="15" hidden="1" customHeight="1" x14ac:dyDescent="0.25">
      <c r="A1031" t="s">
        <v>75</v>
      </c>
      <c r="B1031" t="s">
        <v>43</v>
      </c>
      <c r="C1031">
        <v>10</v>
      </c>
      <c r="D1031" t="s">
        <v>65</v>
      </c>
      <c r="E1031">
        <v>203.90475000000001</v>
      </c>
      <c r="F1031" t="s">
        <v>48</v>
      </c>
    </row>
    <row r="1032" spans="1:6" ht="15" hidden="1" customHeight="1" x14ac:dyDescent="0.25">
      <c r="A1032" t="s">
        <v>75</v>
      </c>
      <c r="B1032" t="s">
        <v>43</v>
      </c>
      <c r="C1032">
        <v>11</v>
      </c>
      <c r="D1032" t="s">
        <v>67</v>
      </c>
      <c r="E1032">
        <v>434.97075000000001</v>
      </c>
      <c r="F1032" t="s">
        <v>48</v>
      </c>
    </row>
    <row r="1033" spans="1:6" ht="15" hidden="1" customHeight="1" x14ac:dyDescent="0.25">
      <c r="A1033" t="s">
        <v>75</v>
      </c>
      <c r="B1033" t="s">
        <v>43</v>
      </c>
      <c r="C1033">
        <v>12</v>
      </c>
      <c r="D1033" t="s">
        <v>70</v>
      </c>
      <c r="E1033">
        <v>273.88200000000001</v>
      </c>
      <c r="F1033" t="s">
        <v>48</v>
      </c>
    </row>
    <row r="1034" spans="1:6" ht="15" customHeight="1" x14ac:dyDescent="0.25">
      <c r="A1034" t="s">
        <v>75</v>
      </c>
      <c r="B1034" t="s">
        <v>47</v>
      </c>
      <c r="C1034">
        <v>1</v>
      </c>
      <c r="D1034" t="s">
        <v>35</v>
      </c>
      <c r="E1034">
        <v>0</v>
      </c>
      <c r="F1034" t="s">
        <v>48</v>
      </c>
    </row>
    <row r="1035" spans="1:6" ht="15" hidden="1" customHeight="1" x14ac:dyDescent="0.25">
      <c r="A1035" t="s">
        <v>75</v>
      </c>
      <c r="B1035" t="s">
        <v>47</v>
      </c>
      <c r="C1035">
        <v>2</v>
      </c>
      <c r="D1035" t="s">
        <v>37</v>
      </c>
      <c r="E1035">
        <v>10.465</v>
      </c>
      <c r="F1035" t="s">
        <v>48</v>
      </c>
    </row>
    <row r="1036" spans="1:6" ht="15" hidden="1" customHeight="1" x14ac:dyDescent="0.25">
      <c r="A1036" t="s">
        <v>75</v>
      </c>
      <c r="B1036" t="s">
        <v>47</v>
      </c>
      <c r="C1036">
        <v>3</v>
      </c>
      <c r="D1036" t="s">
        <v>41</v>
      </c>
      <c r="E1036">
        <v>0.28349999999999997</v>
      </c>
      <c r="F1036" t="s">
        <v>48</v>
      </c>
    </row>
    <row r="1037" spans="1:6" ht="15" hidden="1" customHeight="1" x14ac:dyDescent="0.25">
      <c r="A1037" t="s">
        <v>75</v>
      </c>
      <c r="B1037" t="s">
        <v>47</v>
      </c>
      <c r="C1037">
        <v>4</v>
      </c>
      <c r="D1037" t="s">
        <v>45</v>
      </c>
      <c r="E1037">
        <v>0</v>
      </c>
      <c r="F1037" t="s">
        <v>48</v>
      </c>
    </row>
    <row r="1038" spans="1:6" ht="15" hidden="1" customHeight="1" x14ac:dyDescent="0.25">
      <c r="A1038" t="s">
        <v>75</v>
      </c>
      <c r="B1038" t="s">
        <v>47</v>
      </c>
      <c r="C1038">
        <v>5</v>
      </c>
      <c r="D1038" t="s">
        <v>7</v>
      </c>
      <c r="E1038">
        <v>53.560650000000003</v>
      </c>
      <c r="F1038" t="s">
        <v>48</v>
      </c>
    </row>
    <row r="1039" spans="1:6" ht="15" hidden="1" customHeight="1" x14ac:dyDescent="0.25">
      <c r="A1039" t="s">
        <v>75</v>
      </c>
      <c r="B1039" t="s">
        <v>47</v>
      </c>
      <c r="C1039">
        <v>6</v>
      </c>
      <c r="D1039" t="s">
        <v>53</v>
      </c>
      <c r="E1039">
        <v>0</v>
      </c>
      <c r="F1039" t="s">
        <v>48</v>
      </c>
    </row>
    <row r="1040" spans="1:6" ht="15" hidden="1" customHeight="1" x14ac:dyDescent="0.25">
      <c r="A1040" t="s">
        <v>75</v>
      </c>
      <c r="B1040" t="s">
        <v>47</v>
      </c>
      <c r="C1040">
        <v>7</v>
      </c>
      <c r="D1040" t="s">
        <v>56</v>
      </c>
      <c r="E1040">
        <v>0</v>
      </c>
      <c r="F1040" t="s">
        <v>48</v>
      </c>
    </row>
    <row r="1041" spans="1:6" ht="15" hidden="1" customHeight="1" x14ac:dyDescent="0.25">
      <c r="A1041" t="s">
        <v>75</v>
      </c>
      <c r="B1041" t="s">
        <v>47</v>
      </c>
      <c r="C1041">
        <v>8</v>
      </c>
      <c r="D1041" t="s">
        <v>60</v>
      </c>
      <c r="E1041">
        <v>0</v>
      </c>
      <c r="F1041" t="s">
        <v>48</v>
      </c>
    </row>
    <row r="1042" spans="1:6" ht="15" hidden="1" customHeight="1" x14ac:dyDescent="0.25">
      <c r="A1042" t="s">
        <v>75</v>
      </c>
      <c r="B1042" t="s">
        <v>47</v>
      </c>
      <c r="C1042">
        <v>9</v>
      </c>
      <c r="D1042" t="s">
        <v>63</v>
      </c>
      <c r="E1042">
        <v>0</v>
      </c>
      <c r="F1042" t="s">
        <v>48</v>
      </c>
    </row>
    <row r="1043" spans="1:6" ht="15" hidden="1" customHeight="1" x14ac:dyDescent="0.25">
      <c r="A1043" t="s">
        <v>75</v>
      </c>
      <c r="B1043" t="s">
        <v>47</v>
      </c>
      <c r="C1043">
        <v>10</v>
      </c>
      <c r="D1043" t="s">
        <v>65</v>
      </c>
      <c r="E1043">
        <v>51.6</v>
      </c>
      <c r="F1043" t="s">
        <v>48</v>
      </c>
    </row>
    <row r="1044" spans="1:6" ht="15" hidden="1" customHeight="1" x14ac:dyDescent="0.25">
      <c r="A1044" t="s">
        <v>75</v>
      </c>
      <c r="B1044" t="s">
        <v>47</v>
      </c>
      <c r="C1044">
        <v>11</v>
      </c>
      <c r="D1044" t="s">
        <v>67</v>
      </c>
      <c r="E1044">
        <v>0</v>
      </c>
      <c r="F1044" t="s">
        <v>48</v>
      </c>
    </row>
    <row r="1045" spans="1:6" ht="15" hidden="1" customHeight="1" x14ac:dyDescent="0.25">
      <c r="A1045" t="s">
        <v>75</v>
      </c>
      <c r="B1045" t="s">
        <v>47</v>
      </c>
      <c r="C1045">
        <v>12</v>
      </c>
      <c r="D1045" t="s">
        <v>70</v>
      </c>
      <c r="E1045">
        <v>0</v>
      </c>
      <c r="F1045" t="s">
        <v>48</v>
      </c>
    </row>
    <row r="1046" spans="1:6" ht="15" customHeight="1" x14ac:dyDescent="0.25">
      <c r="A1046" t="s">
        <v>75</v>
      </c>
      <c r="B1046" t="s">
        <v>51</v>
      </c>
      <c r="C1046">
        <v>1</v>
      </c>
      <c r="D1046" t="s">
        <v>35</v>
      </c>
      <c r="E1046">
        <v>0</v>
      </c>
      <c r="F1046" t="s">
        <v>48</v>
      </c>
    </row>
    <row r="1047" spans="1:6" ht="15" hidden="1" customHeight="1" x14ac:dyDescent="0.25">
      <c r="A1047" t="s">
        <v>75</v>
      </c>
      <c r="B1047" t="s">
        <v>51</v>
      </c>
      <c r="C1047">
        <v>2</v>
      </c>
      <c r="D1047" t="s">
        <v>37</v>
      </c>
      <c r="E1047">
        <v>0</v>
      </c>
      <c r="F1047" t="s">
        <v>48</v>
      </c>
    </row>
    <row r="1048" spans="1:6" ht="15" hidden="1" customHeight="1" x14ac:dyDescent="0.25">
      <c r="A1048" t="s">
        <v>75</v>
      </c>
      <c r="B1048" t="s">
        <v>51</v>
      </c>
      <c r="C1048">
        <v>3</v>
      </c>
      <c r="D1048" t="s">
        <v>41</v>
      </c>
      <c r="E1048">
        <v>0</v>
      </c>
      <c r="F1048" t="s">
        <v>48</v>
      </c>
    </row>
    <row r="1049" spans="1:6" ht="15" hidden="1" customHeight="1" x14ac:dyDescent="0.25">
      <c r="A1049" t="s">
        <v>75</v>
      </c>
      <c r="B1049" t="s">
        <v>51</v>
      </c>
      <c r="C1049">
        <v>4</v>
      </c>
      <c r="D1049" t="s">
        <v>45</v>
      </c>
      <c r="E1049">
        <v>0</v>
      </c>
      <c r="F1049" t="s">
        <v>48</v>
      </c>
    </row>
    <row r="1050" spans="1:6" ht="15" hidden="1" customHeight="1" x14ac:dyDescent="0.25">
      <c r="A1050" t="s">
        <v>75</v>
      </c>
      <c r="B1050" t="s">
        <v>51</v>
      </c>
      <c r="C1050">
        <v>5</v>
      </c>
      <c r="D1050" t="s">
        <v>7</v>
      </c>
      <c r="E1050">
        <v>0</v>
      </c>
      <c r="F1050" t="s">
        <v>48</v>
      </c>
    </row>
    <row r="1051" spans="1:6" ht="15" hidden="1" customHeight="1" x14ac:dyDescent="0.25">
      <c r="A1051" t="s">
        <v>75</v>
      </c>
      <c r="B1051" t="s">
        <v>51</v>
      </c>
      <c r="C1051">
        <v>6</v>
      </c>
      <c r="D1051" t="s">
        <v>53</v>
      </c>
      <c r="E1051">
        <v>0</v>
      </c>
      <c r="F1051" t="s">
        <v>48</v>
      </c>
    </row>
    <row r="1052" spans="1:6" ht="15" hidden="1" customHeight="1" x14ac:dyDescent="0.25">
      <c r="A1052" t="s">
        <v>75</v>
      </c>
      <c r="B1052" t="s">
        <v>51</v>
      </c>
      <c r="C1052">
        <v>7</v>
      </c>
      <c r="D1052" t="s">
        <v>56</v>
      </c>
      <c r="E1052">
        <v>0</v>
      </c>
      <c r="F1052" t="s">
        <v>48</v>
      </c>
    </row>
    <row r="1053" spans="1:6" ht="15" hidden="1" customHeight="1" x14ac:dyDescent="0.25">
      <c r="A1053" t="s">
        <v>75</v>
      </c>
      <c r="B1053" t="s">
        <v>51</v>
      </c>
      <c r="C1053">
        <v>8</v>
      </c>
      <c r="D1053" t="s">
        <v>60</v>
      </c>
      <c r="E1053">
        <v>0</v>
      </c>
      <c r="F1053" t="s">
        <v>48</v>
      </c>
    </row>
    <row r="1054" spans="1:6" ht="15" hidden="1" customHeight="1" x14ac:dyDescent="0.25">
      <c r="A1054" t="s">
        <v>75</v>
      </c>
      <c r="B1054" t="s">
        <v>51</v>
      </c>
      <c r="C1054">
        <v>9</v>
      </c>
      <c r="D1054" t="s">
        <v>63</v>
      </c>
      <c r="E1054">
        <v>9.1999999999999998E-2</v>
      </c>
      <c r="F1054" t="s">
        <v>48</v>
      </c>
    </row>
    <row r="1055" spans="1:6" ht="15" hidden="1" customHeight="1" x14ac:dyDescent="0.25">
      <c r="A1055" t="s">
        <v>75</v>
      </c>
      <c r="B1055" t="s">
        <v>51</v>
      </c>
      <c r="C1055">
        <v>10</v>
      </c>
      <c r="D1055" t="s">
        <v>65</v>
      </c>
      <c r="E1055">
        <v>0</v>
      </c>
      <c r="F1055" t="s">
        <v>48</v>
      </c>
    </row>
    <row r="1056" spans="1:6" ht="15" hidden="1" customHeight="1" x14ac:dyDescent="0.25">
      <c r="A1056" t="s">
        <v>75</v>
      </c>
      <c r="B1056" t="s">
        <v>51</v>
      </c>
      <c r="C1056">
        <v>11</v>
      </c>
      <c r="D1056" t="s">
        <v>67</v>
      </c>
      <c r="E1056">
        <v>0</v>
      </c>
      <c r="F1056" t="s">
        <v>48</v>
      </c>
    </row>
    <row r="1057" spans="1:6" ht="15" hidden="1" customHeight="1" x14ac:dyDescent="0.25">
      <c r="A1057" t="s">
        <v>75</v>
      </c>
      <c r="B1057" t="s">
        <v>51</v>
      </c>
      <c r="C1057">
        <v>12</v>
      </c>
      <c r="D1057" t="s">
        <v>70</v>
      </c>
      <c r="E1057">
        <v>0</v>
      </c>
      <c r="F1057" t="s">
        <v>48</v>
      </c>
    </row>
    <row r="1058" spans="1:6" ht="15" customHeight="1" x14ac:dyDescent="0.25">
      <c r="A1058" t="s">
        <v>75</v>
      </c>
      <c r="B1058" t="s">
        <v>55</v>
      </c>
      <c r="C1058">
        <v>1</v>
      </c>
      <c r="D1058" t="s">
        <v>35</v>
      </c>
      <c r="E1058">
        <v>0</v>
      </c>
      <c r="F1058" t="s">
        <v>48</v>
      </c>
    </row>
    <row r="1059" spans="1:6" ht="15" hidden="1" customHeight="1" x14ac:dyDescent="0.25">
      <c r="A1059" t="s">
        <v>75</v>
      </c>
      <c r="B1059" t="s">
        <v>55</v>
      </c>
      <c r="C1059">
        <v>2</v>
      </c>
      <c r="D1059" t="s">
        <v>37</v>
      </c>
      <c r="E1059">
        <v>0</v>
      </c>
      <c r="F1059" t="s">
        <v>48</v>
      </c>
    </row>
    <row r="1060" spans="1:6" ht="15" hidden="1" customHeight="1" x14ac:dyDescent="0.25">
      <c r="A1060" t="s">
        <v>75</v>
      </c>
      <c r="B1060" t="s">
        <v>55</v>
      </c>
      <c r="C1060">
        <v>3</v>
      </c>
      <c r="D1060" t="s">
        <v>41</v>
      </c>
      <c r="E1060">
        <v>0</v>
      </c>
      <c r="F1060" t="s">
        <v>48</v>
      </c>
    </row>
    <row r="1061" spans="1:6" ht="15" hidden="1" customHeight="1" x14ac:dyDescent="0.25">
      <c r="A1061" t="s">
        <v>75</v>
      </c>
      <c r="B1061" t="s">
        <v>55</v>
      </c>
      <c r="C1061">
        <v>4</v>
      </c>
      <c r="D1061" t="s">
        <v>45</v>
      </c>
      <c r="E1061">
        <v>0</v>
      </c>
      <c r="F1061" t="s">
        <v>48</v>
      </c>
    </row>
    <row r="1062" spans="1:6" ht="15" hidden="1" customHeight="1" x14ac:dyDescent="0.25">
      <c r="A1062" t="s">
        <v>75</v>
      </c>
      <c r="B1062" t="s">
        <v>55</v>
      </c>
      <c r="C1062">
        <v>5</v>
      </c>
      <c r="D1062" t="s">
        <v>7</v>
      </c>
      <c r="E1062">
        <v>0.49</v>
      </c>
      <c r="F1062" t="s">
        <v>48</v>
      </c>
    </row>
    <row r="1063" spans="1:6" ht="15" hidden="1" customHeight="1" x14ac:dyDescent="0.25">
      <c r="A1063" t="s">
        <v>75</v>
      </c>
      <c r="B1063" t="s">
        <v>55</v>
      </c>
      <c r="C1063">
        <v>6</v>
      </c>
      <c r="D1063" t="s">
        <v>53</v>
      </c>
      <c r="E1063">
        <v>0</v>
      </c>
      <c r="F1063" t="s">
        <v>48</v>
      </c>
    </row>
    <row r="1064" spans="1:6" ht="15" hidden="1" customHeight="1" x14ac:dyDescent="0.25">
      <c r="A1064" t="s">
        <v>75</v>
      </c>
      <c r="B1064" t="s">
        <v>55</v>
      </c>
      <c r="C1064">
        <v>7</v>
      </c>
      <c r="D1064" t="s">
        <v>56</v>
      </c>
      <c r="E1064">
        <v>0</v>
      </c>
      <c r="F1064" t="s">
        <v>48</v>
      </c>
    </row>
    <row r="1065" spans="1:6" ht="15" hidden="1" customHeight="1" x14ac:dyDescent="0.25">
      <c r="A1065" t="s">
        <v>75</v>
      </c>
      <c r="B1065" t="s">
        <v>55</v>
      </c>
      <c r="C1065">
        <v>8</v>
      </c>
      <c r="D1065" t="s">
        <v>60</v>
      </c>
      <c r="E1065">
        <v>0</v>
      </c>
      <c r="F1065" t="s">
        <v>48</v>
      </c>
    </row>
    <row r="1066" spans="1:6" ht="15" hidden="1" customHeight="1" x14ac:dyDescent="0.25">
      <c r="A1066" t="s">
        <v>75</v>
      </c>
      <c r="B1066" t="s">
        <v>55</v>
      </c>
      <c r="C1066">
        <v>9</v>
      </c>
      <c r="D1066" t="s">
        <v>63</v>
      </c>
      <c r="E1066">
        <v>23.88</v>
      </c>
      <c r="F1066" t="s">
        <v>48</v>
      </c>
    </row>
    <row r="1067" spans="1:6" ht="15" hidden="1" customHeight="1" x14ac:dyDescent="0.25">
      <c r="A1067" t="s">
        <v>75</v>
      </c>
      <c r="B1067" t="s">
        <v>55</v>
      </c>
      <c r="C1067">
        <v>10</v>
      </c>
      <c r="D1067" t="s">
        <v>65</v>
      </c>
      <c r="E1067">
        <v>0</v>
      </c>
      <c r="F1067" t="s">
        <v>48</v>
      </c>
    </row>
    <row r="1068" spans="1:6" ht="15" hidden="1" customHeight="1" x14ac:dyDescent="0.25">
      <c r="A1068" t="s">
        <v>75</v>
      </c>
      <c r="B1068" t="s">
        <v>55</v>
      </c>
      <c r="C1068">
        <v>11</v>
      </c>
      <c r="D1068" t="s">
        <v>67</v>
      </c>
      <c r="E1068">
        <v>0</v>
      </c>
      <c r="F1068" t="s">
        <v>48</v>
      </c>
    </row>
    <row r="1069" spans="1:6" ht="15" hidden="1" customHeight="1" x14ac:dyDescent="0.25">
      <c r="A1069" t="s">
        <v>75</v>
      </c>
      <c r="B1069" t="s">
        <v>55</v>
      </c>
      <c r="C1069">
        <v>12</v>
      </c>
      <c r="D1069" t="s">
        <v>70</v>
      </c>
      <c r="E1069">
        <v>0</v>
      </c>
      <c r="F1069" t="s">
        <v>48</v>
      </c>
    </row>
    <row r="1070" spans="1:6" ht="15" customHeight="1" x14ac:dyDescent="0.25">
      <c r="A1070" t="s">
        <v>75</v>
      </c>
      <c r="B1070" t="s">
        <v>58</v>
      </c>
      <c r="C1070">
        <v>1</v>
      </c>
      <c r="D1070" t="s">
        <v>35</v>
      </c>
      <c r="E1070">
        <v>0</v>
      </c>
      <c r="F1070" t="s">
        <v>48</v>
      </c>
    </row>
    <row r="1071" spans="1:6" ht="15" hidden="1" customHeight="1" x14ac:dyDescent="0.25">
      <c r="A1071" t="s">
        <v>75</v>
      </c>
      <c r="B1071" t="s">
        <v>58</v>
      </c>
      <c r="C1071">
        <v>2</v>
      </c>
      <c r="D1071" t="s">
        <v>37</v>
      </c>
      <c r="E1071">
        <v>0</v>
      </c>
      <c r="F1071" t="s">
        <v>48</v>
      </c>
    </row>
    <row r="1072" spans="1:6" ht="15" hidden="1" customHeight="1" x14ac:dyDescent="0.25">
      <c r="A1072" t="s">
        <v>75</v>
      </c>
      <c r="B1072" t="s">
        <v>58</v>
      </c>
      <c r="C1072">
        <v>3</v>
      </c>
      <c r="D1072" t="s">
        <v>41</v>
      </c>
      <c r="E1072">
        <v>0</v>
      </c>
      <c r="F1072" t="s">
        <v>48</v>
      </c>
    </row>
    <row r="1073" spans="1:6" ht="15" hidden="1" customHeight="1" x14ac:dyDescent="0.25">
      <c r="A1073" t="s">
        <v>75</v>
      </c>
      <c r="B1073" t="s">
        <v>58</v>
      </c>
      <c r="C1073">
        <v>4</v>
      </c>
      <c r="D1073" t="s">
        <v>45</v>
      </c>
      <c r="E1073">
        <v>0</v>
      </c>
      <c r="F1073" t="s">
        <v>48</v>
      </c>
    </row>
    <row r="1074" spans="1:6" ht="15" hidden="1" customHeight="1" x14ac:dyDescent="0.25">
      <c r="A1074" t="s">
        <v>75</v>
      </c>
      <c r="B1074" t="s">
        <v>58</v>
      </c>
      <c r="C1074">
        <v>5</v>
      </c>
      <c r="D1074" t="s">
        <v>7</v>
      </c>
      <c r="E1074">
        <v>0</v>
      </c>
      <c r="F1074" t="s">
        <v>48</v>
      </c>
    </row>
    <row r="1075" spans="1:6" ht="15" hidden="1" customHeight="1" x14ac:dyDescent="0.25">
      <c r="A1075" t="s">
        <v>75</v>
      </c>
      <c r="B1075" t="s">
        <v>58</v>
      </c>
      <c r="C1075">
        <v>6</v>
      </c>
      <c r="D1075" t="s">
        <v>53</v>
      </c>
      <c r="E1075">
        <v>0</v>
      </c>
      <c r="F1075" t="s">
        <v>48</v>
      </c>
    </row>
    <row r="1076" spans="1:6" ht="15" hidden="1" customHeight="1" x14ac:dyDescent="0.25">
      <c r="A1076" t="s">
        <v>75</v>
      </c>
      <c r="B1076" t="s">
        <v>58</v>
      </c>
      <c r="C1076">
        <v>7</v>
      </c>
      <c r="D1076" t="s">
        <v>56</v>
      </c>
      <c r="E1076">
        <v>0</v>
      </c>
      <c r="F1076" t="s">
        <v>48</v>
      </c>
    </row>
    <row r="1077" spans="1:6" ht="15" hidden="1" customHeight="1" x14ac:dyDescent="0.25">
      <c r="A1077" t="s">
        <v>75</v>
      </c>
      <c r="B1077" t="s">
        <v>58</v>
      </c>
      <c r="C1077">
        <v>8</v>
      </c>
      <c r="D1077" t="s">
        <v>60</v>
      </c>
      <c r="E1077">
        <v>0</v>
      </c>
      <c r="F1077" t="s">
        <v>48</v>
      </c>
    </row>
    <row r="1078" spans="1:6" ht="15" hidden="1" customHeight="1" x14ac:dyDescent="0.25">
      <c r="A1078" t="s">
        <v>75</v>
      </c>
      <c r="B1078" t="s">
        <v>58</v>
      </c>
      <c r="C1078">
        <v>9</v>
      </c>
      <c r="D1078" t="s">
        <v>63</v>
      </c>
      <c r="E1078">
        <v>0</v>
      </c>
      <c r="F1078" t="s">
        <v>48</v>
      </c>
    </row>
    <row r="1079" spans="1:6" ht="15" hidden="1" customHeight="1" x14ac:dyDescent="0.25">
      <c r="A1079" t="s">
        <v>75</v>
      </c>
      <c r="B1079" t="s">
        <v>58</v>
      </c>
      <c r="C1079">
        <v>10</v>
      </c>
      <c r="D1079" t="s">
        <v>65</v>
      </c>
      <c r="E1079">
        <v>0</v>
      </c>
      <c r="F1079" t="s">
        <v>48</v>
      </c>
    </row>
    <row r="1080" spans="1:6" ht="15" hidden="1" customHeight="1" x14ac:dyDescent="0.25">
      <c r="A1080" t="s">
        <v>75</v>
      </c>
      <c r="B1080" t="s">
        <v>58</v>
      </c>
      <c r="C1080">
        <v>11</v>
      </c>
      <c r="D1080" t="s">
        <v>67</v>
      </c>
      <c r="E1080">
        <v>0</v>
      </c>
      <c r="F1080" t="s">
        <v>48</v>
      </c>
    </row>
    <row r="1081" spans="1:6" ht="15" hidden="1" customHeight="1" x14ac:dyDescent="0.25">
      <c r="A1081" t="s">
        <v>75</v>
      </c>
      <c r="B1081" t="s">
        <v>58</v>
      </c>
      <c r="C1081">
        <v>12</v>
      </c>
      <c r="D1081" t="s">
        <v>70</v>
      </c>
      <c r="E1081">
        <v>0</v>
      </c>
      <c r="F1081" t="s">
        <v>48</v>
      </c>
    </row>
    <row r="1082" spans="1:6" ht="15" customHeight="1" x14ac:dyDescent="0.25">
      <c r="A1082" t="s">
        <v>76</v>
      </c>
      <c r="B1082" t="s">
        <v>39</v>
      </c>
      <c r="C1082">
        <v>1</v>
      </c>
      <c r="D1082" t="s">
        <v>35</v>
      </c>
      <c r="E1082">
        <v>268.8</v>
      </c>
      <c r="F1082" t="s">
        <v>48</v>
      </c>
    </row>
    <row r="1083" spans="1:6" ht="15" hidden="1" customHeight="1" x14ac:dyDescent="0.25">
      <c r="A1083" t="s">
        <v>76</v>
      </c>
      <c r="B1083" t="s">
        <v>39</v>
      </c>
      <c r="C1083">
        <v>2</v>
      </c>
      <c r="D1083" t="s">
        <v>37</v>
      </c>
      <c r="E1083">
        <v>282.95659999999998</v>
      </c>
      <c r="F1083" t="s">
        <v>48</v>
      </c>
    </row>
    <row r="1084" spans="1:6" ht="15" hidden="1" customHeight="1" x14ac:dyDescent="0.25">
      <c r="A1084" t="s">
        <v>76</v>
      </c>
      <c r="B1084" t="s">
        <v>39</v>
      </c>
      <c r="C1084">
        <v>3</v>
      </c>
      <c r="D1084" t="s">
        <v>41</v>
      </c>
      <c r="E1084">
        <v>137.93039999999999</v>
      </c>
      <c r="F1084" t="s">
        <v>48</v>
      </c>
    </row>
    <row r="1085" spans="1:6" ht="15" hidden="1" customHeight="1" x14ac:dyDescent="0.25">
      <c r="A1085" t="s">
        <v>76</v>
      </c>
      <c r="B1085" t="s">
        <v>39</v>
      </c>
      <c r="C1085">
        <v>4</v>
      </c>
      <c r="D1085" t="s">
        <v>45</v>
      </c>
      <c r="E1085">
        <v>369.96719999999999</v>
      </c>
      <c r="F1085" t="s">
        <v>48</v>
      </c>
    </row>
    <row r="1086" spans="1:6" ht="15" hidden="1" customHeight="1" x14ac:dyDescent="0.25">
      <c r="A1086" t="s">
        <v>76</v>
      </c>
      <c r="B1086" t="s">
        <v>39</v>
      </c>
      <c r="C1086">
        <v>5</v>
      </c>
      <c r="D1086" t="s">
        <v>7</v>
      </c>
      <c r="E1086">
        <v>133.5112</v>
      </c>
      <c r="F1086" t="s">
        <v>48</v>
      </c>
    </row>
    <row r="1087" spans="1:6" ht="15" hidden="1" customHeight="1" x14ac:dyDescent="0.25">
      <c r="A1087" t="s">
        <v>76</v>
      </c>
      <c r="B1087" t="s">
        <v>39</v>
      </c>
      <c r="C1087">
        <v>6</v>
      </c>
      <c r="D1087" t="s">
        <v>53</v>
      </c>
      <c r="E1087">
        <v>238.53700000000001</v>
      </c>
      <c r="F1087" t="s">
        <v>48</v>
      </c>
    </row>
    <row r="1088" spans="1:6" ht="15" hidden="1" customHeight="1" x14ac:dyDescent="0.25">
      <c r="A1088" t="s">
        <v>76</v>
      </c>
      <c r="B1088" t="s">
        <v>39</v>
      </c>
      <c r="C1088">
        <v>7</v>
      </c>
      <c r="D1088" t="s">
        <v>56</v>
      </c>
      <c r="E1088">
        <v>717.10799999999995</v>
      </c>
      <c r="F1088" t="s">
        <v>48</v>
      </c>
    </row>
    <row r="1089" spans="1:6" ht="15" hidden="1" customHeight="1" x14ac:dyDescent="0.25">
      <c r="A1089" t="s">
        <v>76</v>
      </c>
      <c r="B1089" t="s">
        <v>39</v>
      </c>
      <c r="C1089">
        <v>8</v>
      </c>
      <c r="D1089" t="s">
        <v>60</v>
      </c>
      <c r="E1089">
        <v>371.06959999999998</v>
      </c>
      <c r="F1089" t="s">
        <v>48</v>
      </c>
    </row>
    <row r="1090" spans="1:6" ht="15" hidden="1" customHeight="1" x14ac:dyDescent="0.25">
      <c r="A1090" t="s">
        <v>76</v>
      </c>
      <c r="B1090" t="s">
        <v>39</v>
      </c>
      <c r="C1090">
        <v>9</v>
      </c>
      <c r="D1090" t="s">
        <v>63</v>
      </c>
      <c r="E1090">
        <v>437.71461714579101</v>
      </c>
      <c r="F1090" t="s">
        <v>48</v>
      </c>
    </row>
    <row r="1091" spans="1:6" ht="15" hidden="1" customHeight="1" x14ac:dyDescent="0.25">
      <c r="A1091" t="s">
        <v>76</v>
      </c>
      <c r="B1091" t="s">
        <v>39</v>
      </c>
      <c r="C1091">
        <v>10</v>
      </c>
      <c r="D1091" t="s">
        <v>65</v>
      </c>
      <c r="E1091">
        <v>428.75368285421001</v>
      </c>
      <c r="F1091" t="s">
        <v>48</v>
      </c>
    </row>
    <row r="1092" spans="1:6" ht="15" hidden="1" customHeight="1" x14ac:dyDescent="0.25">
      <c r="A1092" t="s">
        <v>76</v>
      </c>
      <c r="B1092" t="s">
        <v>39</v>
      </c>
      <c r="C1092">
        <v>11</v>
      </c>
      <c r="D1092" t="s">
        <v>67</v>
      </c>
      <c r="E1092">
        <v>183.06460000000001</v>
      </c>
      <c r="F1092" t="s">
        <v>48</v>
      </c>
    </row>
    <row r="1093" spans="1:6" ht="15" hidden="1" customHeight="1" x14ac:dyDescent="0.25">
      <c r="A1093" t="s">
        <v>76</v>
      </c>
      <c r="B1093" t="s">
        <v>39</v>
      </c>
      <c r="C1093">
        <v>12</v>
      </c>
      <c r="D1093" t="s">
        <v>70</v>
      </c>
      <c r="E1093">
        <v>157.58415811088301</v>
      </c>
      <c r="F1093" t="s">
        <v>48</v>
      </c>
    </row>
    <row r="1094" spans="1:6" ht="15" customHeight="1" x14ac:dyDescent="0.25">
      <c r="A1094" t="s">
        <v>76</v>
      </c>
      <c r="B1094" t="s">
        <v>43</v>
      </c>
      <c r="C1094">
        <v>1</v>
      </c>
      <c r="D1094" t="s">
        <v>35</v>
      </c>
      <c r="E1094">
        <v>47.951999999999998</v>
      </c>
      <c r="F1094" t="s">
        <v>48</v>
      </c>
    </row>
    <row r="1095" spans="1:6" ht="15" hidden="1" customHeight="1" x14ac:dyDescent="0.25">
      <c r="A1095" t="s">
        <v>76</v>
      </c>
      <c r="B1095" t="s">
        <v>43</v>
      </c>
      <c r="C1095">
        <v>2</v>
      </c>
      <c r="D1095" t="s">
        <v>37</v>
      </c>
      <c r="E1095">
        <v>80.813999999999993</v>
      </c>
      <c r="F1095" t="s">
        <v>48</v>
      </c>
    </row>
    <row r="1096" spans="1:6" ht="15" hidden="1" customHeight="1" x14ac:dyDescent="0.25">
      <c r="A1096" t="s">
        <v>76</v>
      </c>
      <c r="B1096" t="s">
        <v>43</v>
      </c>
      <c r="C1096">
        <v>3</v>
      </c>
      <c r="D1096" t="s">
        <v>41</v>
      </c>
      <c r="E1096">
        <v>95.045599999999993</v>
      </c>
      <c r="F1096" t="s">
        <v>48</v>
      </c>
    </row>
    <row r="1097" spans="1:6" ht="15" hidden="1" customHeight="1" x14ac:dyDescent="0.25">
      <c r="A1097" t="s">
        <v>76</v>
      </c>
      <c r="B1097" t="s">
        <v>43</v>
      </c>
      <c r="C1097">
        <v>4</v>
      </c>
      <c r="D1097" t="s">
        <v>45</v>
      </c>
      <c r="E1097">
        <v>10.0839292682927</v>
      </c>
      <c r="F1097" t="s">
        <v>48</v>
      </c>
    </row>
    <row r="1098" spans="1:6" ht="15" hidden="1" customHeight="1" x14ac:dyDescent="0.25">
      <c r="A1098" t="s">
        <v>76</v>
      </c>
      <c r="B1098" t="s">
        <v>43</v>
      </c>
      <c r="C1098">
        <v>5</v>
      </c>
      <c r="D1098" t="s">
        <v>7</v>
      </c>
      <c r="E1098">
        <v>113.96</v>
      </c>
      <c r="F1098" t="s">
        <v>48</v>
      </c>
    </row>
    <row r="1099" spans="1:6" ht="15" hidden="1" customHeight="1" x14ac:dyDescent="0.25">
      <c r="A1099" t="s">
        <v>76</v>
      </c>
      <c r="B1099" t="s">
        <v>43</v>
      </c>
      <c r="C1099">
        <v>6</v>
      </c>
      <c r="D1099" t="s">
        <v>53</v>
      </c>
      <c r="E1099">
        <v>48.129600000000003</v>
      </c>
      <c r="F1099" t="s">
        <v>48</v>
      </c>
    </row>
    <row r="1100" spans="1:6" ht="15" hidden="1" customHeight="1" x14ac:dyDescent="0.25">
      <c r="A1100" t="s">
        <v>76</v>
      </c>
      <c r="B1100" t="s">
        <v>43</v>
      </c>
      <c r="C1100">
        <v>7</v>
      </c>
      <c r="D1100" t="s">
        <v>56</v>
      </c>
      <c r="E1100">
        <v>14.208</v>
      </c>
      <c r="F1100" t="s">
        <v>48</v>
      </c>
    </row>
    <row r="1101" spans="1:6" ht="15" hidden="1" customHeight="1" x14ac:dyDescent="0.25">
      <c r="A1101" t="s">
        <v>76</v>
      </c>
      <c r="B1101" t="s">
        <v>43</v>
      </c>
      <c r="C1101">
        <v>8</v>
      </c>
      <c r="D1101" t="s">
        <v>60</v>
      </c>
      <c r="E1101">
        <v>0</v>
      </c>
      <c r="F1101" t="s">
        <v>48</v>
      </c>
    </row>
    <row r="1102" spans="1:6" ht="15" hidden="1" customHeight="1" x14ac:dyDescent="0.25">
      <c r="A1102" t="s">
        <v>76</v>
      </c>
      <c r="B1102" t="s">
        <v>43</v>
      </c>
      <c r="C1102">
        <v>9</v>
      </c>
      <c r="D1102" t="s">
        <v>63</v>
      </c>
      <c r="E1102">
        <v>8.7759999999999998</v>
      </c>
      <c r="F1102" t="s">
        <v>48</v>
      </c>
    </row>
    <row r="1103" spans="1:6" ht="15" hidden="1" customHeight="1" x14ac:dyDescent="0.25">
      <c r="A1103" t="s">
        <v>76</v>
      </c>
      <c r="B1103" t="s">
        <v>43</v>
      </c>
      <c r="C1103">
        <v>10</v>
      </c>
      <c r="D1103" t="s">
        <v>65</v>
      </c>
      <c r="E1103">
        <v>7.6691039999999999</v>
      </c>
      <c r="F1103" t="s">
        <v>48</v>
      </c>
    </row>
    <row r="1104" spans="1:6" ht="15" hidden="1" customHeight="1" x14ac:dyDescent="0.25">
      <c r="A1104" t="s">
        <v>76</v>
      </c>
      <c r="B1104" t="s">
        <v>43</v>
      </c>
      <c r="C1104">
        <v>11</v>
      </c>
      <c r="D1104" t="s">
        <v>67</v>
      </c>
      <c r="E1104">
        <v>18.013170731707302</v>
      </c>
      <c r="F1104" t="s">
        <v>48</v>
      </c>
    </row>
    <row r="1105" spans="1:6" ht="15" hidden="1" customHeight="1" x14ac:dyDescent="0.25">
      <c r="A1105" t="s">
        <v>76</v>
      </c>
      <c r="B1105" t="s">
        <v>43</v>
      </c>
      <c r="C1105">
        <v>12</v>
      </c>
      <c r="D1105" t="s">
        <v>70</v>
      </c>
      <c r="E1105">
        <v>59.2</v>
      </c>
      <c r="F1105" t="s">
        <v>48</v>
      </c>
    </row>
    <row r="1106" spans="1:6" ht="15" customHeight="1" x14ac:dyDescent="0.25">
      <c r="A1106" t="s">
        <v>76</v>
      </c>
      <c r="B1106" t="s">
        <v>47</v>
      </c>
      <c r="C1106">
        <v>1</v>
      </c>
      <c r="D1106" t="s">
        <v>35</v>
      </c>
      <c r="E1106">
        <v>0</v>
      </c>
      <c r="F1106" t="s">
        <v>48</v>
      </c>
    </row>
    <row r="1107" spans="1:6" ht="15" hidden="1" customHeight="1" x14ac:dyDescent="0.25">
      <c r="A1107" t="s">
        <v>76</v>
      </c>
      <c r="B1107" t="s">
        <v>47</v>
      </c>
      <c r="C1107">
        <v>2</v>
      </c>
      <c r="D1107" t="s">
        <v>37</v>
      </c>
      <c r="E1107">
        <v>0</v>
      </c>
      <c r="F1107" t="s">
        <v>48</v>
      </c>
    </row>
    <row r="1108" spans="1:6" ht="15" hidden="1" customHeight="1" x14ac:dyDescent="0.25">
      <c r="A1108" t="s">
        <v>76</v>
      </c>
      <c r="B1108" t="s">
        <v>47</v>
      </c>
      <c r="C1108">
        <v>3</v>
      </c>
      <c r="D1108" t="s">
        <v>41</v>
      </c>
      <c r="E1108">
        <v>0</v>
      </c>
      <c r="F1108" t="s">
        <v>48</v>
      </c>
    </row>
    <row r="1109" spans="1:6" ht="15" hidden="1" customHeight="1" x14ac:dyDescent="0.25">
      <c r="A1109" t="s">
        <v>76</v>
      </c>
      <c r="B1109" t="s">
        <v>47</v>
      </c>
      <c r="C1109">
        <v>4</v>
      </c>
      <c r="D1109" t="s">
        <v>45</v>
      </c>
      <c r="E1109">
        <v>0</v>
      </c>
      <c r="F1109" t="s">
        <v>48</v>
      </c>
    </row>
    <row r="1110" spans="1:6" ht="15" hidden="1" customHeight="1" x14ac:dyDescent="0.25">
      <c r="A1110" t="s">
        <v>76</v>
      </c>
      <c r="B1110" t="s">
        <v>47</v>
      </c>
      <c r="C1110">
        <v>5</v>
      </c>
      <c r="D1110" t="s">
        <v>7</v>
      </c>
      <c r="E1110">
        <v>0</v>
      </c>
      <c r="F1110" t="s">
        <v>48</v>
      </c>
    </row>
    <row r="1111" spans="1:6" ht="15" hidden="1" customHeight="1" x14ac:dyDescent="0.25">
      <c r="A1111" t="s">
        <v>76</v>
      </c>
      <c r="B1111" t="s">
        <v>47</v>
      </c>
      <c r="C1111">
        <v>6</v>
      </c>
      <c r="D1111" t="s">
        <v>53</v>
      </c>
      <c r="E1111">
        <v>0</v>
      </c>
      <c r="F1111" t="s">
        <v>48</v>
      </c>
    </row>
    <row r="1112" spans="1:6" ht="15" hidden="1" customHeight="1" x14ac:dyDescent="0.25">
      <c r="A1112" t="s">
        <v>76</v>
      </c>
      <c r="B1112" t="s">
        <v>47</v>
      </c>
      <c r="C1112">
        <v>7</v>
      </c>
      <c r="D1112" t="s">
        <v>56</v>
      </c>
      <c r="E1112">
        <v>0</v>
      </c>
      <c r="F1112" t="s">
        <v>48</v>
      </c>
    </row>
    <row r="1113" spans="1:6" ht="15" hidden="1" customHeight="1" x14ac:dyDescent="0.25">
      <c r="A1113" t="s">
        <v>76</v>
      </c>
      <c r="B1113" t="s">
        <v>47</v>
      </c>
      <c r="C1113">
        <v>8</v>
      </c>
      <c r="D1113" t="s">
        <v>60</v>
      </c>
      <c r="E1113">
        <v>0</v>
      </c>
      <c r="F1113" t="s">
        <v>48</v>
      </c>
    </row>
    <row r="1114" spans="1:6" ht="15" hidden="1" customHeight="1" x14ac:dyDescent="0.25">
      <c r="A1114" t="s">
        <v>76</v>
      </c>
      <c r="B1114" t="s">
        <v>47</v>
      </c>
      <c r="C1114">
        <v>9</v>
      </c>
      <c r="D1114" t="s">
        <v>63</v>
      </c>
      <c r="E1114">
        <v>0</v>
      </c>
      <c r="F1114" t="s">
        <v>48</v>
      </c>
    </row>
    <row r="1115" spans="1:6" ht="15" hidden="1" customHeight="1" x14ac:dyDescent="0.25">
      <c r="A1115" t="s">
        <v>76</v>
      </c>
      <c r="B1115" t="s">
        <v>47</v>
      </c>
      <c r="C1115">
        <v>10</v>
      </c>
      <c r="D1115" t="s">
        <v>65</v>
      </c>
      <c r="E1115">
        <v>0</v>
      </c>
      <c r="F1115" t="s">
        <v>48</v>
      </c>
    </row>
    <row r="1116" spans="1:6" ht="15" hidden="1" customHeight="1" x14ac:dyDescent="0.25">
      <c r="A1116" t="s">
        <v>76</v>
      </c>
      <c r="B1116" t="s">
        <v>47</v>
      </c>
      <c r="C1116">
        <v>11</v>
      </c>
      <c r="D1116" t="s">
        <v>67</v>
      </c>
      <c r="E1116">
        <v>0</v>
      </c>
      <c r="F1116" t="s">
        <v>48</v>
      </c>
    </row>
    <row r="1117" spans="1:6" ht="15" hidden="1" customHeight="1" x14ac:dyDescent="0.25">
      <c r="A1117" t="s">
        <v>76</v>
      </c>
      <c r="B1117" t="s">
        <v>47</v>
      </c>
      <c r="C1117">
        <v>12</v>
      </c>
      <c r="D1117" t="s">
        <v>70</v>
      </c>
      <c r="E1117">
        <v>0</v>
      </c>
      <c r="F1117" t="s">
        <v>48</v>
      </c>
    </row>
    <row r="1118" spans="1:6" ht="15" customHeight="1" x14ac:dyDescent="0.25">
      <c r="A1118" t="s">
        <v>76</v>
      </c>
      <c r="B1118" t="s">
        <v>51</v>
      </c>
      <c r="C1118">
        <v>1</v>
      </c>
      <c r="D1118" t="s">
        <v>35</v>
      </c>
      <c r="E1118">
        <v>0</v>
      </c>
      <c r="F1118" t="s">
        <v>48</v>
      </c>
    </row>
    <row r="1119" spans="1:6" ht="15" hidden="1" customHeight="1" x14ac:dyDescent="0.25">
      <c r="A1119" t="s">
        <v>76</v>
      </c>
      <c r="B1119" t="s">
        <v>51</v>
      </c>
      <c r="C1119">
        <v>2</v>
      </c>
      <c r="D1119" t="s">
        <v>37</v>
      </c>
      <c r="E1119">
        <v>0</v>
      </c>
      <c r="F1119" t="s">
        <v>48</v>
      </c>
    </row>
    <row r="1120" spans="1:6" ht="15" hidden="1" customHeight="1" x14ac:dyDescent="0.25">
      <c r="A1120" t="s">
        <v>76</v>
      </c>
      <c r="B1120" t="s">
        <v>51</v>
      </c>
      <c r="C1120">
        <v>3</v>
      </c>
      <c r="D1120" t="s">
        <v>41</v>
      </c>
      <c r="E1120">
        <v>0</v>
      </c>
      <c r="F1120" t="s">
        <v>48</v>
      </c>
    </row>
    <row r="1121" spans="1:6" ht="15" hidden="1" customHeight="1" x14ac:dyDescent="0.25">
      <c r="A1121" t="s">
        <v>76</v>
      </c>
      <c r="B1121" t="s">
        <v>51</v>
      </c>
      <c r="C1121">
        <v>4</v>
      </c>
      <c r="D1121" t="s">
        <v>45</v>
      </c>
      <c r="E1121">
        <v>11.475</v>
      </c>
      <c r="F1121" t="s">
        <v>48</v>
      </c>
    </row>
    <row r="1122" spans="1:6" ht="15" hidden="1" customHeight="1" x14ac:dyDescent="0.25">
      <c r="A1122" t="s">
        <v>76</v>
      </c>
      <c r="B1122" t="s">
        <v>51</v>
      </c>
      <c r="C1122">
        <v>5</v>
      </c>
      <c r="D1122" t="s">
        <v>7</v>
      </c>
      <c r="E1122">
        <v>0</v>
      </c>
      <c r="F1122" t="s">
        <v>48</v>
      </c>
    </row>
    <row r="1123" spans="1:6" ht="15" hidden="1" customHeight="1" x14ac:dyDescent="0.25">
      <c r="A1123" t="s">
        <v>76</v>
      </c>
      <c r="B1123" t="s">
        <v>51</v>
      </c>
      <c r="C1123">
        <v>6</v>
      </c>
      <c r="D1123" t="s">
        <v>53</v>
      </c>
      <c r="E1123">
        <v>0</v>
      </c>
      <c r="F1123" t="s">
        <v>48</v>
      </c>
    </row>
    <row r="1124" spans="1:6" ht="15" hidden="1" customHeight="1" x14ac:dyDescent="0.25">
      <c r="A1124" t="s">
        <v>76</v>
      </c>
      <c r="B1124" t="s">
        <v>51</v>
      </c>
      <c r="C1124">
        <v>7</v>
      </c>
      <c r="D1124" t="s">
        <v>56</v>
      </c>
      <c r="E1124">
        <v>0</v>
      </c>
      <c r="F1124" t="s">
        <v>48</v>
      </c>
    </row>
    <row r="1125" spans="1:6" ht="15" hidden="1" customHeight="1" x14ac:dyDescent="0.25">
      <c r="A1125" t="s">
        <v>76</v>
      </c>
      <c r="B1125" t="s">
        <v>51</v>
      </c>
      <c r="C1125">
        <v>8</v>
      </c>
      <c r="D1125" t="s">
        <v>60</v>
      </c>
      <c r="E1125">
        <v>0</v>
      </c>
      <c r="F1125" t="s">
        <v>48</v>
      </c>
    </row>
    <row r="1126" spans="1:6" ht="15" hidden="1" customHeight="1" x14ac:dyDescent="0.25">
      <c r="A1126" t="s">
        <v>76</v>
      </c>
      <c r="B1126" t="s">
        <v>51</v>
      </c>
      <c r="C1126">
        <v>9</v>
      </c>
      <c r="D1126" t="s">
        <v>63</v>
      </c>
      <c r="E1126">
        <v>0</v>
      </c>
      <c r="F1126" t="s">
        <v>48</v>
      </c>
    </row>
    <row r="1127" spans="1:6" ht="15" hidden="1" customHeight="1" x14ac:dyDescent="0.25">
      <c r="A1127" t="s">
        <v>76</v>
      </c>
      <c r="B1127" t="s">
        <v>51</v>
      </c>
      <c r="C1127">
        <v>10</v>
      </c>
      <c r="D1127" t="s">
        <v>65</v>
      </c>
      <c r="E1127">
        <v>0</v>
      </c>
      <c r="F1127" t="s">
        <v>48</v>
      </c>
    </row>
    <row r="1128" spans="1:6" ht="15" hidden="1" customHeight="1" x14ac:dyDescent="0.25">
      <c r="A1128" t="s">
        <v>76</v>
      </c>
      <c r="B1128" t="s">
        <v>51</v>
      </c>
      <c r="C1128">
        <v>11</v>
      </c>
      <c r="D1128" t="s">
        <v>67</v>
      </c>
      <c r="E1128">
        <v>22.95</v>
      </c>
      <c r="F1128" t="s">
        <v>48</v>
      </c>
    </row>
    <row r="1129" spans="1:6" ht="15" hidden="1" customHeight="1" x14ac:dyDescent="0.25">
      <c r="A1129" t="s">
        <v>76</v>
      </c>
      <c r="B1129" t="s">
        <v>51</v>
      </c>
      <c r="C1129">
        <v>12</v>
      </c>
      <c r="D1129" t="s">
        <v>70</v>
      </c>
      <c r="E1129">
        <v>0</v>
      </c>
      <c r="F1129" t="s">
        <v>48</v>
      </c>
    </row>
    <row r="1130" spans="1:6" ht="15" customHeight="1" x14ac:dyDescent="0.25">
      <c r="A1130" t="s">
        <v>76</v>
      </c>
      <c r="B1130" t="s">
        <v>55</v>
      </c>
      <c r="C1130">
        <v>1</v>
      </c>
      <c r="D1130" t="s">
        <v>35</v>
      </c>
      <c r="E1130">
        <v>0</v>
      </c>
      <c r="F1130" t="s">
        <v>48</v>
      </c>
    </row>
    <row r="1131" spans="1:6" ht="15" hidden="1" customHeight="1" x14ac:dyDescent="0.25">
      <c r="A1131" t="s">
        <v>76</v>
      </c>
      <c r="B1131" t="s">
        <v>55</v>
      </c>
      <c r="C1131">
        <v>2</v>
      </c>
      <c r="D1131" t="s">
        <v>37</v>
      </c>
      <c r="E1131">
        <v>0</v>
      </c>
      <c r="F1131" t="s">
        <v>48</v>
      </c>
    </row>
    <row r="1132" spans="1:6" ht="15" hidden="1" customHeight="1" x14ac:dyDescent="0.25">
      <c r="A1132" t="s">
        <v>76</v>
      </c>
      <c r="B1132" t="s">
        <v>55</v>
      </c>
      <c r="C1132">
        <v>3</v>
      </c>
      <c r="D1132" t="s">
        <v>41</v>
      </c>
      <c r="E1132">
        <v>0</v>
      </c>
      <c r="F1132" t="s">
        <v>48</v>
      </c>
    </row>
    <row r="1133" spans="1:6" ht="15" hidden="1" customHeight="1" x14ac:dyDescent="0.25">
      <c r="A1133" t="s">
        <v>76</v>
      </c>
      <c r="B1133" t="s">
        <v>55</v>
      </c>
      <c r="C1133">
        <v>4</v>
      </c>
      <c r="D1133" t="s">
        <v>45</v>
      </c>
      <c r="E1133">
        <v>0</v>
      </c>
      <c r="F1133" t="s">
        <v>48</v>
      </c>
    </row>
    <row r="1134" spans="1:6" ht="15" hidden="1" customHeight="1" x14ac:dyDescent="0.25">
      <c r="A1134" t="s">
        <v>76</v>
      </c>
      <c r="B1134" t="s">
        <v>55</v>
      </c>
      <c r="C1134">
        <v>5</v>
      </c>
      <c r="D1134" t="s">
        <v>7</v>
      </c>
      <c r="E1134">
        <v>0</v>
      </c>
      <c r="F1134" t="s">
        <v>48</v>
      </c>
    </row>
    <row r="1135" spans="1:6" ht="15" hidden="1" customHeight="1" x14ac:dyDescent="0.25">
      <c r="A1135" t="s">
        <v>76</v>
      </c>
      <c r="B1135" t="s">
        <v>55</v>
      </c>
      <c r="C1135">
        <v>6</v>
      </c>
      <c r="D1135" t="s">
        <v>53</v>
      </c>
      <c r="E1135">
        <v>0</v>
      </c>
      <c r="F1135" t="s">
        <v>48</v>
      </c>
    </row>
    <row r="1136" spans="1:6" ht="15" hidden="1" customHeight="1" x14ac:dyDescent="0.25">
      <c r="A1136" t="s">
        <v>76</v>
      </c>
      <c r="B1136" t="s">
        <v>55</v>
      </c>
      <c r="C1136">
        <v>7</v>
      </c>
      <c r="D1136" t="s">
        <v>56</v>
      </c>
      <c r="E1136">
        <v>0</v>
      </c>
      <c r="F1136" t="s">
        <v>48</v>
      </c>
    </row>
    <row r="1137" spans="1:6" ht="15" hidden="1" customHeight="1" x14ac:dyDescent="0.25">
      <c r="A1137" t="s">
        <v>76</v>
      </c>
      <c r="B1137" t="s">
        <v>55</v>
      </c>
      <c r="C1137">
        <v>8</v>
      </c>
      <c r="D1137" t="s">
        <v>60</v>
      </c>
      <c r="E1137">
        <v>0</v>
      </c>
      <c r="F1137" t="s">
        <v>48</v>
      </c>
    </row>
    <row r="1138" spans="1:6" ht="15" hidden="1" customHeight="1" x14ac:dyDescent="0.25">
      <c r="A1138" t="s">
        <v>76</v>
      </c>
      <c r="B1138" t="s">
        <v>55</v>
      </c>
      <c r="C1138">
        <v>9</v>
      </c>
      <c r="D1138" t="s">
        <v>63</v>
      </c>
      <c r="E1138">
        <v>0</v>
      </c>
      <c r="F1138" t="s">
        <v>48</v>
      </c>
    </row>
    <row r="1139" spans="1:6" ht="15" hidden="1" customHeight="1" x14ac:dyDescent="0.25">
      <c r="A1139" t="s">
        <v>76</v>
      </c>
      <c r="B1139" t="s">
        <v>55</v>
      </c>
      <c r="C1139">
        <v>10</v>
      </c>
      <c r="D1139" t="s">
        <v>65</v>
      </c>
      <c r="E1139">
        <v>0</v>
      </c>
      <c r="F1139" t="s">
        <v>48</v>
      </c>
    </row>
    <row r="1140" spans="1:6" ht="15" hidden="1" customHeight="1" x14ac:dyDescent="0.25">
      <c r="A1140" t="s">
        <v>76</v>
      </c>
      <c r="B1140" t="s">
        <v>55</v>
      </c>
      <c r="C1140">
        <v>11</v>
      </c>
      <c r="D1140" t="s">
        <v>67</v>
      </c>
      <c r="E1140">
        <v>0</v>
      </c>
      <c r="F1140" t="s">
        <v>48</v>
      </c>
    </row>
    <row r="1141" spans="1:6" ht="15" hidden="1" customHeight="1" x14ac:dyDescent="0.25">
      <c r="A1141" t="s">
        <v>76</v>
      </c>
      <c r="B1141" t="s">
        <v>55</v>
      </c>
      <c r="C1141">
        <v>12</v>
      </c>
      <c r="D1141" t="s">
        <v>70</v>
      </c>
      <c r="E1141">
        <v>7.1859000000000002</v>
      </c>
      <c r="F1141" t="s">
        <v>48</v>
      </c>
    </row>
    <row r="1142" spans="1:6" ht="15" customHeight="1" x14ac:dyDescent="0.25">
      <c r="A1142" t="s">
        <v>76</v>
      </c>
      <c r="B1142" t="s">
        <v>58</v>
      </c>
      <c r="C1142">
        <v>1</v>
      </c>
      <c r="D1142" t="s">
        <v>35</v>
      </c>
      <c r="E1142">
        <v>0</v>
      </c>
      <c r="F1142" t="s">
        <v>48</v>
      </c>
    </row>
    <row r="1143" spans="1:6" ht="15" hidden="1" customHeight="1" x14ac:dyDescent="0.25">
      <c r="A1143" t="s">
        <v>76</v>
      </c>
      <c r="B1143" t="s">
        <v>58</v>
      </c>
      <c r="C1143">
        <v>2</v>
      </c>
      <c r="D1143" t="s">
        <v>37</v>
      </c>
      <c r="E1143">
        <v>0</v>
      </c>
      <c r="F1143" t="s">
        <v>48</v>
      </c>
    </row>
    <row r="1144" spans="1:6" ht="15" hidden="1" customHeight="1" x14ac:dyDescent="0.25">
      <c r="A1144" t="s">
        <v>76</v>
      </c>
      <c r="B1144" t="s">
        <v>58</v>
      </c>
      <c r="C1144">
        <v>3</v>
      </c>
      <c r="D1144" t="s">
        <v>41</v>
      </c>
      <c r="E1144">
        <v>0</v>
      </c>
      <c r="F1144" t="s">
        <v>48</v>
      </c>
    </row>
    <row r="1145" spans="1:6" ht="15" hidden="1" customHeight="1" x14ac:dyDescent="0.25">
      <c r="A1145" t="s">
        <v>76</v>
      </c>
      <c r="B1145" t="s">
        <v>58</v>
      </c>
      <c r="C1145">
        <v>4</v>
      </c>
      <c r="D1145" t="s">
        <v>45</v>
      </c>
      <c r="E1145">
        <v>0</v>
      </c>
      <c r="F1145" t="s">
        <v>48</v>
      </c>
    </row>
    <row r="1146" spans="1:6" ht="15" hidden="1" customHeight="1" x14ac:dyDescent="0.25">
      <c r="A1146" t="s">
        <v>76</v>
      </c>
      <c r="B1146" t="s">
        <v>58</v>
      </c>
      <c r="C1146">
        <v>5</v>
      </c>
      <c r="D1146" t="s">
        <v>7</v>
      </c>
      <c r="E1146">
        <v>0</v>
      </c>
      <c r="F1146" t="s">
        <v>48</v>
      </c>
    </row>
    <row r="1147" spans="1:6" ht="15" hidden="1" customHeight="1" x14ac:dyDescent="0.25">
      <c r="A1147" t="s">
        <v>76</v>
      </c>
      <c r="B1147" t="s">
        <v>58</v>
      </c>
      <c r="C1147">
        <v>6</v>
      </c>
      <c r="D1147" t="s">
        <v>53</v>
      </c>
      <c r="E1147">
        <v>0</v>
      </c>
      <c r="F1147" t="s">
        <v>48</v>
      </c>
    </row>
    <row r="1148" spans="1:6" ht="15" hidden="1" customHeight="1" x14ac:dyDescent="0.25">
      <c r="A1148" t="s">
        <v>76</v>
      </c>
      <c r="B1148" t="s">
        <v>58</v>
      </c>
      <c r="C1148">
        <v>7</v>
      </c>
      <c r="D1148" t="s">
        <v>56</v>
      </c>
      <c r="E1148">
        <v>0</v>
      </c>
      <c r="F1148" t="s">
        <v>48</v>
      </c>
    </row>
    <row r="1149" spans="1:6" ht="15" hidden="1" customHeight="1" x14ac:dyDescent="0.25">
      <c r="A1149" t="s">
        <v>76</v>
      </c>
      <c r="B1149" t="s">
        <v>58</v>
      </c>
      <c r="C1149">
        <v>8</v>
      </c>
      <c r="D1149" t="s">
        <v>60</v>
      </c>
      <c r="E1149">
        <v>0</v>
      </c>
      <c r="F1149" t="s">
        <v>48</v>
      </c>
    </row>
    <row r="1150" spans="1:6" ht="15" hidden="1" customHeight="1" x14ac:dyDescent="0.25">
      <c r="A1150" t="s">
        <v>76</v>
      </c>
      <c r="B1150" t="s">
        <v>58</v>
      </c>
      <c r="C1150">
        <v>9</v>
      </c>
      <c r="D1150" t="s">
        <v>63</v>
      </c>
      <c r="E1150">
        <v>0</v>
      </c>
      <c r="F1150" t="s">
        <v>48</v>
      </c>
    </row>
    <row r="1151" spans="1:6" ht="15" hidden="1" customHeight="1" x14ac:dyDescent="0.25">
      <c r="A1151" t="s">
        <v>76</v>
      </c>
      <c r="B1151" t="s">
        <v>58</v>
      </c>
      <c r="C1151">
        <v>10</v>
      </c>
      <c r="D1151" t="s">
        <v>65</v>
      </c>
      <c r="E1151">
        <v>0</v>
      </c>
      <c r="F1151" t="s">
        <v>48</v>
      </c>
    </row>
    <row r="1152" spans="1:6" ht="15" hidden="1" customHeight="1" x14ac:dyDescent="0.25">
      <c r="A1152" t="s">
        <v>76</v>
      </c>
      <c r="B1152" t="s">
        <v>58</v>
      </c>
      <c r="C1152">
        <v>11</v>
      </c>
      <c r="D1152" t="s">
        <v>67</v>
      </c>
      <c r="E1152">
        <v>0</v>
      </c>
      <c r="F1152" t="s">
        <v>48</v>
      </c>
    </row>
    <row r="1153" spans="1:6" ht="15" hidden="1" customHeight="1" x14ac:dyDescent="0.25">
      <c r="A1153" t="s">
        <v>76</v>
      </c>
      <c r="B1153" t="s">
        <v>58</v>
      </c>
      <c r="C1153">
        <v>12</v>
      </c>
      <c r="D1153" t="s">
        <v>70</v>
      </c>
      <c r="E1153">
        <v>0</v>
      </c>
      <c r="F1153" t="s">
        <v>48</v>
      </c>
    </row>
  </sheetData>
  <autoFilter ref="A1:F1153" xr:uid="{00000000-0009-0000-0000-000002000000}">
    <filterColumn colId="3">
      <filters>
        <filter val="Janvier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1:R22"/>
  <sheetViews>
    <sheetView showGridLines="0" zoomScale="80" zoomScaleNormal="80" workbookViewId="0">
      <selection activeCell="E14" sqref="E14"/>
    </sheetView>
  </sheetViews>
  <sheetFormatPr baseColWidth="10" defaultColWidth="11.42578125" defaultRowHeight="15" x14ac:dyDescent="0.25"/>
  <sheetData>
    <row r="1" spans="7:18" ht="15.75" customHeight="1" x14ac:dyDescent="0.25"/>
    <row r="2" spans="7:18" ht="15" customHeight="1" x14ac:dyDescent="0.25">
      <c r="G2" s="68" t="s">
        <v>84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</row>
    <row r="3" spans="7:18" ht="15" customHeight="1" x14ac:dyDescent="0.25">
      <c r="G3" s="41"/>
      <c r="H3" s="39"/>
      <c r="I3" s="39"/>
      <c r="J3" s="39"/>
      <c r="K3" s="39"/>
      <c r="L3" s="39"/>
      <c r="M3" s="39"/>
      <c r="N3" s="39"/>
      <c r="O3" s="39"/>
      <c r="P3" s="39"/>
      <c r="Q3" s="39"/>
      <c r="R3" s="62"/>
    </row>
    <row r="4" spans="7:18" ht="15" customHeight="1" x14ac:dyDescent="0.25">
      <c r="G4" s="41"/>
      <c r="H4" s="39"/>
      <c r="I4" s="39"/>
      <c r="J4" s="39"/>
      <c r="K4" s="39"/>
      <c r="L4" s="39"/>
      <c r="M4" s="39"/>
      <c r="N4" s="39"/>
      <c r="O4" s="39"/>
      <c r="P4" s="39"/>
      <c r="Q4" s="39"/>
      <c r="R4" s="62"/>
    </row>
    <row r="5" spans="7:18" ht="15" customHeight="1" x14ac:dyDescent="0.25">
      <c r="G5" s="41"/>
      <c r="H5" s="39"/>
      <c r="I5" s="39"/>
      <c r="J5" s="39"/>
      <c r="K5" s="39"/>
      <c r="L5" s="39"/>
      <c r="M5" s="39"/>
      <c r="N5" s="39"/>
      <c r="O5" s="39"/>
      <c r="P5" s="39"/>
      <c r="Q5" s="39"/>
      <c r="R5" s="62"/>
    </row>
    <row r="6" spans="7:18" ht="15" customHeight="1" x14ac:dyDescent="0.25">
      <c r="G6" s="41"/>
      <c r="H6" s="39"/>
      <c r="I6" s="39"/>
      <c r="J6" s="39"/>
      <c r="K6" s="39"/>
      <c r="L6" s="39"/>
      <c r="M6" s="39"/>
      <c r="N6" s="39"/>
      <c r="O6" s="39"/>
      <c r="P6" s="39"/>
      <c r="Q6" s="39"/>
      <c r="R6" s="62"/>
    </row>
    <row r="7" spans="7:18" ht="15" customHeight="1" x14ac:dyDescent="0.25">
      <c r="G7" s="41"/>
      <c r="H7" s="39"/>
      <c r="I7" s="39"/>
      <c r="J7" s="39"/>
      <c r="K7" s="39"/>
      <c r="L7" s="39"/>
      <c r="M7" s="39"/>
      <c r="N7" s="39"/>
      <c r="O7" s="39"/>
      <c r="P7" s="39"/>
      <c r="Q7" s="39"/>
      <c r="R7" s="62"/>
    </row>
    <row r="8" spans="7:18" ht="15" customHeight="1" x14ac:dyDescent="0.25">
      <c r="G8" s="41"/>
      <c r="H8" s="39"/>
      <c r="I8" s="39"/>
      <c r="J8" s="39"/>
      <c r="K8" s="39"/>
      <c r="L8" s="39"/>
      <c r="M8" s="39"/>
      <c r="N8" s="39"/>
      <c r="O8" s="39"/>
      <c r="P8" s="39"/>
      <c r="Q8" s="39"/>
      <c r="R8" s="62"/>
    </row>
    <row r="9" spans="7:18" ht="15" customHeight="1" x14ac:dyDescent="0.25">
      <c r="G9" s="41"/>
      <c r="H9" s="39"/>
      <c r="I9" s="39"/>
      <c r="J9" s="39"/>
      <c r="K9" s="39"/>
      <c r="L9" s="39"/>
      <c r="M9" s="39"/>
      <c r="N9" s="39"/>
      <c r="O9" s="39"/>
      <c r="P9" s="39"/>
      <c r="Q9" s="39"/>
      <c r="R9" s="62"/>
    </row>
    <row r="10" spans="7:18" ht="15" customHeight="1" x14ac:dyDescent="0.25">
      <c r="G10" s="41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2"/>
    </row>
    <row r="11" spans="7:18" ht="15" customHeight="1" x14ac:dyDescent="0.25">
      <c r="G11" s="4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62"/>
    </row>
    <row r="12" spans="7:18" ht="15" customHeight="1" x14ac:dyDescent="0.25">
      <c r="G12" s="41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62"/>
    </row>
    <row r="13" spans="7:18" ht="15" customHeight="1" x14ac:dyDescent="0.25">
      <c r="G13" s="41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62"/>
    </row>
    <row r="14" spans="7:18" ht="15" customHeight="1" x14ac:dyDescent="0.25">
      <c r="G14" s="41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62"/>
    </row>
    <row r="15" spans="7:18" ht="15" customHeight="1" x14ac:dyDescent="0.25">
      <c r="G15" s="41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2"/>
    </row>
    <row r="16" spans="7:18" ht="15" customHeight="1" x14ac:dyDescent="0.25">
      <c r="G16" s="41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62"/>
    </row>
    <row r="17" spans="7:18" ht="15" customHeight="1" x14ac:dyDescent="0.25">
      <c r="G17" s="41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62"/>
    </row>
    <row r="18" spans="7:18" ht="15" customHeight="1" x14ac:dyDescent="0.25">
      <c r="G18" s="41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62"/>
    </row>
    <row r="19" spans="7:18" ht="15" customHeight="1" x14ac:dyDescent="0.25">
      <c r="G19" s="41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62"/>
    </row>
    <row r="20" spans="7:18" ht="15" customHeight="1" x14ac:dyDescent="0.25">
      <c r="G20" s="41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62"/>
    </row>
    <row r="21" spans="7:18" ht="15" customHeight="1" x14ac:dyDescent="0.25">
      <c r="G21" s="41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62"/>
    </row>
    <row r="22" spans="7:18" ht="15.75" customHeight="1" x14ac:dyDescent="0.25"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63"/>
    </row>
  </sheetData>
  <mergeCells count="1">
    <mergeCell ref="G2:R2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672"/>
  <sheetViews>
    <sheetView zoomScaleNormal="100" workbookViewId="0">
      <selection activeCell="H8" sqref="H8"/>
    </sheetView>
  </sheetViews>
  <sheetFormatPr baseColWidth="10" defaultColWidth="11.42578125" defaultRowHeight="15" x14ac:dyDescent="0.25"/>
  <cols>
    <col min="1" max="1" width="12.140625" bestFit="1" customWidth="1"/>
    <col min="2" max="2" width="8" bestFit="1" customWidth="1"/>
    <col min="3" max="3" width="10.7109375" bestFit="1" customWidth="1"/>
    <col min="4" max="4" width="12.42578125" bestFit="1" customWidth="1"/>
    <col min="5" max="5" width="25.85546875" bestFit="1" customWidth="1"/>
    <col min="6" max="6" width="5.140625" bestFit="1" customWidth="1"/>
    <col min="7" max="7" width="13.42578125" bestFit="1" customWidth="1"/>
    <col min="8" max="8" width="12.28515625" bestFit="1" customWidth="1"/>
    <col min="9" max="9" width="17.28515625" customWidth="1"/>
    <col min="10" max="10" width="16.85546875" customWidth="1"/>
  </cols>
  <sheetData>
    <row r="1" spans="1:8" ht="28.5" customHeight="1" thickBot="1" x14ac:dyDescent="0.3">
      <c r="A1" s="76" t="s">
        <v>85</v>
      </c>
      <c r="B1" s="77" t="s">
        <v>5</v>
      </c>
      <c r="C1" s="77" t="s">
        <v>26</v>
      </c>
      <c r="D1" s="77" t="s">
        <v>6</v>
      </c>
      <c r="E1" s="77" t="s">
        <v>86</v>
      </c>
      <c r="F1" s="77" t="s">
        <v>15</v>
      </c>
      <c r="G1" s="77" t="s">
        <v>87</v>
      </c>
      <c r="H1" s="78" t="s">
        <v>81</v>
      </c>
    </row>
    <row r="2" spans="1:8" ht="14.45" customHeight="1" x14ac:dyDescent="0.25">
      <c r="A2" s="26">
        <v>45658</v>
      </c>
      <c r="B2" s="79">
        <v>2025</v>
      </c>
      <c r="C2" s="79">
        <v>1</v>
      </c>
      <c r="D2" s="29" t="s">
        <v>35</v>
      </c>
      <c r="E2" s="29" t="s">
        <v>50</v>
      </c>
      <c r="F2" s="29" t="s">
        <v>47</v>
      </c>
      <c r="G2" s="32">
        <v>0.62160000000000004</v>
      </c>
      <c r="H2" s="82" t="s">
        <v>88</v>
      </c>
    </row>
    <row r="3" spans="1:8" ht="15.75" customHeight="1" x14ac:dyDescent="0.25">
      <c r="A3" s="27">
        <v>45659</v>
      </c>
      <c r="B3" s="80">
        <v>2025</v>
      </c>
      <c r="C3" s="80">
        <v>1</v>
      </c>
      <c r="D3" s="30" t="s">
        <v>35</v>
      </c>
      <c r="E3" s="30" t="s">
        <v>50</v>
      </c>
      <c r="F3" s="30" t="s">
        <v>43</v>
      </c>
      <c r="G3" s="33">
        <v>1.0577399999999999</v>
      </c>
      <c r="H3" s="83" t="s">
        <v>88</v>
      </c>
    </row>
    <row r="4" spans="1:8" ht="16.5" customHeight="1" x14ac:dyDescent="0.25">
      <c r="A4" s="27">
        <v>45659</v>
      </c>
      <c r="B4" s="80">
        <v>2025</v>
      </c>
      <c r="C4" s="80">
        <v>1</v>
      </c>
      <c r="D4" s="30" t="s">
        <v>35</v>
      </c>
      <c r="E4" s="30" t="s">
        <v>50</v>
      </c>
      <c r="F4" s="30" t="s">
        <v>51</v>
      </c>
      <c r="G4" s="33">
        <v>1.1220000000000001</v>
      </c>
      <c r="H4" s="83" t="s">
        <v>88</v>
      </c>
    </row>
    <row r="5" spans="1:8" ht="16.5" customHeight="1" x14ac:dyDescent="0.25">
      <c r="A5" s="27">
        <v>45659</v>
      </c>
      <c r="B5" s="80">
        <v>2025</v>
      </c>
      <c r="C5" s="80">
        <v>1</v>
      </c>
      <c r="D5" s="30" t="s">
        <v>35</v>
      </c>
      <c r="E5" s="30" t="s">
        <v>50</v>
      </c>
      <c r="F5" s="30" t="s">
        <v>55</v>
      </c>
      <c r="G5" s="33">
        <v>0.32751999999999998</v>
      </c>
      <c r="H5" s="83" t="s">
        <v>88</v>
      </c>
    </row>
    <row r="6" spans="1:8" ht="16.5" customHeight="1" x14ac:dyDescent="0.25">
      <c r="A6" s="27">
        <v>45659</v>
      </c>
      <c r="B6" s="80">
        <v>2025</v>
      </c>
      <c r="C6" s="80">
        <v>1</v>
      </c>
      <c r="D6" s="30" t="s">
        <v>35</v>
      </c>
      <c r="E6" s="30" t="s">
        <v>50</v>
      </c>
      <c r="F6" s="30" t="s">
        <v>58</v>
      </c>
      <c r="G6" s="33">
        <v>0.20089119999999999</v>
      </c>
      <c r="H6" s="83" t="s">
        <v>88</v>
      </c>
    </row>
    <row r="7" spans="1:8" ht="16.5" customHeight="1" x14ac:dyDescent="0.25">
      <c r="A7" s="27">
        <v>45659</v>
      </c>
      <c r="B7" s="80">
        <v>2025</v>
      </c>
      <c r="C7" s="80">
        <v>1</v>
      </c>
      <c r="D7" s="30" t="s">
        <v>35</v>
      </c>
      <c r="E7" s="30" t="s">
        <v>57</v>
      </c>
      <c r="F7" s="30" t="s">
        <v>43</v>
      </c>
      <c r="G7" s="33">
        <v>19.478449999999999</v>
      </c>
      <c r="H7" s="83" t="s">
        <v>89</v>
      </c>
    </row>
    <row r="8" spans="1:8" ht="16.5" customHeight="1" x14ac:dyDescent="0.25">
      <c r="A8" s="27">
        <v>45659</v>
      </c>
      <c r="B8" s="80">
        <v>2025</v>
      </c>
      <c r="C8" s="80">
        <v>1</v>
      </c>
      <c r="D8" s="30" t="s">
        <v>35</v>
      </c>
      <c r="E8" s="30" t="s">
        <v>64</v>
      </c>
      <c r="F8" s="30" t="s">
        <v>43</v>
      </c>
      <c r="G8" s="33">
        <v>8.8059999999999992</v>
      </c>
      <c r="H8" s="83" t="s">
        <v>89</v>
      </c>
    </row>
    <row r="9" spans="1:8" ht="16.5" customHeight="1" x14ac:dyDescent="0.25">
      <c r="A9" s="27">
        <v>45659</v>
      </c>
      <c r="B9" s="80">
        <v>2025</v>
      </c>
      <c r="C9" s="80">
        <v>1</v>
      </c>
      <c r="D9" s="30" t="s">
        <v>35</v>
      </c>
      <c r="E9" s="30" t="s">
        <v>66</v>
      </c>
      <c r="F9" s="30" t="s">
        <v>43</v>
      </c>
      <c r="G9" s="33">
        <v>2.5920000000000001</v>
      </c>
      <c r="H9" s="83" t="s">
        <v>89</v>
      </c>
    </row>
    <row r="10" spans="1:8" ht="16.5" customHeight="1" x14ac:dyDescent="0.25">
      <c r="A10" s="27">
        <v>45660</v>
      </c>
      <c r="B10" s="80">
        <v>2025</v>
      </c>
      <c r="C10" s="80">
        <v>1</v>
      </c>
      <c r="D10" s="30" t="s">
        <v>35</v>
      </c>
      <c r="E10" s="30" t="s">
        <v>38</v>
      </c>
      <c r="F10" s="30" t="s">
        <v>43</v>
      </c>
      <c r="G10" s="33">
        <v>2.2440000000000002</v>
      </c>
      <c r="H10" s="83" t="s">
        <v>88</v>
      </c>
    </row>
    <row r="11" spans="1:8" ht="16.5" customHeight="1" x14ac:dyDescent="0.25">
      <c r="A11" s="27">
        <v>45660</v>
      </c>
      <c r="B11" s="80">
        <v>2025</v>
      </c>
      <c r="C11" s="80">
        <v>1</v>
      </c>
      <c r="D11" s="30" t="s">
        <v>35</v>
      </c>
      <c r="E11" s="30" t="s">
        <v>42</v>
      </c>
      <c r="F11" s="30" t="s">
        <v>43</v>
      </c>
      <c r="G11" s="33">
        <v>3.9319999999999999</v>
      </c>
      <c r="H11" s="83" t="s">
        <v>88</v>
      </c>
    </row>
    <row r="12" spans="1:8" ht="16.5" customHeight="1" x14ac:dyDescent="0.25">
      <c r="A12" s="27">
        <v>45660</v>
      </c>
      <c r="B12" s="80">
        <v>2025</v>
      </c>
      <c r="C12" s="80">
        <v>1</v>
      </c>
      <c r="D12" s="30" t="s">
        <v>35</v>
      </c>
      <c r="E12" s="30" t="s">
        <v>50</v>
      </c>
      <c r="F12" s="30" t="s">
        <v>43</v>
      </c>
      <c r="G12" s="33">
        <v>4.4913552560000003</v>
      </c>
      <c r="H12" s="83" t="s">
        <v>88</v>
      </c>
    </row>
    <row r="13" spans="1:8" ht="16.5" customHeight="1" x14ac:dyDescent="0.25">
      <c r="A13" s="27">
        <v>45660</v>
      </c>
      <c r="B13" s="80">
        <v>2025</v>
      </c>
      <c r="C13" s="80">
        <v>1</v>
      </c>
      <c r="D13" s="30" t="s">
        <v>35</v>
      </c>
      <c r="E13" s="30" t="s">
        <v>54</v>
      </c>
      <c r="F13" s="30" t="s">
        <v>43</v>
      </c>
      <c r="G13" s="33">
        <v>1.6375</v>
      </c>
      <c r="H13" s="83" t="s">
        <v>88</v>
      </c>
    </row>
    <row r="14" spans="1:8" ht="16.5" customHeight="1" x14ac:dyDescent="0.25">
      <c r="A14" s="27">
        <v>45660</v>
      </c>
      <c r="B14" s="80">
        <v>2025</v>
      </c>
      <c r="C14" s="80">
        <v>1</v>
      </c>
      <c r="D14" s="30" t="s">
        <v>35</v>
      </c>
      <c r="E14" s="30" t="s">
        <v>66</v>
      </c>
      <c r="F14" s="30" t="s">
        <v>43</v>
      </c>
      <c r="G14" s="33">
        <v>8.8425999999999991</v>
      </c>
      <c r="H14" s="83" t="s">
        <v>89</v>
      </c>
    </row>
    <row r="15" spans="1:8" ht="16.5" customHeight="1" x14ac:dyDescent="0.25">
      <c r="A15" s="27">
        <v>45663</v>
      </c>
      <c r="B15" s="80">
        <v>2025</v>
      </c>
      <c r="C15" s="80">
        <v>1</v>
      </c>
      <c r="D15" s="30" t="s">
        <v>35</v>
      </c>
      <c r="E15" s="30" t="s">
        <v>42</v>
      </c>
      <c r="F15" s="30" t="s">
        <v>43</v>
      </c>
      <c r="G15" s="33">
        <v>5.17</v>
      </c>
      <c r="H15" s="83" t="s">
        <v>88</v>
      </c>
    </row>
    <row r="16" spans="1:8" ht="16.5" customHeight="1" x14ac:dyDescent="0.25">
      <c r="A16" s="27">
        <v>45663</v>
      </c>
      <c r="B16" s="80">
        <v>2025</v>
      </c>
      <c r="C16" s="80">
        <v>1</v>
      </c>
      <c r="D16" s="30" t="s">
        <v>35</v>
      </c>
      <c r="E16" s="30" t="s">
        <v>46</v>
      </c>
      <c r="F16" s="30" t="s">
        <v>43</v>
      </c>
      <c r="G16" s="33">
        <v>4.4704857750000002</v>
      </c>
      <c r="H16" s="83" t="s">
        <v>88</v>
      </c>
    </row>
    <row r="17" spans="1:8" ht="16.5" customHeight="1" x14ac:dyDescent="0.25">
      <c r="A17" s="27">
        <v>45663</v>
      </c>
      <c r="B17" s="80">
        <v>2025</v>
      </c>
      <c r="C17" s="80">
        <v>1</v>
      </c>
      <c r="D17" s="30" t="s">
        <v>35</v>
      </c>
      <c r="E17" s="30" t="s">
        <v>46</v>
      </c>
      <c r="F17" s="30" t="s">
        <v>58</v>
      </c>
      <c r="G17" s="33">
        <v>3.8468342249999998</v>
      </c>
      <c r="H17" s="83" t="s">
        <v>88</v>
      </c>
    </row>
    <row r="18" spans="1:8" ht="16.5" customHeight="1" x14ac:dyDescent="0.25">
      <c r="A18" s="27">
        <v>45663</v>
      </c>
      <c r="B18" s="80">
        <v>2025</v>
      </c>
      <c r="C18" s="80">
        <v>1</v>
      </c>
      <c r="D18" s="30" t="s">
        <v>35</v>
      </c>
      <c r="E18" s="30" t="s">
        <v>50</v>
      </c>
      <c r="F18" s="30" t="s">
        <v>43</v>
      </c>
      <c r="G18" s="33">
        <v>1.0518749999999999</v>
      </c>
      <c r="H18" s="83" t="s">
        <v>88</v>
      </c>
    </row>
    <row r="19" spans="1:8" ht="16.5" customHeight="1" x14ac:dyDescent="0.25">
      <c r="A19" s="27">
        <v>45663</v>
      </c>
      <c r="B19" s="80">
        <v>2025</v>
      </c>
      <c r="C19" s="80">
        <v>1</v>
      </c>
      <c r="D19" s="30" t="s">
        <v>35</v>
      </c>
      <c r="E19" s="30" t="s">
        <v>50</v>
      </c>
      <c r="F19" s="30" t="s">
        <v>47</v>
      </c>
      <c r="G19" s="33">
        <v>0.1105</v>
      </c>
      <c r="H19" s="83" t="s">
        <v>88</v>
      </c>
    </row>
    <row r="20" spans="1:8" ht="16.5" customHeight="1" x14ac:dyDescent="0.25">
      <c r="A20" s="27">
        <v>45663</v>
      </c>
      <c r="B20" s="80">
        <v>2025</v>
      </c>
      <c r="C20" s="80">
        <v>1</v>
      </c>
      <c r="D20" s="30" t="s">
        <v>35</v>
      </c>
      <c r="E20" s="30" t="s">
        <v>50</v>
      </c>
      <c r="F20" s="30" t="s">
        <v>51</v>
      </c>
      <c r="G20" s="33">
        <v>0.86275000000000002</v>
      </c>
      <c r="H20" s="83" t="s">
        <v>88</v>
      </c>
    </row>
    <row r="21" spans="1:8" ht="16.5" customHeight="1" x14ac:dyDescent="0.25">
      <c r="A21" s="27">
        <v>45663</v>
      </c>
      <c r="B21" s="80">
        <v>2025</v>
      </c>
      <c r="C21" s="80">
        <v>1</v>
      </c>
      <c r="D21" s="30" t="s">
        <v>35</v>
      </c>
      <c r="E21" s="30" t="s">
        <v>50</v>
      </c>
      <c r="F21" s="30" t="s">
        <v>58</v>
      </c>
      <c r="G21" s="33">
        <v>0.48506885</v>
      </c>
      <c r="H21" s="83" t="s">
        <v>88</v>
      </c>
    </row>
    <row r="22" spans="1:8" ht="16.5" customHeight="1" x14ac:dyDescent="0.25">
      <c r="A22" s="27">
        <v>45663</v>
      </c>
      <c r="B22" s="80">
        <v>2025</v>
      </c>
      <c r="C22" s="80">
        <v>1</v>
      </c>
      <c r="D22" s="30" t="s">
        <v>35</v>
      </c>
      <c r="E22" s="30" t="s">
        <v>54</v>
      </c>
      <c r="F22" s="30" t="s">
        <v>43</v>
      </c>
      <c r="G22" s="33">
        <v>0.61650000000000005</v>
      </c>
      <c r="H22" s="83" t="s">
        <v>88</v>
      </c>
    </row>
    <row r="23" spans="1:8" ht="16.5" customHeight="1" x14ac:dyDescent="0.25">
      <c r="A23" s="27">
        <v>45663</v>
      </c>
      <c r="B23" s="80">
        <v>2025</v>
      </c>
      <c r="C23" s="80">
        <v>1</v>
      </c>
      <c r="D23" s="30" t="s">
        <v>35</v>
      </c>
      <c r="E23" s="30" t="s">
        <v>61</v>
      </c>
      <c r="F23" s="30" t="s">
        <v>43</v>
      </c>
      <c r="G23" s="33">
        <v>1.0149999999999999</v>
      </c>
      <c r="H23" s="83" t="s">
        <v>89</v>
      </c>
    </row>
    <row r="24" spans="1:8" ht="16.5" customHeight="1" x14ac:dyDescent="0.25">
      <c r="A24" s="27">
        <v>45663</v>
      </c>
      <c r="B24" s="80">
        <v>2025</v>
      </c>
      <c r="C24" s="80">
        <v>1</v>
      </c>
      <c r="D24" s="30" t="s">
        <v>35</v>
      </c>
      <c r="E24" s="30" t="s">
        <v>68</v>
      </c>
      <c r="F24" s="30" t="s">
        <v>43</v>
      </c>
      <c r="G24" s="33">
        <v>6.3672000000000004</v>
      </c>
      <c r="H24" s="83" t="s">
        <v>89</v>
      </c>
    </row>
    <row r="25" spans="1:8" ht="16.5" customHeight="1" x14ac:dyDescent="0.25">
      <c r="A25" s="27">
        <v>45663</v>
      </c>
      <c r="B25" s="80">
        <v>2025</v>
      </c>
      <c r="C25" s="80">
        <v>1</v>
      </c>
      <c r="D25" s="30" t="s">
        <v>35</v>
      </c>
      <c r="E25" s="30" t="s">
        <v>73</v>
      </c>
      <c r="F25" s="30" t="s">
        <v>43</v>
      </c>
      <c r="G25" s="33">
        <v>16.37612</v>
      </c>
      <c r="H25" s="83" t="s">
        <v>89</v>
      </c>
    </row>
    <row r="26" spans="1:8" ht="16.5" customHeight="1" x14ac:dyDescent="0.25">
      <c r="A26" s="27">
        <v>45663</v>
      </c>
      <c r="B26" s="80">
        <v>2025</v>
      </c>
      <c r="C26" s="80">
        <v>1</v>
      </c>
      <c r="D26" s="30" t="s">
        <v>35</v>
      </c>
      <c r="E26" s="30" t="s">
        <v>74</v>
      </c>
      <c r="F26" s="30" t="s">
        <v>43</v>
      </c>
      <c r="G26" s="33">
        <v>48.171779999999998</v>
      </c>
      <c r="H26" s="83" t="s">
        <v>89</v>
      </c>
    </row>
    <row r="27" spans="1:8" ht="16.5" customHeight="1" x14ac:dyDescent="0.25">
      <c r="A27" s="27">
        <v>45663</v>
      </c>
      <c r="B27" s="80">
        <v>2025</v>
      </c>
      <c r="C27" s="80">
        <v>1</v>
      </c>
      <c r="D27" s="30" t="s">
        <v>35</v>
      </c>
      <c r="E27" s="30" t="s">
        <v>75</v>
      </c>
      <c r="F27" s="30" t="s">
        <v>43</v>
      </c>
      <c r="G27" s="33">
        <v>20.919366499999999</v>
      </c>
      <c r="H27" s="83" t="s">
        <v>48</v>
      </c>
    </row>
    <row r="28" spans="1:8" ht="16.5" customHeight="1" x14ac:dyDescent="0.25">
      <c r="A28" s="27">
        <v>45664</v>
      </c>
      <c r="B28" s="80">
        <v>2025</v>
      </c>
      <c r="C28" s="80">
        <v>1</v>
      </c>
      <c r="D28" s="30" t="s">
        <v>35</v>
      </c>
      <c r="E28" s="30" t="s">
        <v>42</v>
      </c>
      <c r="F28" s="30" t="s">
        <v>43</v>
      </c>
      <c r="G28" s="33">
        <v>2.38</v>
      </c>
      <c r="H28" s="83" t="s">
        <v>88</v>
      </c>
    </row>
    <row r="29" spans="1:8" ht="16.5" customHeight="1" x14ac:dyDescent="0.25">
      <c r="A29" s="27">
        <v>45664</v>
      </c>
      <c r="B29" s="80">
        <v>2025</v>
      </c>
      <c r="C29" s="80">
        <v>1</v>
      </c>
      <c r="D29" s="30" t="s">
        <v>35</v>
      </c>
      <c r="E29" s="30" t="s">
        <v>46</v>
      </c>
      <c r="F29" s="30" t="s">
        <v>43</v>
      </c>
      <c r="G29" s="33">
        <v>0.33279187500000001</v>
      </c>
      <c r="H29" s="83" t="s">
        <v>88</v>
      </c>
    </row>
    <row r="30" spans="1:8" ht="16.5" customHeight="1" x14ac:dyDescent="0.25">
      <c r="A30" s="27">
        <v>45664</v>
      </c>
      <c r="B30" s="80">
        <v>2025</v>
      </c>
      <c r="C30" s="80">
        <v>1</v>
      </c>
      <c r="D30" s="30" t="s">
        <v>35</v>
      </c>
      <c r="E30" s="30" t="s">
        <v>50</v>
      </c>
      <c r="F30" s="30" t="s">
        <v>43</v>
      </c>
      <c r="G30" s="33">
        <v>3.1279659999999998</v>
      </c>
      <c r="H30" s="83" t="s">
        <v>88</v>
      </c>
    </row>
    <row r="31" spans="1:8" ht="16.5" customHeight="1" x14ac:dyDescent="0.25">
      <c r="A31" s="27">
        <v>45664</v>
      </c>
      <c r="B31" s="80">
        <v>2025</v>
      </c>
      <c r="C31" s="80">
        <v>1</v>
      </c>
      <c r="D31" s="30" t="s">
        <v>35</v>
      </c>
      <c r="E31" s="30" t="s">
        <v>50</v>
      </c>
      <c r="F31" s="30" t="s">
        <v>47</v>
      </c>
      <c r="G31" s="33">
        <v>3.9412799999999999</v>
      </c>
      <c r="H31" s="83" t="s">
        <v>88</v>
      </c>
    </row>
    <row r="32" spans="1:8" ht="16.5" customHeight="1" x14ac:dyDescent="0.25">
      <c r="A32" s="27">
        <v>45664</v>
      </c>
      <c r="B32" s="80">
        <v>2025</v>
      </c>
      <c r="C32" s="80">
        <v>1</v>
      </c>
      <c r="D32" s="30" t="s">
        <v>35</v>
      </c>
      <c r="E32" s="30" t="s">
        <v>50</v>
      </c>
      <c r="F32" s="30" t="s">
        <v>55</v>
      </c>
      <c r="G32" s="33">
        <v>0.621</v>
      </c>
      <c r="H32" s="83" t="s">
        <v>88</v>
      </c>
    </row>
    <row r="33" spans="1:8" ht="16.5" customHeight="1" x14ac:dyDescent="0.25">
      <c r="A33" s="27">
        <v>45664</v>
      </c>
      <c r="B33" s="80">
        <v>2025</v>
      </c>
      <c r="C33" s="80">
        <v>1</v>
      </c>
      <c r="D33" s="30" t="s">
        <v>35</v>
      </c>
      <c r="E33" s="30" t="s">
        <v>54</v>
      </c>
      <c r="F33" s="30" t="s">
        <v>43</v>
      </c>
      <c r="G33" s="33">
        <v>3.76125</v>
      </c>
      <c r="H33" s="83" t="s">
        <v>88</v>
      </c>
    </row>
    <row r="34" spans="1:8" ht="16.5" customHeight="1" x14ac:dyDescent="0.25">
      <c r="A34" s="27">
        <v>45664</v>
      </c>
      <c r="B34" s="80">
        <v>2025</v>
      </c>
      <c r="C34" s="80">
        <v>1</v>
      </c>
      <c r="D34" s="30" t="s">
        <v>35</v>
      </c>
      <c r="E34" s="30" t="s">
        <v>57</v>
      </c>
      <c r="F34" s="30" t="s">
        <v>43</v>
      </c>
      <c r="G34" s="33">
        <v>0.3</v>
      </c>
      <c r="H34" s="83" t="s">
        <v>89</v>
      </c>
    </row>
    <row r="35" spans="1:8" ht="16.5" customHeight="1" x14ac:dyDescent="0.25">
      <c r="A35" s="27">
        <v>45664</v>
      </c>
      <c r="B35" s="80">
        <v>2025</v>
      </c>
      <c r="C35" s="80">
        <v>1</v>
      </c>
      <c r="D35" s="30" t="s">
        <v>35</v>
      </c>
      <c r="E35" s="30" t="s">
        <v>64</v>
      </c>
      <c r="F35" s="30" t="s">
        <v>51</v>
      </c>
      <c r="G35" s="33">
        <v>34.561399999999999</v>
      </c>
      <c r="H35" s="83" t="s">
        <v>89</v>
      </c>
    </row>
    <row r="36" spans="1:8" ht="16.5" customHeight="1" x14ac:dyDescent="0.25">
      <c r="A36" s="27">
        <v>45664</v>
      </c>
      <c r="B36" s="80">
        <v>2025</v>
      </c>
      <c r="C36" s="80">
        <v>1</v>
      </c>
      <c r="D36" s="30" t="s">
        <v>35</v>
      </c>
      <c r="E36" s="30" t="s">
        <v>66</v>
      </c>
      <c r="F36" s="30" t="s">
        <v>43</v>
      </c>
      <c r="G36" s="33">
        <v>3.61252</v>
      </c>
      <c r="H36" s="83" t="s">
        <v>89</v>
      </c>
    </row>
    <row r="37" spans="1:8" ht="16.5" customHeight="1" x14ac:dyDescent="0.25">
      <c r="A37" s="27">
        <v>45664</v>
      </c>
      <c r="B37" s="80">
        <v>2025</v>
      </c>
      <c r="C37" s="80">
        <v>1</v>
      </c>
      <c r="D37" s="30" t="s">
        <v>35</v>
      </c>
      <c r="E37" s="30" t="s">
        <v>68</v>
      </c>
      <c r="F37" s="30" t="s">
        <v>55</v>
      </c>
      <c r="G37" s="33">
        <v>0.45</v>
      </c>
      <c r="H37" s="83" t="s">
        <v>89</v>
      </c>
    </row>
    <row r="38" spans="1:8" ht="16.5" customHeight="1" x14ac:dyDescent="0.25">
      <c r="A38" s="27">
        <v>45664</v>
      </c>
      <c r="B38" s="80">
        <v>2025</v>
      </c>
      <c r="C38" s="80">
        <v>1</v>
      </c>
      <c r="D38" s="30" t="s">
        <v>35</v>
      </c>
      <c r="E38" s="30" t="s">
        <v>71</v>
      </c>
      <c r="F38" s="30" t="s">
        <v>43</v>
      </c>
      <c r="G38" s="33">
        <v>22.1</v>
      </c>
      <c r="H38" s="83" t="s">
        <v>89</v>
      </c>
    </row>
    <row r="39" spans="1:8" ht="16.5" customHeight="1" x14ac:dyDescent="0.25">
      <c r="A39" s="27">
        <v>45664</v>
      </c>
      <c r="B39" s="80">
        <v>2025</v>
      </c>
      <c r="C39" s="80">
        <v>1</v>
      </c>
      <c r="D39" s="30" t="s">
        <v>35</v>
      </c>
      <c r="E39" s="30" t="s">
        <v>71</v>
      </c>
      <c r="F39" s="30" t="s">
        <v>51</v>
      </c>
      <c r="G39" s="33">
        <v>2.8424999999999998</v>
      </c>
      <c r="H39" s="83" t="s">
        <v>89</v>
      </c>
    </row>
    <row r="40" spans="1:8" ht="16.5" customHeight="1" x14ac:dyDescent="0.25">
      <c r="A40" s="27">
        <v>45664</v>
      </c>
      <c r="B40" s="80">
        <v>2025</v>
      </c>
      <c r="C40" s="80">
        <v>1</v>
      </c>
      <c r="D40" s="30" t="s">
        <v>35</v>
      </c>
      <c r="E40" s="30" t="s">
        <v>75</v>
      </c>
      <c r="F40" s="30" t="s">
        <v>43</v>
      </c>
      <c r="G40" s="33">
        <v>0.59699999999999998</v>
      </c>
      <c r="H40" s="83" t="s">
        <v>48</v>
      </c>
    </row>
    <row r="41" spans="1:8" ht="16.5" customHeight="1" x14ac:dyDescent="0.25">
      <c r="A41" s="27">
        <v>45665</v>
      </c>
      <c r="B41" s="80">
        <v>2025</v>
      </c>
      <c r="C41" s="80">
        <v>1</v>
      </c>
      <c r="D41" s="30" t="s">
        <v>35</v>
      </c>
      <c r="E41" s="30" t="s">
        <v>38</v>
      </c>
      <c r="F41" s="30" t="s">
        <v>43</v>
      </c>
      <c r="G41" s="33">
        <v>2.0783800000000001</v>
      </c>
      <c r="H41" s="83" t="s">
        <v>88</v>
      </c>
    </row>
    <row r="42" spans="1:8" ht="16.5" customHeight="1" x14ac:dyDescent="0.25">
      <c r="A42" s="27">
        <v>45665</v>
      </c>
      <c r="B42" s="80">
        <v>2025</v>
      </c>
      <c r="C42" s="80">
        <v>1</v>
      </c>
      <c r="D42" s="30" t="s">
        <v>35</v>
      </c>
      <c r="E42" s="30" t="s">
        <v>38</v>
      </c>
      <c r="F42" s="30" t="s">
        <v>55</v>
      </c>
      <c r="G42" s="33">
        <v>0.69</v>
      </c>
      <c r="H42" s="83" t="s">
        <v>88</v>
      </c>
    </row>
    <row r="43" spans="1:8" ht="16.5" customHeight="1" x14ac:dyDescent="0.25">
      <c r="A43" s="27">
        <v>45665</v>
      </c>
      <c r="B43" s="80">
        <v>2025</v>
      </c>
      <c r="C43" s="80">
        <v>1</v>
      </c>
      <c r="D43" s="30" t="s">
        <v>35</v>
      </c>
      <c r="E43" s="30" t="s">
        <v>38</v>
      </c>
      <c r="F43" s="30" t="s">
        <v>58</v>
      </c>
      <c r="G43" s="33">
        <v>0.55920000000000003</v>
      </c>
      <c r="H43" s="83" t="s">
        <v>88</v>
      </c>
    </row>
    <row r="44" spans="1:8" ht="16.5" customHeight="1" x14ac:dyDescent="0.25">
      <c r="A44" s="27">
        <v>45665</v>
      </c>
      <c r="B44" s="80">
        <v>2025</v>
      </c>
      <c r="C44" s="80">
        <v>1</v>
      </c>
      <c r="D44" s="30" t="s">
        <v>35</v>
      </c>
      <c r="E44" s="30" t="s">
        <v>42</v>
      </c>
      <c r="F44" s="30" t="s">
        <v>43</v>
      </c>
      <c r="G44" s="33">
        <v>2.2269999999999999</v>
      </c>
      <c r="H44" s="83" t="s">
        <v>88</v>
      </c>
    </row>
    <row r="45" spans="1:8" ht="16.5" customHeight="1" x14ac:dyDescent="0.25">
      <c r="A45" s="27">
        <v>45665</v>
      </c>
      <c r="B45" s="80">
        <v>2025</v>
      </c>
      <c r="C45" s="80">
        <v>1</v>
      </c>
      <c r="D45" s="30" t="s">
        <v>35</v>
      </c>
      <c r="E45" s="30" t="s">
        <v>46</v>
      </c>
      <c r="F45" s="30" t="s">
        <v>58</v>
      </c>
      <c r="G45" s="33">
        <v>0.27326653499999998</v>
      </c>
      <c r="H45" s="83" t="s">
        <v>88</v>
      </c>
    </row>
    <row r="46" spans="1:8" ht="16.5" customHeight="1" x14ac:dyDescent="0.25">
      <c r="A46" s="27">
        <v>45665</v>
      </c>
      <c r="B46" s="80">
        <v>2025</v>
      </c>
      <c r="C46" s="80">
        <v>1</v>
      </c>
      <c r="D46" s="30" t="s">
        <v>35</v>
      </c>
      <c r="E46" s="30" t="s">
        <v>50</v>
      </c>
      <c r="F46" s="30" t="s">
        <v>43</v>
      </c>
      <c r="G46" s="33">
        <v>84.27449</v>
      </c>
      <c r="H46" s="83" t="s">
        <v>88</v>
      </c>
    </row>
    <row r="47" spans="1:8" ht="16.5" customHeight="1" x14ac:dyDescent="0.25">
      <c r="A47" s="27">
        <v>45665</v>
      </c>
      <c r="B47" s="80">
        <v>2025</v>
      </c>
      <c r="C47" s="80">
        <v>1</v>
      </c>
      <c r="D47" s="30" t="s">
        <v>35</v>
      </c>
      <c r="E47" s="30" t="s">
        <v>50</v>
      </c>
      <c r="F47" s="30" t="s">
        <v>47</v>
      </c>
      <c r="G47" s="33">
        <v>0.62160000000000004</v>
      </c>
      <c r="H47" s="83" t="s">
        <v>88</v>
      </c>
    </row>
    <row r="48" spans="1:8" ht="16.5" customHeight="1" x14ac:dyDescent="0.25">
      <c r="A48" s="27">
        <v>45665</v>
      </c>
      <c r="B48" s="80">
        <v>2025</v>
      </c>
      <c r="C48" s="80">
        <v>1</v>
      </c>
      <c r="D48" s="30" t="s">
        <v>35</v>
      </c>
      <c r="E48" s="30" t="s">
        <v>54</v>
      </c>
      <c r="F48" s="30" t="s">
        <v>43</v>
      </c>
      <c r="G48" s="33">
        <v>3.04</v>
      </c>
      <c r="H48" s="83" t="s">
        <v>88</v>
      </c>
    </row>
    <row r="49" spans="1:8" ht="16.5" customHeight="1" x14ac:dyDescent="0.25">
      <c r="A49" s="27">
        <v>45665</v>
      </c>
      <c r="B49" s="80">
        <v>2025</v>
      </c>
      <c r="C49" s="80">
        <v>1</v>
      </c>
      <c r="D49" s="30" t="s">
        <v>35</v>
      </c>
      <c r="E49" s="30" t="s">
        <v>57</v>
      </c>
      <c r="F49" s="30" t="s">
        <v>51</v>
      </c>
      <c r="G49" s="33">
        <v>5.5439999999999996</v>
      </c>
      <c r="H49" s="83" t="s">
        <v>89</v>
      </c>
    </row>
    <row r="50" spans="1:8" ht="16.5" customHeight="1" x14ac:dyDescent="0.25">
      <c r="A50" s="27">
        <v>45665</v>
      </c>
      <c r="B50" s="80">
        <v>2025</v>
      </c>
      <c r="C50" s="80">
        <v>1</v>
      </c>
      <c r="D50" s="30" t="s">
        <v>35</v>
      </c>
      <c r="E50" s="30" t="s">
        <v>64</v>
      </c>
      <c r="F50" s="30" t="s">
        <v>43</v>
      </c>
      <c r="G50" s="33">
        <v>6</v>
      </c>
      <c r="H50" s="83" t="s">
        <v>89</v>
      </c>
    </row>
    <row r="51" spans="1:8" ht="16.5" customHeight="1" x14ac:dyDescent="0.25">
      <c r="A51" s="27">
        <v>45665</v>
      </c>
      <c r="B51" s="80">
        <v>2025</v>
      </c>
      <c r="C51" s="80">
        <v>1</v>
      </c>
      <c r="D51" s="30" t="s">
        <v>35</v>
      </c>
      <c r="E51" s="30" t="s">
        <v>64</v>
      </c>
      <c r="F51" s="30" t="s">
        <v>55</v>
      </c>
      <c r="G51" s="33">
        <v>1.38</v>
      </c>
      <c r="H51" s="83" t="s">
        <v>89</v>
      </c>
    </row>
    <row r="52" spans="1:8" ht="16.5" customHeight="1" x14ac:dyDescent="0.25">
      <c r="A52" s="27">
        <v>45665</v>
      </c>
      <c r="B52" s="80">
        <v>2025</v>
      </c>
      <c r="C52" s="80">
        <v>1</v>
      </c>
      <c r="D52" s="30" t="s">
        <v>35</v>
      </c>
      <c r="E52" s="30" t="s">
        <v>66</v>
      </c>
      <c r="F52" s="30" t="s">
        <v>39</v>
      </c>
      <c r="G52" s="33">
        <v>5.43</v>
      </c>
      <c r="H52" s="83" t="s">
        <v>89</v>
      </c>
    </row>
    <row r="53" spans="1:8" ht="16.5" customHeight="1" x14ac:dyDescent="0.25">
      <c r="A53" s="27">
        <v>45665</v>
      </c>
      <c r="B53" s="80">
        <v>2025</v>
      </c>
      <c r="C53" s="80">
        <v>1</v>
      </c>
      <c r="D53" s="30" t="s">
        <v>35</v>
      </c>
      <c r="E53" s="30" t="s">
        <v>66</v>
      </c>
      <c r="F53" s="30" t="s">
        <v>43</v>
      </c>
      <c r="G53" s="33">
        <v>2.2749999999999999</v>
      </c>
      <c r="H53" s="83" t="s">
        <v>89</v>
      </c>
    </row>
    <row r="54" spans="1:8" ht="16.5" customHeight="1" x14ac:dyDescent="0.25">
      <c r="A54" s="27">
        <v>45665</v>
      </c>
      <c r="B54" s="80">
        <v>2025</v>
      </c>
      <c r="C54" s="80">
        <v>1</v>
      </c>
      <c r="D54" s="30" t="s">
        <v>35</v>
      </c>
      <c r="E54" s="30" t="s">
        <v>68</v>
      </c>
      <c r="F54" s="30" t="s">
        <v>43</v>
      </c>
      <c r="G54" s="33">
        <v>7.3318399999999997</v>
      </c>
      <c r="H54" s="83" t="s">
        <v>89</v>
      </c>
    </row>
    <row r="55" spans="1:8" ht="16.5" customHeight="1" x14ac:dyDescent="0.25">
      <c r="A55" s="27">
        <v>45665</v>
      </c>
      <c r="B55" s="80">
        <v>2025</v>
      </c>
      <c r="C55" s="80">
        <v>1</v>
      </c>
      <c r="D55" s="30" t="s">
        <v>35</v>
      </c>
      <c r="E55" s="30" t="s">
        <v>71</v>
      </c>
      <c r="F55" s="30" t="s">
        <v>39</v>
      </c>
      <c r="G55" s="33">
        <v>7.9926000000000004</v>
      </c>
      <c r="H55" s="83" t="s">
        <v>89</v>
      </c>
    </row>
    <row r="56" spans="1:8" ht="16.5" customHeight="1" x14ac:dyDescent="0.25">
      <c r="A56" s="27">
        <v>45665</v>
      </c>
      <c r="B56" s="80">
        <v>2025</v>
      </c>
      <c r="C56" s="80">
        <v>1</v>
      </c>
      <c r="D56" s="30" t="s">
        <v>35</v>
      </c>
      <c r="E56" s="30" t="s">
        <v>71</v>
      </c>
      <c r="F56" s="30" t="s">
        <v>43</v>
      </c>
      <c r="G56" s="33">
        <v>61.555399999999999</v>
      </c>
      <c r="H56" s="83" t="s">
        <v>89</v>
      </c>
    </row>
    <row r="57" spans="1:8" ht="16.5" customHeight="1" x14ac:dyDescent="0.25">
      <c r="A57" s="27">
        <v>45665</v>
      </c>
      <c r="B57" s="80">
        <v>2025</v>
      </c>
      <c r="C57" s="80">
        <v>1</v>
      </c>
      <c r="D57" s="30" t="s">
        <v>35</v>
      </c>
      <c r="E57" s="30" t="s">
        <v>75</v>
      </c>
      <c r="F57" s="30" t="s">
        <v>43</v>
      </c>
      <c r="G57" s="33">
        <v>27.928436250000001</v>
      </c>
      <c r="H57" s="83" t="s">
        <v>48</v>
      </c>
    </row>
    <row r="58" spans="1:8" ht="16.5" customHeight="1" x14ac:dyDescent="0.25">
      <c r="A58" s="27">
        <v>45666</v>
      </c>
      <c r="B58" s="80">
        <v>2025</v>
      </c>
      <c r="C58" s="80">
        <v>1</v>
      </c>
      <c r="D58" s="30" t="s">
        <v>35</v>
      </c>
      <c r="E58" s="30" t="s">
        <v>38</v>
      </c>
      <c r="F58" s="30" t="s">
        <v>43</v>
      </c>
      <c r="G58" s="33">
        <v>2.5459999999999998</v>
      </c>
      <c r="H58" s="83" t="s">
        <v>88</v>
      </c>
    </row>
    <row r="59" spans="1:8" ht="16.5" customHeight="1" x14ac:dyDescent="0.25">
      <c r="A59" s="27">
        <v>45666</v>
      </c>
      <c r="B59" s="80">
        <v>2025</v>
      </c>
      <c r="C59" s="80">
        <v>1</v>
      </c>
      <c r="D59" s="30" t="s">
        <v>35</v>
      </c>
      <c r="E59" s="30" t="s">
        <v>38</v>
      </c>
      <c r="F59" s="30" t="s">
        <v>55</v>
      </c>
      <c r="G59" s="33">
        <v>0.56000000000000005</v>
      </c>
      <c r="H59" s="83" t="s">
        <v>88</v>
      </c>
    </row>
    <row r="60" spans="1:8" ht="16.5" customHeight="1" x14ac:dyDescent="0.25">
      <c r="A60" s="27">
        <v>45666</v>
      </c>
      <c r="B60" s="80">
        <v>2025</v>
      </c>
      <c r="C60" s="80">
        <v>1</v>
      </c>
      <c r="D60" s="30" t="s">
        <v>35</v>
      </c>
      <c r="E60" s="30" t="s">
        <v>42</v>
      </c>
      <c r="F60" s="30" t="s">
        <v>43</v>
      </c>
      <c r="G60" s="33">
        <v>6.1539999999999999</v>
      </c>
      <c r="H60" s="83" t="s">
        <v>88</v>
      </c>
    </row>
    <row r="61" spans="1:8" ht="16.5" customHeight="1" x14ac:dyDescent="0.25">
      <c r="A61" s="27">
        <v>45666</v>
      </c>
      <c r="B61" s="80">
        <v>2025</v>
      </c>
      <c r="C61" s="80">
        <v>1</v>
      </c>
      <c r="D61" s="30" t="s">
        <v>35</v>
      </c>
      <c r="E61" s="30" t="s">
        <v>50</v>
      </c>
      <c r="F61" s="30" t="s">
        <v>39</v>
      </c>
      <c r="G61" s="33">
        <v>4.333615</v>
      </c>
      <c r="H61" s="83" t="s">
        <v>88</v>
      </c>
    </row>
    <row r="62" spans="1:8" ht="16.5" customHeight="1" x14ac:dyDescent="0.25">
      <c r="A62" s="27">
        <v>45666</v>
      </c>
      <c r="B62" s="80">
        <v>2025</v>
      </c>
      <c r="C62" s="80">
        <v>1</v>
      </c>
      <c r="D62" s="30" t="s">
        <v>35</v>
      </c>
      <c r="E62" s="30" t="s">
        <v>50</v>
      </c>
      <c r="F62" s="30" t="s">
        <v>43</v>
      </c>
      <c r="G62" s="33">
        <v>1.0577399999999999</v>
      </c>
      <c r="H62" s="83" t="s">
        <v>88</v>
      </c>
    </row>
    <row r="63" spans="1:8" ht="16.5" customHeight="1" x14ac:dyDescent="0.25">
      <c r="A63" s="27">
        <v>45666</v>
      </c>
      <c r="B63" s="80">
        <v>2025</v>
      </c>
      <c r="C63" s="80">
        <v>1</v>
      </c>
      <c r="D63" s="30" t="s">
        <v>35</v>
      </c>
      <c r="E63" s="30" t="s">
        <v>54</v>
      </c>
      <c r="F63" s="30" t="s">
        <v>43</v>
      </c>
      <c r="G63" s="33">
        <v>2.35</v>
      </c>
      <c r="H63" s="83" t="s">
        <v>88</v>
      </c>
    </row>
    <row r="64" spans="1:8" ht="16.5" customHeight="1" x14ac:dyDescent="0.25">
      <c r="A64" s="27">
        <v>45666</v>
      </c>
      <c r="B64" s="80">
        <v>2025</v>
      </c>
      <c r="C64" s="80">
        <v>1</v>
      </c>
      <c r="D64" s="30" t="s">
        <v>35</v>
      </c>
      <c r="E64" s="30" t="s">
        <v>57</v>
      </c>
      <c r="F64" s="30" t="s">
        <v>55</v>
      </c>
      <c r="G64" s="33">
        <v>5.3710000000000004</v>
      </c>
      <c r="H64" s="83" t="s">
        <v>89</v>
      </c>
    </row>
    <row r="65" spans="1:8" ht="16.5" customHeight="1" x14ac:dyDescent="0.25">
      <c r="A65" s="27">
        <v>45666</v>
      </c>
      <c r="B65" s="80">
        <v>2025</v>
      </c>
      <c r="C65" s="80">
        <v>1</v>
      </c>
      <c r="D65" s="30" t="s">
        <v>35</v>
      </c>
      <c r="E65" s="30" t="s">
        <v>64</v>
      </c>
      <c r="F65" s="30" t="s">
        <v>55</v>
      </c>
      <c r="G65" s="33">
        <v>1.2</v>
      </c>
      <c r="H65" s="83" t="s">
        <v>89</v>
      </c>
    </row>
    <row r="66" spans="1:8" ht="16.5" customHeight="1" x14ac:dyDescent="0.25">
      <c r="A66" s="27">
        <v>45666</v>
      </c>
      <c r="B66" s="80">
        <v>2025</v>
      </c>
      <c r="C66" s="80">
        <v>1</v>
      </c>
      <c r="D66" s="30" t="s">
        <v>35</v>
      </c>
      <c r="E66" s="30" t="s">
        <v>68</v>
      </c>
      <c r="F66" s="30" t="s">
        <v>43</v>
      </c>
      <c r="G66" s="33">
        <v>2.0034999999999998</v>
      </c>
      <c r="H66" s="83" t="s">
        <v>89</v>
      </c>
    </row>
    <row r="67" spans="1:8" ht="16.5" customHeight="1" x14ac:dyDescent="0.25">
      <c r="A67" s="27">
        <v>45666</v>
      </c>
      <c r="B67" s="80">
        <v>2025</v>
      </c>
      <c r="C67" s="80">
        <v>1</v>
      </c>
      <c r="D67" s="30" t="s">
        <v>35</v>
      </c>
      <c r="E67" s="30" t="s">
        <v>74</v>
      </c>
      <c r="F67" s="30" t="s">
        <v>43</v>
      </c>
      <c r="G67" s="33">
        <v>9.5757759999999994</v>
      </c>
      <c r="H67" s="83" t="s">
        <v>89</v>
      </c>
    </row>
    <row r="68" spans="1:8" ht="16.5" customHeight="1" x14ac:dyDescent="0.25">
      <c r="A68" s="27">
        <v>45666</v>
      </c>
      <c r="B68" s="80">
        <v>2025</v>
      </c>
      <c r="C68" s="80">
        <v>1</v>
      </c>
      <c r="D68" s="30" t="s">
        <v>35</v>
      </c>
      <c r="E68" s="30" t="s">
        <v>75</v>
      </c>
      <c r="F68" s="30" t="s">
        <v>43</v>
      </c>
      <c r="G68" s="33">
        <v>18.662600000000001</v>
      </c>
      <c r="H68" s="83" t="s">
        <v>48</v>
      </c>
    </row>
    <row r="69" spans="1:8" ht="16.5" customHeight="1" x14ac:dyDescent="0.25">
      <c r="A69" s="27">
        <v>45667</v>
      </c>
      <c r="B69" s="80">
        <v>2025</v>
      </c>
      <c r="C69" s="80">
        <v>1</v>
      </c>
      <c r="D69" s="30" t="s">
        <v>35</v>
      </c>
      <c r="E69" s="30" t="s">
        <v>42</v>
      </c>
      <c r="F69" s="30" t="s">
        <v>43</v>
      </c>
      <c r="G69" s="33">
        <v>15.37825</v>
      </c>
      <c r="H69" s="83" t="s">
        <v>88</v>
      </c>
    </row>
    <row r="70" spans="1:8" ht="16.5" customHeight="1" x14ac:dyDescent="0.25">
      <c r="A70" s="27">
        <v>45667</v>
      </c>
      <c r="B70" s="80">
        <v>2025</v>
      </c>
      <c r="C70" s="80">
        <v>1</v>
      </c>
      <c r="D70" s="30" t="s">
        <v>35</v>
      </c>
      <c r="E70" s="30" t="s">
        <v>46</v>
      </c>
      <c r="F70" s="30" t="s">
        <v>43</v>
      </c>
      <c r="G70" s="33">
        <v>0.17688937499999999</v>
      </c>
      <c r="H70" s="83" t="s">
        <v>88</v>
      </c>
    </row>
    <row r="71" spans="1:8" ht="16.5" customHeight="1" x14ac:dyDescent="0.25">
      <c r="A71" s="27">
        <v>45667</v>
      </c>
      <c r="B71" s="80">
        <v>2025</v>
      </c>
      <c r="C71" s="80">
        <v>1</v>
      </c>
      <c r="D71" s="30" t="s">
        <v>35</v>
      </c>
      <c r="E71" s="30" t="s">
        <v>50</v>
      </c>
      <c r="F71" s="30" t="s">
        <v>43</v>
      </c>
      <c r="G71" s="33">
        <v>36.126860000000001</v>
      </c>
      <c r="H71" s="83" t="s">
        <v>88</v>
      </c>
    </row>
    <row r="72" spans="1:8" ht="16.5" customHeight="1" x14ac:dyDescent="0.25">
      <c r="A72" s="27">
        <v>45667</v>
      </c>
      <c r="B72" s="80">
        <v>2025</v>
      </c>
      <c r="C72" s="80">
        <v>1</v>
      </c>
      <c r="D72" s="30" t="s">
        <v>35</v>
      </c>
      <c r="E72" s="30" t="s">
        <v>50</v>
      </c>
      <c r="F72" s="30" t="s">
        <v>47</v>
      </c>
      <c r="G72" s="33">
        <v>0.62160000000000004</v>
      </c>
      <c r="H72" s="83" t="s">
        <v>88</v>
      </c>
    </row>
    <row r="73" spans="1:8" ht="16.5" customHeight="1" x14ac:dyDescent="0.25">
      <c r="A73" s="27">
        <v>45667</v>
      </c>
      <c r="B73" s="80">
        <v>2025</v>
      </c>
      <c r="C73" s="80">
        <v>1</v>
      </c>
      <c r="D73" s="30" t="s">
        <v>35</v>
      </c>
      <c r="E73" s="30" t="s">
        <v>50</v>
      </c>
      <c r="F73" s="30" t="s">
        <v>58</v>
      </c>
      <c r="G73" s="33">
        <v>12.03610619</v>
      </c>
      <c r="H73" s="83" t="s">
        <v>88</v>
      </c>
    </row>
    <row r="74" spans="1:8" ht="16.5" customHeight="1" x14ac:dyDescent="0.25">
      <c r="A74" s="27">
        <v>45667</v>
      </c>
      <c r="B74" s="80">
        <v>2025</v>
      </c>
      <c r="C74" s="80">
        <v>1</v>
      </c>
      <c r="D74" s="30" t="s">
        <v>35</v>
      </c>
      <c r="E74" s="30" t="s">
        <v>54</v>
      </c>
      <c r="F74" s="30" t="s">
        <v>43</v>
      </c>
      <c r="G74" s="33">
        <v>5.2697500000000002</v>
      </c>
      <c r="H74" s="83" t="s">
        <v>88</v>
      </c>
    </row>
    <row r="75" spans="1:8" ht="16.5" customHeight="1" x14ac:dyDescent="0.25">
      <c r="A75" s="27">
        <v>45667</v>
      </c>
      <c r="B75" s="80">
        <v>2025</v>
      </c>
      <c r="C75" s="80">
        <v>1</v>
      </c>
      <c r="D75" s="30" t="s">
        <v>35</v>
      </c>
      <c r="E75" s="30" t="s">
        <v>54</v>
      </c>
      <c r="F75" s="30" t="s">
        <v>47</v>
      </c>
      <c r="G75" s="33">
        <v>0.64</v>
      </c>
      <c r="H75" s="83" t="s">
        <v>88</v>
      </c>
    </row>
    <row r="76" spans="1:8" ht="16.5" customHeight="1" x14ac:dyDescent="0.25">
      <c r="A76" s="27">
        <v>45667</v>
      </c>
      <c r="B76" s="80">
        <v>2025</v>
      </c>
      <c r="C76" s="80">
        <v>1</v>
      </c>
      <c r="D76" s="30" t="s">
        <v>35</v>
      </c>
      <c r="E76" s="30" t="s">
        <v>57</v>
      </c>
      <c r="F76" s="30" t="s">
        <v>43</v>
      </c>
      <c r="G76" s="33">
        <v>30.87</v>
      </c>
      <c r="H76" s="83" t="s">
        <v>89</v>
      </c>
    </row>
    <row r="77" spans="1:8" ht="16.5" customHeight="1" x14ac:dyDescent="0.25">
      <c r="A77" s="27">
        <v>45667</v>
      </c>
      <c r="B77" s="80">
        <v>2025</v>
      </c>
      <c r="C77" s="80">
        <v>1</v>
      </c>
      <c r="D77" s="30" t="s">
        <v>35</v>
      </c>
      <c r="E77" s="30" t="s">
        <v>57</v>
      </c>
      <c r="F77" s="30" t="s">
        <v>47</v>
      </c>
      <c r="G77" s="33">
        <v>9.76</v>
      </c>
      <c r="H77" s="83" t="s">
        <v>89</v>
      </c>
    </row>
    <row r="78" spans="1:8" ht="16.5" customHeight="1" x14ac:dyDescent="0.25">
      <c r="A78" s="27">
        <v>45667</v>
      </c>
      <c r="B78" s="80">
        <v>2025</v>
      </c>
      <c r="C78" s="80">
        <v>1</v>
      </c>
      <c r="D78" s="30" t="s">
        <v>35</v>
      </c>
      <c r="E78" s="30" t="s">
        <v>68</v>
      </c>
      <c r="F78" s="30" t="s">
        <v>43</v>
      </c>
      <c r="G78" s="33">
        <v>3.2955000000000001</v>
      </c>
      <c r="H78" s="83" t="s">
        <v>89</v>
      </c>
    </row>
    <row r="79" spans="1:8" ht="16.5" customHeight="1" x14ac:dyDescent="0.25">
      <c r="A79" s="27">
        <v>45667</v>
      </c>
      <c r="B79" s="80">
        <v>2025</v>
      </c>
      <c r="C79" s="80">
        <v>1</v>
      </c>
      <c r="D79" s="30" t="s">
        <v>35</v>
      </c>
      <c r="E79" s="30" t="s">
        <v>68</v>
      </c>
      <c r="F79" s="30" t="s">
        <v>55</v>
      </c>
      <c r="G79" s="33">
        <v>1.52</v>
      </c>
      <c r="H79" s="83" t="s">
        <v>89</v>
      </c>
    </row>
    <row r="80" spans="1:8" ht="16.5" customHeight="1" x14ac:dyDescent="0.25">
      <c r="A80" s="27">
        <v>45670</v>
      </c>
      <c r="B80" s="80">
        <v>2025</v>
      </c>
      <c r="C80" s="80">
        <v>1</v>
      </c>
      <c r="D80" s="30" t="s">
        <v>35</v>
      </c>
      <c r="E80" s="30" t="s">
        <v>42</v>
      </c>
      <c r="F80" s="30" t="s">
        <v>43</v>
      </c>
      <c r="G80" s="33">
        <v>3.855</v>
      </c>
      <c r="H80" s="83" t="s">
        <v>88</v>
      </c>
    </row>
    <row r="81" spans="1:8" ht="16.5" customHeight="1" x14ac:dyDescent="0.25">
      <c r="A81" s="27">
        <v>45670</v>
      </c>
      <c r="B81" s="80">
        <v>2025</v>
      </c>
      <c r="C81" s="80">
        <v>1</v>
      </c>
      <c r="D81" s="30" t="s">
        <v>35</v>
      </c>
      <c r="E81" s="30" t="s">
        <v>46</v>
      </c>
      <c r="F81" s="30" t="s">
        <v>43</v>
      </c>
      <c r="G81" s="33">
        <v>4.6288960000000001</v>
      </c>
      <c r="H81" s="83" t="s">
        <v>88</v>
      </c>
    </row>
    <row r="82" spans="1:8" ht="16.5" customHeight="1" x14ac:dyDescent="0.25">
      <c r="A82" s="27">
        <v>45670</v>
      </c>
      <c r="B82" s="80">
        <v>2025</v>
      </c>
      <c r="C82" s="80">
        <v>1</v>
      </c>
      <c r="D82" s="30" t="s">
        <v>35</v>
      </c>
      <c r="E82" s="30" t="s">
        <v>50</v>
      </c>
      <c r="F82" s="30" t="s">
        <v>43</v>
      </c>
      <c r="G82" s="33">
        <v>3.0176699999999999</v>
      </c>
      <c r="H82" s="83" t="s">
        <v>88</v>
      </c>
    </row>
    <row r="83" spans="1:8" ht="16.5" customHeight="1" x14ac:dyDescent="0.25">
      <c r="A83" s="27">
        <v>45670</v>
      </c>
      <c r="B83" s="80">
        <v>2025</v>
      </c>
      <c r="C83" s="80">
        <v>1</v>
      </c>
      <c r="D83" s="30" t="s">
        <v>35</v>
      </c>
      <c r="E83" s="30" t="s">
        <v>50</v>
      </c>
      <c r="F83" s="30" t="s">
        <v>47</v>
      </c>
      <c r="G83" s="33">
        <v>0.25074999999999997</v>
      </c>
      <c r="H83" s="83" t="s">
        <v>88</v>
      </c>
    </row>
    <row r="84" spans="1:8" ht="16.5" customHeight="1" x14ac:dyDescent="0.25">
      <c r="A84" s="27">
        <v>45670</v>
      </c>
      <c r="B84" s="80">
        <v>2025</v>
      </c>
      <c r="C84" s="80">
        <v>1</v>
      </c>
      <c r="D84" s="30" t="s">
        <v>35</v>
      </c>
      <c r="E84" s="30" t="s">
        <v>50</v>
      </c>
      <c r="F84" s="30" t="s">
        <v>51</v>
      </c>
      <c r="G84" s="33">
        <v>0.1275</v>
      </c>
      <c r="H84" s="83" t="s">
        <v>88</v>
      </c>
    </row>
    <row r="85" spans="1:8" ht="16.5" customHeight="1" x14ac:dyDescent="0.25">
      <c r="A85" s="27">
        <v>45670</v>
      </c>
      <c r="B85" s="80">
        <v>2025</v>
      </c>
      <c r="C85" s="80">
        <v>1</v>
      </c>
      <c r="D85" s="30" t="s">
        <v>35</v>
      </c>
      <c r="E85" s="30" t="s">
        <v>50</v>
      </c>
      <c r="F85" s="30" t="s">
        <v>58</v>
      </c>
      <c r="G85" s="33">
        <v>0.73329500000000003</v>
      </c>
      <c r="H85" s="83" t="s">
        <v>88</v>
      </c>
    </row>
    <row r="86" spans="1:8" ht="16.5" customHeight="1" x14ac:dyDescent="0.25">
      <c r="A86" s="27">
        <v>45670</v>
      </c>
      <c r="B86" s="80">
        <v>2025</v>
      </c>
      <c r="C86" s="80">
        <v>1</v>
      </c>
      <c r="D86" s="30" t="s">
        <v>35</v>
      </c>
      <c r="E86" s="30" t="s">
        <v>54</v>
      </c>
      <c r="F86" s="30" t="s">
        <v>43</v>
      </c>
      <c r="G86" s="33">
        <v>20.715</v>
      </c>
      <c r="H86" s="83" t="s">
        <v>88</v>
      </c>
    </row>
    <row r="87" spans="1:8" ht="16.5" customHeight="1" x14ac:dyDescent="0.25">
      <c r="A87" s="27">
        <v>45670</v>
      </c>
      <c r="B87" s="80">
        <v>2025</v>
      </c>
      <c r="C87" s="80">
        <v>1</v>
      </c>
      <c r="D87" s="30" t="s">
        <v>35</v>
      </c>
      <c r="E87" s="30" t="s">
        <v>61</v>
      </c>
      <c r="F87" s="30" t="s">
        <v>43</v>
      </c>
      <c r="G87" s="33">
        <v>2.2799999999999998</v>
      </c>
      <c r="H87" s="83" t="s">
        <v>89</v>
      </c>
    </row>
    <row r="88" spans="1:8" ht="16.5" customHeight="1" x14ac:dyDescent="0.25">
      <c r="A88" s="27">
        <v>45670</v>
      </c>
      <c r="B88" s="80">
        <v>2025</v>
      </c>
      <c r="C88" s="80">
        <v>1</v>
      </c>
      <c r="D88" s="30" t="s">
        <v>35</v>
      </c>
      <c r="E88" s="30" t="s">
        <v>66</v>
      </c>
      <c r="F88" s="30" t="s">
        <v>43</v>
      </c>
      <c r="G88" s="33">
        <v>7.0309999999999997</v>
      </c>
      <c r="H88" s="83" t="s">
        <v>89</v>
      </c>
    </row>
    <row r="89" spans="1:8" ht="16.5" customHeight="1" x14ac:dyDescent="0.25">
      <c r="A89" s="27">
        <v>45670</v>
      </c>
      <c r="B89" s="80">
        <v>2025</v>
      </c>
      <c r="C89" s="80">
        <v>1</v>
      </c>
      <c r="D89" s="30" t="s">
        <v>35</v>
      </c>
      <c r="E89" s="30" t="s">
        <v>66</v>
      </c>
      <c r="F89" s="30" t="s">
        <v>55</v>
      </c>
      <c r="G89" s="33">
        <v>2.8</v>
      </c>
      <c r="H89" s="83" t="s">
        <v>89</v>
      </c>
    </row>
    <row r="90" spans="1:8" ht="16.5" customHeight="1" x14ac:dyDescent="0.25">
      <c r="A90" s="27">
        <v>45670</v>
      </c>
      <c r="B90" s="80">
        <v>2025</v>
      </c>
      <c r="C90" s="80">
        <v>1</v>
      </c>
      <c r="D90" s="30" t="s">
        <v>35</v>
      </c>
      <c r="E90" s="30" t="s">
        <v>68</v>
      </c>
      <c r="F90" s="30" t="s">
        <v>43</v>
      </c>
      <c r="G90" s="33">
        <v>4.2430000000000003</v>
      </c>
      <c r="H90" s="83" t="s">
        <v>89</v>
      </c>
    </row>
    <row r="91" spans="1:8" ht="16.5" customHeight="1" x14ac:dyDescent="0.25">
      <c r="A91" s="27">
        <v>45670</v>
      </c>
      <c r="B91" s="80">
        <v>2025</v>
      </c>
      <c r="C91" s="80">
        <v>1</v>
      </c>
      <c r="D91" s="30" t="s">
        <v>35</v>
      </c>
      <c r="E91" s="30" t="s">
        <v>71</v>
      </c>
      <c r="F91" s="30" t="s">
        <v>43</v>
      </c>
      <c r="G91" s="33">
        <v>3.0750000000000002</v>
      </c>
      <c r="H91" s="83" t="s">
        <v>89</v>
      </c>
    </row>
    <row r="92" spans="1:8" ht="16.5" customHeight="1" x14ac:dyDescent="0.25">
      <c r="A92" s="27">
        <v>45670</v>
      </c>
      <c r="B92" s="80">
        <v>2025</v>
      </c>
      <c r="C92" s="80">
        <v>1</v>
      </c>
      <c r="D92" s="30" t="s">
        <v>35</v>
      </c>
      <c r="E92" s="30" t="s">
        <v>73</v>
      </c>
      <c r="F92" s="30" t="s">
        <v>39</v>
      </c>
      <c r="G92" s="33">
        <v>3.0415000000000001</v>
      </c>
      <c r="H92" s="83" t="s">
        <v>89</v>
      </c>
    </row>
    <row r="93" spans="1:8" ht="16.5" customHeight="1" x14ac:dyDescent="0.25">
      <c r="A93" s="27">
        <v>45670</v>
      </c>
      <c r="B93" s="80">
        <v>2025</v>
      </c>
      <c r="C93" s="80">
        <v>1</v>
      </c>
      <c r="D93" s="30" t="s">
        <v>35</v>
      </c>
      <c r="E93" s="30" t="s">
        <v>75</v>
      </c>
      <c r="F93" s="30" t="s">
        <v>43</v>
      </c>
      <c r="G93" s="33">
        <v>22.235626499999999</v>
      </c>
      <c r="H93" s="83" t="s">
        <v>48</v>
      </c>
    </row>
    <row r="94" spans="1:8" ht="16.5" customHeight="1" x14ac:dyDescent="0.25">
      <c r="A94" s="27">
        <v>45670</v>
      </c>
      <c r="B94" s="80">
        <v>2025</v>
      </c>
      <c r="C94" s="80">
        <v>1</v>
      </c>
      <c r="D94" s="30" t="s">
        <v>35</v>
      </c>
      <c r="E94" s="30" t="s">
        <v>76</v>
      </c>
      <c r="F94" s="30" t="s">
        <v>43</v>
      </c>
      <c r="G94" s="33">
        <v>37.44</v>
      </c>
      <c r="H94" s="83" t="s">
        <v>48</v>
      </c>
    </row>
    <row r="95" spans="1:8" ht="16.5" customHeight="1" x14ac:dyDescent="0.25">
      <c r="A95" s="27">
        <v>45671</v>
      </c>
      <c r="B95" s="80">
        <v>2025</v>
      </c>
      <c r="C95" s="80">
        <v>1</v>
      </c>
      <c r="D95" s="30" t="s">
        <v>35</v>
      </c>
      <c r="E95" s="30" t="s">
        <v>38</v>
      </c>
      <c r="F95" s="30" t="s">
        <v>43</v>
      </c>
      <c r="G95" s="33">
        <v>1.0223800000000001</v>
      </c>
      <c r="H95" s="83" t="s">
        <v>88</v>
      </c>
    </row>
    <row r="96" spans="1:8" ht="16.5" customHeight="1" x14ac:dyDescent="0.25">
      <c r="A96" s="27">
        <v>45671</v>
      </c>
      <c r="B96" s="80">
        <v>2025</v>
      </c>
      <c r="C96" s="80">
        <v>1</v>
      </c>
      <c r="D96" s="30" t="s">
        <v>35</v>
      </c>
      <c r="E96" s="30" t="s">
        <v>38</v>
      </c>
      <c r="F96" s="30" t="s">
        <v>55</v>
      </c>
      <c r="G96" s="33">
        <v>0.3589</v>
      </c>
      <c r="H96" s="83" t="s">
        <v>88</v>
      </c>
    </row>
    <row r="97" spans="1:8" ht="16.5" customHeight="1" x14ac:dyDescent="0.25">
      <c r="A97" s="27">
        <v>45671</v>
      </c>
      <c r="B97" s="80">
        <v>2025</v>
      </c>
      <c r="C97" s="80">
        <v>1</v>
      </c>
      <c r="D97" s="30" t="s">
        <v>35</v>
      </c>
      <c r="E97" s="30" t="s">
        <v>42</v>
      </c>
      <c r="F97" s="30" t="s">
        <v>43</v>
      </c>
      <c r="G97" s="33">
        <v>11.05</v>
      </c>
      <c r="H97" s="83" t="s">
        <v>88</v>
      </c>
    </row>
    <row r="98" spans="1:8" ht="16.5" customHeight="1" x14ac:dyDescent="0.25">
      <c r="A98" s="27">
        <v>45671</v>
      </c>
      <c r="B98" s="80">
        <v>2025</v>
      </c>
      <c r="C98" s="80">
        <v>1</v>
      </c>
      <c r="D98" s="30" t="s">
        <v>35</v>
      </c>
      <c r="E98" s="30" t="s">
        <v>46</v>
      </c>
      <c r="F98" s="30" t="s">
        <v>43</v>
      </c>
      <c r="G98" s="33">
        <v>1.9435179</v>
      </c>
      <c r="H98" s="83" t="s">
        <v>88</v>
      </c>
    </row>
    <row r="99" spans="1:8" ht="16.5" customHeight="1" x14ac:dyDescent="0.25">
      <c r="A99" s="27">
        <v>45671</v>
      </c>
      <c r="B99" s="80">
        <v>2025</v>
      </c>
      <c r="C99" s="80">
        <v>1</v>
      </c>
      <c r="D99" s="30" t="s">
        <v>35</v>
      </c>
      <c r="E99" s="30" t="s">
        <v>50</v>
      </c>
      <c r="F99" s="30" t="s">
        <v>43</v>
      </c>
      <c r="G99" s="33">
        <v>1.0577399999999999</v>
      </c>
      <c r="H99" s="83" t="s">
        <v>88</v>
      </c>
    </row>
    <row r="100" spans="1:8" ht="16.5" customHeight="1" x14ac:dyDescent="0.25">
      <c r="A100" s="27">
        <v>45671</v>
      </c>
      <c r="B100" s="80">
        <v>2025</v>
      </c>
      <c r="C100" s="80">
        <v>1</v>
      </c>
      <c r="D100" s="30" t="s">
        <v>35</v>
      </c>
      <c r="E100" s="30" t="s">
        <v>50</v>
      </c>
      <c r="F100" s="30" t="s">
        <v>55</v>
      </c>
      <c r="G100" s="33">
        <v>5.27</v>
      </c>
      <c r="H100" s="83" t="s">
        <v>88</v>
      </c>
    </row>
    <row r="101" spans="1:8" ht="16.5" customHeight="1" x14ac:dyDescent="0.25">
      <c r="A101" s="27">
        <v>45671</v>
      </c>
      <c r="B101" s="80">
        <v>2025</v>
      </c>
      <c r="C101" s="80">
        <v>1</v>
      </c>
      <c r="D101" s="30" t="s">
        <v>35</v>
      </c>
      <c r="E101" s="30" t="s">
        <v>54</v>
      </c>
      <c r="F101" s="30" t="s">
        <v>43</v>
      </c>
      <c r="G101" s="33">
        <v>0.51200000000000001</v>
      </c>
      <c r="H101" s="83" t="s">
        <v>88</v>
      </c>
    </row>
    <row r="102" spans="1:8" ht="16.5" customHeight="1" x14ac:dyDescent="0.25">
      <c r="A102" s="27">
        <v>45671</v>
      </c>
      <c r="B102" s="80">
        <v>2025</v>
      </c>
      <c r="C102" s="80">
        <v>1</v>
      </c>
      <c r="D102" s="30" t="s">
        <v>35</v>
      </c>
      <c r="E102" s="30" t="s">
        <v>57</v>
      </c>
      <c r="F102" s="30" t="s">
        <v>39</v>
      </c>
      <c r="G102" s="33">
        <v>22.583649999999999</v>
      </c>
      <c r="H102" s="83" t="s">
        <v>89</v>
      </c>
    </row>
    <row r="103" spans="1:8" ht="16.5" customHeight="1" x14ac:dyDescent="0.25">
      <c r="A103" s="27">
        <v>45671</v>
      </c>
      <c r="B103" s="80">
        <v>2025</v>
      </c>
      <c r="C103" s="80">
        <v>1</v>
      </c>
      <c r="D103" s="30" t="s">
        <v>35</v>
      </c>
      <c r="E103" s="30" t="s">
        <v>64</v>
      </c>
      <c r="F103" s="30" t="s">
        <v>43</v>
      </c>
      <c r="G103" s="33">
        <v>28.066500000000001</v>
      </c>
      <c r="H103" s="83" t="s">
        <v>89</v>
      </c>
    </row>
    <row r="104" spans="1:8" ht="16.5" customHeight="1" x14ac:dyDescent="0.25">
      <c r="A104" s="27">
        <v>45671</v>
      </c>
      <c r="B104" s="80">
        <v>2025</v>
      </c>
      <c r="C104" s="80">
        <v>1</v>
      </c>
      <c r="D104" s="30" t="s">
        <v>35</v>
      </c>
      <c r="E104" s="30" t="s">
        <v>66</v>
      </c>
      <c r="F104" s="30" t="s">
        <v>43</v>
      </c>
      <c r="G104" s="33">
        <v>15.5025</v>
      </c>
      <c r="H104" s="83" t="s">
        <v>89</v>
      </c>
    </row>
    <row r="105" spans="1:8" ht="16.5" customHeight="1" x14ac:dyDescent="0.25">
      <c r="A105" s="27">
        <v>45671</v>
      </c>
      <c r="B105" s="80">
        <v>2025</v>
      </c>
      <c r="C105" s="80">
        <v>1</v>
      </c>
      <c r="D105" s="30" t="s">
        <v>35</v>
      </c>
      <c r="E105" s="30" t="s">
        <v>71</v>
      </c>
      <c r="F105" s="30" t="s">
        <v>39</v>
      </c>
      <c r="G105" s="33">
        <v>7.8527399999999998</v>
      </c>
      <c r="H105" s="83" t="s">
        <v>89</v>
      </c>
    </row>
    <row r="106" spans="1:8" ht="16.5" customHeight="1" x14ac:dyDescent="0.25">
      <c r="A106" s="27">
        <v>45672</v>
      </c>
      <c r="B106" s="80">
        <v>2025</v>
      </c>
      <c r="C106" s="80">
        <v>1</v>
      </c>
      <c r="D106" s="30" t="s">
        <v>35</v>
      </c>
      <c r="E106" s="30" t="s">
        <v>38</v>
      </c>
      <c r="F106" s="30" t="s">
        <v>43</v>
      </c>
      <c r="G106" s="33">
        <v>1.19</v>
      </c>
      <c r="H106" s="83" t="s">
        <v>88</v>
      </c>
    </row>
    <row r="107" spans="1:8" ht="16.5" customHeight="1" x14ac:dyDescent="0.25">
      <c r="A107" s="27">
        <v>45672</v>
      </c>
      <c r="B107" s="80">
        <v>2025</v>
      </c>
      <c r="C107" s="80">
        <v>1</v>
      </c>
      <c r="D107" s="30" t="s">
        <v>35</v>
      </c>
      <c r="E107" s="30" t="s">
        <v>42</v>
      </c>
      <c r="F107" s="30" t="s">
        <v>43</v>
      </c>
      <c r="G107" s="33">
        <v>5.5457400000000003</v>
      </c>
      <c r="H107" s="83" t="s">
        <v>88</v>
      </c>
    </row>
    <row r="108" spans="1:8" ht="16.5" customHeight="1" x14ac:dyDescent="0.25">
      <c r="A108" s="27">
        <v>45672</v>
      </c>
      <c r="B108" s="80">
        <v>2025</v>
      </c>
      <c r="C108" s="80">
        <v>1</v>
      </c>
      <c r="D108" s="30" t="s">
        <v>35</v>
      </c>
      <c r="E108" s="30" t="s">
        <v>42</v>
      </c>
      <c r="F108" s="30" t="s">
        <v>55</v>
      </c>
      <c r="G108" s="33">
        <v>11.826000000000001</v>
      </c>
      <c r="H108" s="83" t="s">
        <v>88</v>
      </c>
    </row>
    <row r="109" spans="1:8" ht="16.5" customHeight="1" x14ac:dyDescent="0.25">
      <c r="A109" s="27">
        <v>45672</v>
      </c>
      <c r="B109" s="80">
        <v>2025</v>
      </c>
      <c r="C109" s="80">
        <v>1</v>
      </c>
      <c r="D109" s="30" t="s">
        <v>35</v>
      </c>
      <c r="E109" s="30" t="s">
        <v>46</v>
      </c>
      <c r="F109" s="30" t="s">
        <v>43</v>
      </c>
      <c r="G109" s="33">
        <v>4.3248126249999999</v>
      </c>
      <c r="H109" s="83" t="s">
        <v>88</v>
      </c>
    </row>
    <row r="110" spans="1:8" ht="16.5" customHeight="1" x14ac:dyDescent="0.25">
      <c r="A110" s="27">
        <v>45672</v>
      </c>
      <c r="B110" s="80">
        <v>2025</v>
      </c>
      <c r="C110" s="80">
        <v>1</v>
      </c>
      <c r="D110" s="30" t="s">
        <v>35</v>
      </c>
      <c r="E110" s="30" t="s">
        <v>50</v>
      </c>
      <c r="F110" s="30" t="s">
        <v>43</v>
      </c>
      <c r="G110" s="33">
        <v>4.9640000000000004</v>
      </c>
      <c r="H110" s="83" t="s">
        <v>88</v>
      </c>
    </row>
    <row r="111" spans="1:8" ht="16.5" customHeight="1" x14ac:dyDescent="0.25">
      <c r="A111" s="27">
        <v>45672</v>
      </c>
      <c r="B111" s="80">
        <v>2025</v>
      </c>
      <c r="C111" s="80">
        <v>1</v>
      </c>
      <c r="D111" s="30" t="s">
        <v>35</v>
      </c>
      <c r="E111" s="30" t="s">
        <v>50</v>
      </c>
      <c r="F111" s="30" t="s">
        <v>47</v>
      </c>
      <c r="G111" s="33">
        <v>1.2432000000000001</v>
      </c>
      <c r="H111" s="83" t="s">
        <v>88</v>
      </c>
    </row>
    <row r="112" spans="1:8" ht="16.5" customHeight="1" x14ac:dyDescent="0.25">
      <c r="A112" s="27">
        <v>45672</v>
      </c>
      <c r="B112" s="80">
        <v>2025</v>
      </c>
      <c r="C112" s="80">
        <v>1</v>
      </c>
      <c r="D112" s="30" t="s">
        <v>35</v>
      </c>
      <c r="E112" s="30" t="s">
        <v>54</v>
      </c>
      <c r="F112" s="30" t="s">
        <v>43</v>
      </c>
      <c r="G112" s="33">
        <v>1.45</v>
      </c>
      <c r="H112" s="83" t="s">
        <v>88</v>
      </c>
    </row>
    <row r="113" spans="1:8" ht="16.5" customHeight="1" x14ac:dyDescent="0.25">
      <c r="A113" s="27">
        <v>45672</v>
      </c>
      <c r="B113" s="80">
        <v>2025</v>
      </c>
      <c r="C113" s="80">
        <v>1</v>
      </c>
      <c r="D113" s="30" t="s">
        <v>35</v>
      </c>
      <c r="E113" s="30" t="s">
        <v>66</v>
      </c>
      <c r="F113" s="30" t="s">
        <v>43</v>
      </c>
      <c r="G113" s="33">
        <v>2.1114000000000002</v>
      </c>
      <c r="H113" s="83" t="s">
        <v>89</v>
      </c>
    </row>
    <row r="114" spans="1:8" ht="16.5" customHeight="1" x14ac:dyDescent="0.25">
      <c r="A114" s="27">
        <v>45672</v>
      </c>
      <c r="B114" s="80">
        <v>2025</v>
      </c>
      <c r="C114" s="80">
        <v>1</v>
      </c>
      <c r="D114" s="30" t="s">
        <v>35</v>
      </c>
      <c r="E114" s="30" t="s">
        <v>68</v>
      </c>
      <c r="F114" s="30" t="s">
        <v>43</v>
      </c>
      <c r="G114" s="33">
        <v>1.3779999999999999</v>
      </c>
      <c r="H114" s="83" t="s">
        <v>89</v>
      </c>
    </row>
    <row r="115" spans="1:8" ht="16.5" customHeight="1" x14ac:dyDescent="0.25">
      <c r="A115" s="27">
        <v>45672</v>
      </c>
      <c r="B115" s="80">
        <v>2025</v>
      </c>
      <c r="C115" s="80">
        <v>1</v>
      </c>
      <c r="D115" s="30" t="s">
        <v>35</v>
      </c>
      <c r="E115" s="30" t="s">
        <v>71</v>
      </c>
      <c r="F115" s="30" t="s">
        <v>43</v>
      </c>
      <c r="G115" s="33">
        <v>26.387499999999999</v>
      </c>
      <c r="H115" s="83" t="s">
        <v>89</v>
      </c>
    </row>
    <row r="116" spans="1:8" ht="16.5" customHeight="1" x14ac:dyDescent="0.25">
      <c r="A116" s="27">
        <v>45672</v>
      </c>
      <c r="B116" s="80">
        <v>2025</v>
      </c>
      <c r="C116" s="80">
        <v>1</v>
      </c>
      <c r="D116" s="30" t="s">
        <v>35</v>
      </c>
      <c r="E116" s="30" t="s">
        <v>75</v>
      </c>
      <c r="F116" s="30" t="s">
        <v>47</v>
      </c>
      <c r="G116" s="33">
        <v>0.88500000000000001</v>
      </c>
      <c r="H116" s="83" t="s">
        <v>48</v>
      </c>
    </row>
    <row r="117" spans="1:8" ht="16.5" customHeight="1" x14ac:dyDescent="0.25">
      <c r="A117" s="27">
        <v>45673</v>
      </c>
      <c r="B117" s="80">
        <v>2025</v>
      </c>
      <c r="C117" s="80">
        <v>1</v>
      </c>
      <c r="D117" s="30" t="s">
        <v>35</v>
      </c>
      <c r="E117" s="30" t="s">
        <v>38</v>
      </c>
      <c r="F117" s="30" t="s">
        <v>43</v>
      </c>
      <c r="G117" s="33">
        <v>3.52</v>
      </c>
      <c r="H117" s="83" t="s">
        <v>88</v>
      </c>
    </row>
    <row r="118" spans="1:8" ht="16.5" customHeight="1" x14ac:dyDescent="0.25">
      <c r="A118" s="27">
        <v>45673</v>
      </c>
      <c r="B118" s="80">
        <v>2025</v>
      </c>
      <c r="C118" s="80">
        <v>1</v>
      </c>
      <c r="D118" s="30" t="s">
        <v>35</v>
      </c>
      <c r="E118" s="30" t="s">
        <v>42</v>
      </c>
      <c r="F118" s="30" t="s">
        <v>43</v>
      </c>
      <c r="G118" s="33">
        <v>1.3260000000000001</v>
      </c>
      <c r="H118" s="83" t="s">
        <v>88</v>
      </c>
    </row>
    <row r="119" spans="1:8" ht="16.5" customHeight="1" x14ac:dyDescent="0.25">
      <c r="A119" s="27">
        <v>45673</v>
      </c>
      <c r="B119" s="80">
        <v>2025</v>
      </c>
      <c r="C119" s="80">
        <v>1</v>
      </c>
      <c r="D119" s="30" t="s">
        <v>35</v>
      </c>
      <c r="E119" s="30" t="s">
        <v>46</v>
      </c>
      <c r="F119" s="30" t="s">
        <v>43</v>
      </c>
      <c r="G119" s="33">
        <v>1.4637199999999999</v>
      </c>
      <c r="H119" s="83" t="s">
        <v>88</v>
      </c>
    </row>
    <row r="120" spans="1:8" ht="16.5" customHeight="1" x14ac:dyDescent="0.25">
      <c r="A120" s="27">
        <v>45673</v>
      </c>
      <c r="B120" s="80">
        <v>2025</v>
      </c>
      <c r="C120" s="80">
        <v>1</v>
      </c>
      <c r="D120" s="30" t="s">
        <v>35</v>
      </c>
      <c r="E120" s="30" t="s">
        <v>50</v>
      </c>
      <c r="F120" s="30" t="s">
        <v>43</v>
      </c>
      <c r="G120" s="33">
        <v>144.87123600000001</v>
      </c>
      <c r="H120" s="83" t="s">
        <v>88</v>
      </c>
    </row>
    <row r="121" spans="1:8" ht="16.5" customHeight="1" x14ac:dyDescent="0.25">
      <c r="A121" s="27">
        <v>45673</v>
      </c>
      <c r="B121" s="80">
        <v>2025</v>
      </c>
      <c r="C121" s="80">
        <v>1</v>
      </c>
      <c r="D121" s="30" t="s">
        <v>35</v>
      </c>
      <c r="E121" s="30" t="s">
        <v>50</v>
      </c>
      <c r="F121" s="30" t="s">
        <v>47</v>
      </c>
      <c r="G121" s="33">
        <v>1.2432000000000001</v>
      </c>
      <c r="H121" s="83" t="s">
        <v>88</v>
      </c>
    </row>
    <row r="122" spans="1:8" ht="16.5" customHeight="1" x14ac:dyDescent="0.25">
      <c r="A122" s="27">
        <v>45673</v>
      </c>
      <c r="B122" s="80">
        <v>2025</v>
      </c>
      <c r="C122" s="80">
        <v>1</v>
      </c>
      <c r="D122" s="30" t="s">
        <v>35</v>
      </c>
      <c r="E122" s="30" t="s">
        <v>50</v>
      </c>
      <c r="F122" s="30" t="s">
        <v>58</v>
      </c>
      <c r="G122" s="33">
        <v>1.5701438000000001</v>
      </c>
      <c r="H122" s="83" t="s">
        <v>88</v>
      </c>
    </row>
    <row r="123" spans="1:8" ht="16.5" customHeight="1" x14ac:dyDescent="0.25">
      <c r="A123" s="27">
        <v>45673</v>
      </c>
      <c r="B123" s="80">
        <v>2025</v>
      </c>
      <c r="C123" s="80">
        <v>1</v>
      </c>
      <c r="D123" s="30" t="s">
        <v>35</v>
      </c>
      <c r="E123" s="30" t="s">
        <v>54</v>
      </c>
      <c r="F123" s="30" t="s">
        <v>43</v>
      </c>
      <c r="G123" s="33">
        <v>3.6025</v>
      </c>
      <c r="H123" s="83" t="s">
        <v>88</v>
      </c>
    </row>
    <row r="124" spans="1:8" ht="16.5" customHeight="1" x14ac:dyDescent="0.25">
      <c r="A124" s="27">
        <v>45673</v>
      </c>
      <c r="B124" s="80">
        <v>2025</v>
      </c>
      <c r="C124" s="80">
        <v>1</v>
      </c>
      <c r="D124" s="30" t="s">
        <v>35</v>
      </c>
      <c r="E124" s="30" t="s">
        <v>57</v>
      </c>
      <c r="F124" s="30" t="s">
        <v>39</v>
      </c>
      <c r="G124" s="33">
        <v>61.173900000000003</v>
      </c>
      <c r="H124" s="83" t="s">
        <v>89</v>
      </c>
    </row>
    <row r="125" spans="1:8" ht="16.5" customHeight="1" x14ac:dyDescent="0.25">
      <c r="A125" s="27">
        <v>45673</v>
      </c>
      <c r="B125" s="80">
        <v>2025</v>
      </c>
      <c r="C125" s="80">
        <v>1</v>
      </c>
      <c r="D125" s="30" t="s">
        <v>35</v>
      </c>
      <c r="E125" s="30" t="s">
        <v>57</v>
      </c>
      <c r="F125" s="30" t="s">
        <v>51</v>
      </c>
      <c r="G125" s="33">
        <v>5.1727800000000004</v>
      </c>
      <c r="H125" s="83" t="s">
        <v>89</v>
      </c>
    </row>
    <row r="126" spans="1:8" ht="16.5" customHeight="1" x14ac:dyDescent="0.25">
      <c r="A126" s="27">
        <v>45673</v>
      </c>
      <c r="B126" s="80">
        <v>2025</v>
      </c>
      <c r="C126" s="80">
        <v>1</v>
      </c>
      <c r="D126" s="30" t="s">
        <v>35</v>
      </c>
      <c r="E126" s="30" t="s">
        <v>64</v>
      </c>
      <c r="F126" s="30" t="s">
        <v>43</v>
      </c>
      <c r="G126" s="33">
        <v>31.055900000000001</v>
      </c>
      <c r="H126" s="83" t="s">
        <v>89</v>
      </c>
    </row>
    <row r="127" spans="1:8" ht="16.5" customHeight="1" x14ac:dyDescent="0.25">
      <c r="A127" s="27">
        <v>45673</v>
      </c>
      <c r="B127" s="80">
        <v>2025</v>
      </c>
      <c r="C127" s="80">
        <v>1</v>
      </c>
      <c r="D127" s="30" t="s">
        <v>35</v>
      </c>
      <c r="E127" s="30" t="s">
        <v>66</v>
      </c>
      <c r="F127" s="30" t="s">
        <v>43</v>
      </c>
      <c r="G127" s="33">
        <v>5.85</v>
      </c>
      <c r="H127" s="83" t="s">
        <v>89</v>
      </c>
    </row>
    <row r="128" spans="1:8" ht="16.5" customHeight="1" x14ac:dyDescent="0.25">
      <c r="A128" s="27">
        <v>45673</v>
      </c>
      <c r="B128" s="80">
        <v>2025</v>
      </c>
      <c r="C128" s="80">
        <v>1</v>
      </c>
      <c r="D128" s="30" t="s">
        <v>35</v>
      </c>
      <c r="E128" s="30" t="s">
        <v>75</v>
      </c>
      <c r="F128" s="30" t="s">
        <v>43</v>
      </c>
      <c r="G128" s="33">
        <v>1.3056449999999999</v>
      </c>
      <c r="H128" s="83" t="s">
        <v>48</v>
      </c>
    </row>
    <row r="129" spans="1:8" ht="16.5" customHeight="1" x14ac:dyDescent="0.25">
      <c r="A129" s="27">
        <v>45674</v>
      </c>
      <c r="B129" s="80">
        <v>2025</v>
      </c>
      <c r="C129" s="80">
        <v>1</v>
      </c>
      <c r="D129" s="30" t="s">
        <v>35</v>
      </c>
      <c r="E129" s="30" t="s">
        <v>38</v>
      </c>
      <c r="F129" s="30" t="s">
        <v>43</v>
      </c>
      <c r="G129" s="33">
        <v>5.1855000000000002</v>
      </c>
      <c r="H129" s="83" t="s">
        <v>88</v>
      </c>
    </row>
    <row r="130" spans="1:8" ht="16.5" customHeight="1" x14ac:dyDescent="0.25">
      <c r="A130" s="27">
        <v>45674</v>
      </c>
      <c r="B130" s="80">
        <v>2025</v>
      </c>
      <c r="C130" s="80">
        <v>1</v>
      </c>
      <c r="D130" s="30" t="s">
        <v>35</v>
      </c>
      <c r="E130" s="30" t="s">
        <v>38</v>
      </c>
      <c r="F130" s="30" t="s">
        <v>47</v>
      </c>
      <c r="G130" s="33">
        <v>0.72499999999999998</v>
      </c>
      <c r="H130" s="83" t="s">
        <v>88</v>
      </c>
    </row>
    <row r="131" spans="1:8" ht="16.5" customHeight="1" x14ac:dyDescent="0.25">
      <c r="A131" s="27">
        <v>45674</v>
      </c>
      <c r="B131" s="80">
        <v>2025</v>
      </c>
      <c r="C131" s="80">
        <v>1</v>
      </c>
      <c r="D131" s="30" t="s">
        <v>35</v>
      </c>
      <c r="E131" s="30" t="s">
        <v>38</v>
      </c>
      <c r="F131" s="30" t="s">
        <v>58</v>
      </c>
      <c r="G131" s="33">
        <v>0.50034999999999996</v>
      </c>
      <c r="H131" s="83" t="s">
        <v>88</v>
      </c>
    </row>
    <row r="132" spans="1:8" ht="16.5" customHeight="1" x14ac:dyDescent="0.25">
      <c r="A132" s="27">
        <v>45674</v>
      </c>
      <c r="B132" s="80">
        <v>2025</v>
      </c>
      <c r="C132" s="80">
        <v>1</v>
      </c>
      <c r="D132" s="30" t="s">
        <v>35</v>
      </c>
      <c r="E132" s="30" t="s">
        <v>42</v>
      </c>
      <c r="F132" s="30" t="s">
        <v>43</v>
      </c>
      <c r="G132" s="33">
        <v>16.489999999999998</v>
      </c>
      <c r="H132" s="83" t="s">
        <v>88</v>
      </c>
    </row>
    <row r="133" spans="1:8" ht="16.5" customHeight="1" x14ac:dyDescent="0.25">
      <c r="A133" s="27">
        <v>45674</v>
      </c>
      <c r="B133" s="80">
        <v>2025</v>
      </c>
      <c r="C133" s="80">
        <v>1</v>
      </c>
      <c r="D133" s="30" t="s">
        <v>35</v>
      </c>
      <c r="E133" s="30" t="s">
        <v>46</v>
      </c>
      <c r="F133" s="30" t="s">
        <v>43</v>
      </c>
      <c r="G133" s="33">
        <v>2.6605509000000001</v>
      </c>
      <c r="H133" s="83" t="s">
        <v>88</v>
      </c>
    </row>
    <row r="134" spans="1:8" ht="16.5" customHeight="1" x14ac:dyDescent="0.25">
      <c r="A134" s="27">
        <v>45674</v>
      </c>
      <c r="B134" s="80">
        <v>2025</v>
      </c>
      <c r="C134" s="80">
        <v>1</v>
      </c>
      <c r="D134" s="30" t="s">
        <v>35</v>
      </c>
      <c r="E134" s="30" t="s">
        <v>54</v>
      </c>
      <c r="F134" s="30" t="s">
        <v>43</v>
      </c>
      <c r="G134" s="33">
        <v>1.526</v>
      </c>
      <c r="H134" s="83" t="s">
        <v>88</v>
      </c>
    </row>
    <row r="135" spans="1:8" ht="16.5" customHeight="1" x14ac:dyDescent="0.25">
      <c r="A135" s="27">
        <v>45674</v>
      </c>
      <c r="B135" s="80">
        <v>2025</v>
      </c>
      <c r="C135" s="80">
        <v>1</v>
      </c>
      <c r="D135" s="30" t="s">
        <v>35</v>
      </c>
      <c r="E135" s="30" t="s">
        <v>54</v>
      </c>
      <c r="F135" s="30" t="s">
        <v>47</v>
      </c>
      <c r="G135" s="33">
        <v>0.2175</v>
      </c>
      <c r="H135" s="83" t="s">
        <v>88</v>
      </c>
    </row>
    <row r="136" spans="1:8" ht="16.5" customHeight="1" x14ac:dyDescent="0.25">
      <c r="A136" s="27">
        <v>45674</v>
      </c>
      <c r="B136" s="80">
        <v>2025</v>
      </c>
      <c r="C136" s="80">
        <v>1</v>
      </c>
      <c r="D136" s="30" t="s">
        <v>35</v>
      </c>
      <c r="E136" s="30" t="s">
        <v>66</v>
      </c>
      <c r="F136" s="30" t="s">
        <v>43</v>
      </c>
      <c r="G136" s="33">
        <v>1.0902499999999999</v>
      </c>
      <c r="H136" s="83" t="s">
        <v>89</v>
      </c>
    </row>
    <row r="137" spans="1:8" ht="16.5" customHeight="1" x14ac:dyDescent="0.25">
      <c r="A137" s="27">
        <v>45674</v>
      </c>
      <c r="B137" s="80">
        <v>2025</v>
      </c>
      <c r="C137" s="80">
        <v>1</v>
      </c>
      <c r="D137" s="30" t="s">
        <v>35</v>
      </c>
      <c r="E137" s="30" t="s">
        <v>68</v>
      </c>
      <c r="F137" s="30" t="s">
        <v>43</v>
      </c>
      <c r="G137" s="33">
        <v>3.51</v>
      </c>
      <c r="H137" s="83" t="s">
        <v>89</v>
      </c>
    </row>
    <row r="138" spans="1:8" ht="16.5" customHeight="1" x14ac:dyDescent="0.25">
      <c r="A138" s="27">
        <v>45674</v>
      </c>
      <c r="B138" s="80">
        <v>2025</v>
      </c>
      <c r="C138" s="80">
        <v>1</v>
      </c>
      <c r="D138" s="30" t="s">
        <v>35</v>
      </c>
      <c r="E138" s="30" t="s">
        <v>71</v>
      </c>
      <c r="F138" s="30" t="s">
        <v>43</v>
      </c>
      <c r="G138" s="33">
        <v>1.7434499999999999</v>
      </c>
      <c r="H138" s="83" t="s">
        <v>89</v>
      </c>
    </row>
    <row r="139" spans="1:8" ht="16.5" customHeight="1" x14ac:dyDescent="0.25">
      <c r="A139" s="27">
        <v>45677</v>
      </c>
      <c r="B139" s="80">
        <v>2025</v>
      </c>
      <c r="C139" s="80">
        <v>1</v>
      </c>
      <c r="D139" s="30" t="s">
        <v>35</v>
      </c>
      <c r="E139" s="30" t="s">
        <v>38</v>
      </c>
      <c r="F139" s="30" t="s">
        <v>43</v>
      </c>
      <c r="G139" s="33">
        <v>1.1379760000000001</v>
      </c>
      <c r="H139" s="83" t="s">
        <v>88</v>
      </c>
    </row>
    <row r="140" spans="1:8" ht="16.5" customHeight="1" x14ac:dyDescent="0.25">
      <c r="A140" s="27">
        <v>45677</v>
      </c>
      <c r="B140" s="80">
        <v>2025</v>
      </c>
      <c r="C140" s="80">
        <v>1</v>
      </c>
      <c r="D140" s="30" t="s">
        <v>35</v>
      </c>
      <c r="E140" s="30" t="s">
        <v>38</v>
      </c>
      <c r="F140" s="30" t="s">
        <v>58</v>
      </c>
      <c r="G140" s="33">
        <v>0.63277620000000001</v>
      </c>
      <c r="H140" s="83" t="s">
        <v>88</v>
      </c>
    </row>
    <row r="141" spans="1:8" ht="16.5" customHeight="1" x14ac:dyDescent="0.25">
      <c r="A141" s="27">
        <v>45677</v>
      </c>
      <c r="B141" s="80">
        <v>2025</v>
      </c>
      <c r="C141" s="80">
        <v>1</v>
      </c>
      <c r="D141" s="30" t="s">
        <v>35</v>
      </c>
      <c r="E141" s="30" t="s">
        <v>42</v>
      </c>
      <c r="F141" s="30" t="s">
        <v>43</v>
      </c>
      <c r="G141" s="33">
        <v>9.5114999999999998</v>
      </c>
      <c r="H141" s="83" t="s">
        <v>88</v>
      </c>
    </row>
    <row r="142" spans="1:8" ht="16.5" customHeight="1" x14ac:dyDescent="0.25">
      <c r="A142" s="27">
        <v>45677</v>
      </c>
      <c r="B142" s="80">
        <v>2025</v>
      </c>
      <c r="C142" s="80">
        <v>1</v>
      </c>
      <c r="D142" s="30" t="s">
        <v>35</v>
      </c>
      <c r="E142" s="30" t="s">
        <v>46</v>
      </c>
      <c r="F142" s="30" t="s">
        <v>43</v>
      </c>
      <c r="G142" s="33">
        <v>1.0791599999999999</v>
      </c>
      <c r="H142" s="83" t="s">
        <v>88</v>
      </c>
    </row>
    <row r="143" spans="1:8" ht="16.5" customHeight="1" x14ac:dyDescent="0.25">
      <c r="A143" s="27">
        <v>45677</v>
      </c>
      <c r="B143" s="80">
        <v>2025</v>
      </c>
      <c r="C143" s="80">
        <v>1</v>
      </c>
      <c r="D143" s="30" t="s">
        <v>35</v>
      </c>
      <c r="E143" s="30" t="s">
        <v>46</v>
      </c>
      <c r="F143" s="30" t="s">
        <v>51</v>
      </c>
      <c r="G143" s="33">
        <v>0.89239999999999997</v>
      </c>
      <c r="H143" s="83" t="s">
        <v>88</v>
      </c>
    </row>
    <row r="144" spans="1:8" ht="16.5" customHeight="1" x14ac:dyDescent="0.25">
      <c r="A144" s="27">
        <v>45677</v>
      </c>
      <c r="B144" s="80">
        <v>2025</v>
      </c>
      <c r="C144" s="80">
        <v>1</v>
      </c>
      <c r="D144" s="30" t="s">
        <v>35</v>
      </c>
      <c r="E144" s="30" t="s">
        <v>50</v>
      </c>
      <c r="F144" s="30" t="s">
        <v>43</v>
      </c>
      <c r="G144" s="33">
        <v>29.36863224</v>
      </c>
      <c r="H144" s="83" t="s">
        <v>88</v>
      </c>
    </row>
    <row r="145" spans="1:8" ht="16.5" customHeight="1" x14ac:dyDescent="0.25">
      <c r="A145" s="27">
        <v>45677</v>
      </c>
      <c r="B145" s="80">
        <v>2025</v>
      </c>
      <c r="C145" s="80">
        <v>1</v>
      </c>
      <c r="D145" s="30" t="s">
        <v>35</v>
      </c>
      <c r="E145" s="30" t="s">
        <v>50</v>
      </c>
      <c r="F145" s="30" t="s">
        <v>47</v>
      </c>
      <c r="G145" s="33">
        <v>2.352865</v>
      </c>
      <c r="H145" s="83" t="s">
        <v>88</v>
      </c>
    </row>
    <row r="146" spans="1:8" ht="16.5" customHeight="1" x14ac:dyDescent="0.25">
      <c r="A146" s="27">
        <v>45677</v>
      </c>
      <c r="B146" s="80">
        <v>2025</v>
      </c>
      <c r="C146" s="80">
        <v>1</v>
      </c>
      <c r="D146" s="30" t="s">
        <v>35</v>
      </c>
      <c r="E146" s="30" t="s">
        <v>50</v>
      </c>
      <c r="F146" s="30" t="s">
        <v>51</v>
      </c>
      <c r="G146" s="33">
        <v>0.2465</v>
      </c>
      <c r="H146" s="83" t="s">
        <v>88</v>
      </c>
    </row>
    <row r="147" spans="1:8" ht="16.5" customHeight="1" x14ac:dyDescent="0.25">
      <c r="A147" s="27">
        <v>45677</v>
      </c>
      <c r="B147" s="80">
        <v>2025</v>
      </c>
      <c r="C147" s="80">
        <v>1</v>
      </c>
      <c r="D147" s="30" t="s">
        <v>35</v>
      </c>
      <c r="E147" s="30" t="s">
        <v>50</v>
      </c>
      <c r="F147" s="30" t="s">
        <v>55</v>
      </c>
      <c r="G147" s="33">
        <v>3.8438400000000001</v>
      </c>
      <c r="H147" s="83" t="s">
        <v>88</v>
      </c>
    </row>
    <row r="148" spans="1:8" ht="16.5" customHeight="1" x14ac:dyDescent="0.25">
      <c r="A148" s="27">
        <v>45677</v>
      </c>
      <c r="B148" s="80">
        <v>2025</v>
      </c>
      <c r="C148" s="80">
        <v>1</v>
      </c>
      <c r="D148" s="30" t="s">
        <v>35</v>
      </c>
      <c r="E148" s="30" t="s">
        <v>50</v>
      </c>
      <c r="F148" s="30" t="s">
        <v>58</v>
      </c>
      <c r="G148" s="33">
        <v>0.54683599999999999</v>
      </c>
      <c r="H148" s="83" t="s">
        <v>88</v>
      </c>
    </row>
    <row r="149" spans="1:8" ht="16.5" customHeight="1" x14ac:dyDescent="0.25">
      <c r="A149" s="27">
        <v>45677</v>
      </c>
      <c r="B149" s="80">
        <v>2025</v>
      </c>
      <c r="C149" s="80">
        <v>1</v>
      </c>
      <c r="D149" s="30" t="s">
        <v>35</v>
      </c>
      <c r="E149" s="30" t="s">
        <v>54</v>
      </c>
      <c r="F149" s="30" t="s">
        <v>43</v>
      </c>
      <c r="G149" s="33">
        <v>0.19500000000000001</v>
      </c>
      <c r="H149" s="83" t="s">
        <v>88</v>
      </c>
    </row>
    <row r="150" spans="1:8" ht="16.5" customHeight="1" x14ac:dyDescent="0.25">
      <c r="A150" s="27">
        <v>45677</v>
      </c>
      <c r="B150" s="80">
        <v>2025</v>
      </c>
      <c r="C150" s="80">
        <v>1</v>
      </c>
      <c r="D150" s="30" t="s">
        <v>35</v>
      </c>
      <c r="E150" s="30" t="s">
        <v>54</v>
      </c>
      <c r="F150" s="30" t="s">
        <v>47</v>
      </c>
      <c r="G150" s="33">
        <v>0.39</v>
      </c>
      <c r="H150" s="83" t="s">
        <v>88</v>
      </c>
    </row>
    <row r="151" spans="1:8" ht="16.5" customHeight="1" x14ac:dyDescent="0.25">
      <c r="A151" s="27">
        <v>45677</v>
      </c>
      <c r="B151" s="80">
        <v>2025</v>
      </c>
      <c r="C151" s="80">
        <v>1</v>
      </c>
      <c r="D151" s="30" t="s">
        <v>35</v>
      </c>
      <c r="E151" s="30" t="s">
        <v>66</v>
      </c>
      <c r="F151" s="30" t="s">
        <v>43</v>
      </c>
      <c r="G151" s="33">
        <v>5.9421799999999996</v>
      </c>
      <c r="H151" s="83" t="s">
        <v>89</v>
      </c>
    </row>
    <row r="152" spans="1:8" ht="16.5" customHeight="1" x14ac:dyDescent="0.25">
      <c r="A152" s="27">
        <v>45677</v>
      </c>
      <c r="B152" s="80">
        <v>2025</v>
      </c>
      <c r="C152" s="80">
        <v>1</v>
      </c>
      <c r="D152" s="30" t="s">
        <v>35</v>
      </c>
      <c r="E152" s="30" t="s">
        <v>68</v>
      </c>
      <c r="F152" s="30" t="s">
        <v>43</v>
      </c>
      <c r="G152" s="33">
        <v>3.4649999999999999</v>
      </c>
      <c r="H152" s="83" t="s">
        <v>89</v>
      </c>
    </row>
    <row r="153" spans="1:8" ht="16.5" customHeight="1" x14ac:dyDescent="0.25">
      <c r="A153" s="27">
        <v>45677</v>
      </c>
      <c r="B153" s="80">
        <v>2025</v>
      </c>
      <c r="C153" s="80">
        <v>1</v>
      </c>
      <c r="D153" s="30" t="s">
        <v>35</v>
      </c>
      <c r="E153" s="30" t="s">
        <v>75</v>
      </c>
      <c r="F153" s="30" t="s">
        <v>43</v>
      </c>
      <c r="G153" s="33">
        <v>7.6772987500000003</v>
      </c>
      <c r="H153" s="83" t="s">
        <v>48</v>
      </c>
    </row>
    <row r="154" spans="1:8" ht="16.5" customHeight="1" x14ac:dyDescent="0.25">
      <c r="A154" s="27">
        <v>45677</v>
      </c>
      <c r="B154" s="80">
        <v>2025</v>
      </c>
      <c r="C154" s="80">
        <v>1</v>
      </c>
      <c r="D154" s="30" t="s">
        <v>35</v>
      </c>
      <c r="E154" s="30" t="s">
        <v>75</v>
      </c>
      <c r="F154" s="30" t="s">
        <v>47</v>
      </c>
      <c r="G154" s="33">
        <v>53.907127250000002</v>
      </c>
      <c r="H154" s="83" t="s">
        <v>48</v>
      </c>
    </row>
    <row r="155" spans="1:8" ht="16.5" customHeight="1" x14ac:dyDescent="0.25">
      <c r="A155" s="27">
        <v>45678</v>
      </c>
      <c r="B155" s="80">
        <v>2025</v>
      </c>
      <c r="C155" s="80">
        <v>1</v>
      </c>
      <c r="D155" s="30" t="s">
        <v>35</v>
      </c>
      <c r="E155" s="30" t="s">
        <v>38</v>
      </c>
      <c r="F155" s="30" t="s">
        <v>43</v>
      </c>
      <c r="G155" s="33">
        <v>1.3387500000000001</v>
      </c>
      <c r="H155" s="83" t="s">
        <v>88</v>
      </c>
    </row>
    <row r="156" spans="1:8" ht="16.5" customHeight="1" x14ac:dyDescent="0.25">
      <c r="A156" s="27">
        <v>45678</v>
      </c>
      <c r="B156" s="80">
        <v>2025</v>
      </c>
      <c r="C156" s="80">
        <v>1</v>
      </c>
      <c r="D156" s="30" t="s">
        <v>35</v>
      </c>
      <c r="E156" s="30" t="s">
        <v>42</v>
      </c>
      <c r="F156" s="30" t="s">
        <v>43</v>
      </c>
      <c r="G156" s="33">
        <v>8.16</v>
      </c>
      <c r="H156" s="83" t="s">
        <v>88</v>
      </c>
    </row>
    <row r="157" spans="1:8" ht="16.5" customHeight="1" x14ac:dyDescent="0.25">
      <c r="A157" s="27">
        <v>45678</v>
      </c>
      <c r="B157" s="80">
        <v>2025</v>
      </c>
      <c r="C157" s="80">
        <v>1</v>
      </c>
      <c r="D157" s="30" t="s">
        <v>35</v>
      </c>
      <c r="E157" s="30" t="s">
        <v>46</v>
      </c>
      <c r="F157" s="30" t="s">
        <v>43</v>
      </c>
      <c r="G157" s="33">
        <v>2.1418708</v>
      </c>
      <c r="H157" s="83" t="s">
        <v>88</v>
      </c>
    </row>
    <row r="158" spans="1:8" ht="16.5" customHeight="1" x14ac:dyDescent="0.25">
      <c r="A158" s="27">
        <v>45678</v>
      </c>
      <c r="B158" s="80">
        <v>2025</v>
      </c>
      <c r="C158" s="80">
        <v>1</v>
      </c>
      <c r="D158" s="30" t="s">
        <v>35</v>
      </c>
      <c r="E158" s="30" t="s">
        <v>50</v>
      </c>
      <c r="F158" s="30" t="s">
        <v>43</v>
      </c>
      <c r="G158" s="33">
        <v>1.075</v>
      </c>
      <c r="H158" s="83" t="s">
        <v>88</v>
      </c>
    </row>
    <row r="159" spans="1:8" ht="16.5" customHeight="1" x14ac:dyDescent="0.25">
      <c r="A159" s="27">
        <v>45678</v>
      </c>
      <c r="B159" s="80">
        <v>2025</v>
      </c>
      <c r="C159" s="80">
        <v>1</v>
      </c>
      <c r="D159" s="30" t="s">
        <v>35</v>
      </c>
      <c r="E159" s="30" t="s">
        <v>50</v>
      </c>
      <c r="F159" s="30" t="s">
        <v>55</v>
      </c>
      <c r="G159" s="33">
        <v>2.9357790000000001</v>
      </c>
      <c r="H159" s="83" t="s">
        <v>88</v>
      </c>
    </row>
    <row r="160" spans="1:8" ht="16.5" customHeight="1" x14ac:dyDescent="0.25">
      <c r="A160" s="27">
        <v>45678</v>
      </c>
      <c r="B160" s="80">
        <v>2025</v>
      </c>
      <c r="C160" s="80">
        <v>1</v>
      </c>
      <c r="D160" s="30" t="s">
        <v>35</v>
      </c>
      <c r="E160" s="30" t="s">
        <v>50</v>
      </c>
      <c r="F160" s="30" t="s">
        <v>58</v>
      </c>
      <c r="G160" s="33">
        <v>3.1608554999999998</v>
      </c>
      <c r="H160" s="83" t="s">
        <v>88</v>
      </c>
    </row>
    <row r="161" spans="1:8" ht="16.5" customHeight="1" x14ac:dyDescent="0.25">
      <c r="A161" s="27">
        <v>45678</v>
      </c>
      <c r="B161" s="80">
        <v>2025</v>
      </c>
      <c r="C161" s="80">
        <v>1</v>
      </c>
      <c r="D161" s="30" t="s">
        <v>35</v>
      </c>
      <c r="E161" s="30" t="s">
        <v>54</v>
      </c>
      <c r="F161" s="30" t="s">
        <v>43</v>
      </c>
      <c r="G161" s="33">
        <v>2.9550000000000001</v>
      </c>
      <c r="H161" s="83" t="s">
        <v>88</v>
      </c>
    </row>
    <row r="162" spans="1:8" ht="16.5" customHeight="1" x14ac:dyDescent="0.25">
      <c r="A162" s="27">
        <v>45678</v>
      </c>
      <c r="B162" s="80">
        <v>2025</v>
      </c>
      <c r="C162" s="80">
        <v>1</v>
      </c>
      <c r="D162" s="30" t="s">
        <v>35</v>
      </c>
      <c r="E162" s="30" t="s">
        <v>57</v>
      </c>
      <c r="F162" s="30" t="s">
        <v>39</v>
      </c>
      <c r="G162" s="33">
        <v>1.7192000000000001</v>
      </c>
      <c r="H162" s="83" t="s">
        <v>89</v>
      </c>
    </row>
    <row r="163" spans="1:8" ht="16.5" customHeight="1" x14ac:dyDescent="0.25">
      <c r="A163" s="27">
        <v>45678</v>
      </c>
      <c r="B163" s="80">
        <v>2025</v>
      </c>
      <c r="C163" s="80">
        <v>1</v>
      </c>
      <c r="D163" s="30" t="s">
        <v>35</v>
      </c>
      <c r="E163" s="30" t="s">
        <v>57</v>
      </c>
      <c r="F163" s="30" t="s">
        <v>43</v>
      </c>
      <c r="G163" s="33">
        <v>20.03265</v>
      </c>
      <c r="H163" s="83" t="s">
        <v>89</v>
      </c>
    </row>
    <row r="164" spans="1:8" ht="16.5" customHeight="1" x14ac:dyDescent="0.25">
      <c r="A164" s="27">
        <v>45678</v>
      </c>
      <c r="B164" s="80">
        <v>2025</v>
      </c>
      <c r="C164" s="80">
        <v>1</v>
      </c>
      <c r="D164" s="30" t="s">
        <v>35</v>
      </c>
      <c r="E164" s="30" t="s">
        <v>66</v>
      </c>
      <c r="F164" s="30" t="s">
        <v>43</v>
      </c>
      <c r="G164" s="33">
        <v>24.737500000000001</v>
      </c>
      <c r="H164" s="83" t="s">
        <v>89</v>
      </c>
    </row>
    <row r="165" spans="1:8" ht="16.5" customHeight="1" x14ac:dyDescent="0.25">
      <c r="A165" s="27">
        <v>45678</v>
      </c>
      <c r="B165" s="80">
        <v>2025</v>
      </c>
      <c r="C165" s="80">
        <v>1</v>
      </c>
      <c r="D165" s="30" t="s">
        <v>35</v>
      </c>
      <c r="E165" s="30" t="s">
        <v>68</v>
      </c>
      <c r="F165" s="30" t="s">
        <v>43</v>
      </c>
      <c r="G165" s="33">
        <v>5.1827500000000004</v>
      </c>
      <c r="H165" s="83" t="s">
        <v>89</v>
      </c>
    </row>
    <row r="166" spans="1:8" ht="16.5" customHeight="1" x14ac:dyDescent="0.25">
      <c r="A166" s="27">
        <v>45678</v>
      </c>
      <c r="B166" s="80">
        <v>2025</v>
      </c>
      <c r="C166" s="80">
        <v>1</v>
      </c>
      <c r="D166" s="30" t="s">
        <v>35</v>
      </c>
      <c r="E166" s="30" t="s">
        <v>71</v>
      </c>
      <c r="F166" s="30" t="s">
        <v>43</v>
      </c>
      <c r="G166" s="33">
        <v>4.3547500000000001</v>
      </c>
      <c r="H166" s="83" t="s">
        <v>89</v>
      </c>
    </row>
    <row r="167" spans="1:8" ht="16.5" customHeight="1" x14ac:dyDescent="0.25">
      <c r="A167" s="27">
        <v>45678</v>
      </c>
      <c r="B167" s="80">
        <v>2025</v>
      </c>
      <c r="C167" s="80">
        <v>1</v>
      </c>
      <c r="D167" s="30" t="s">
        <v>35</v>
      </c>
      <c r="E167" s="30" t="s">
        <v>73</v>
      </c>
      <c r="F167" s="30" t="s">
        <v>43</v>
      </c>
      <c r="G167" s="33">
        <v>99.818237999999994</v>
      </c>
      <c r="H167" s="83" t="s">
        <v>89</v>
      </c>
    </row>
    <row r="168" spans="1:8" ht="16.5" customHeight="1" x14ac:dyDescent="0.25">
      <c r="A168" s="27">
        <v>45678</v>
      </c>
      <c r="B168" s="80">
        <v>2025</v>
      </c>
      <c r="C168" s="80">
        <v>1</v>
      </c>
      <c r="D168" s="30" t="s">
        <v>35</v>
      </c>
      <c r="E168" s="30" t="s">
        <v>75</v>
      </c>
      <c r="F168" s="30" t="s">
        <v>39</v>
      </c>
      <c r="G168" s="33">
        <v>51.155999999999999</v>
      </c>
      <c r="H168" s="83" t="s">
        <v>48</v>
      </c>
    </row>
    <row r="169" spans="1:8" ht="16.5" customHeight="1" x14ac:dyDescent="0.25">
      <c r="A169" s="27">
        <v>45679</v>
      </c>
      <c r="B169" s="80">
        <v>2025</v>
      </c>
      <c r="C169" s="80">
        <v>1</v>
      </c>
      <c r="D169" s="30" t="s">
        <v>35</v>
      </c>
      <c r="E169" s="30" t="s">
        <v>38</v>
      </c>
      <c r="F169" s="30" t="s">
        <v>43</v>
      </c>
      <c r="G169" s="33">
        <v>9.6669999999999998</v>
      </c>
      <c r="H169" s="83" t="s">
        <v>88</v>
      </c>
    </row>
    <row r="170" spans="1:8" ht="16.5" customHeight="1" x14ac:dyDescent="0.25">
      <c r="A170" s="27">
        <v>45679</v>
      </c>
      <c r="B170" s="80">
        <v>2025</v>
      </c>
      <c r="C170" s="80">
        <v>1</v>
      </c>
      <c r="D170" s="30" t="s">
        <v>35</v>
      </c>
      <c r="E170" s="30" t="s">
        <v>42</v>
      </c>
      <c r="F170" s="30" t="s">
        <v>43</v>
      </c>
      <c r="G170" s="33">
        <v>1.19</v>
      </c>
      <c r="H170" s="83" t="s">
        <v>88</v>
      </c>
    </row>
    <row r="171" spans="1:8" ht="16.5" customHeight="1" x14ac:dyDescent="0.25">
      <c r="A171" s="27">
        <v>45679</v>
      </c>
      <c r="B171" s="80">
        <v>2025</v>
      </c>
      <c r="C171" s="80">
        <v>1</v>
      </c>
      <c r="D171" s="30" t="s">
        <v>35</v>
      </c>
      <c r="E171" s="30" t="s">
        <v>42</v>
      </c>
      <c r="F171" s="30" t="s">
        <v>58</v>
      </c>
      <c r="G171" s="33">
        <v>0.78037000000000001</v>
      </c>
      <c r="H171" s="83" t="s">
        <v>88</v>
      </c>
    </row>
    <row r="172" spans="1:8" ht="16.5" customHeight="1" x14ac:dyDescent="0.25">
      <c r="A172" s="27">
        <v>45679</v>
      </c>
      <c r="B172" s="80">
        <v>2025</v>
      </c>
      <c r="C172" s="80">
        <v>1</v>
      </c>
      <c r="D172" s="30" t="s">
        <v>35</v>
      </c>
      <c r="E172" s="30" t="s">
        <v>46</v>
      </c>
      <c r="F172" s="30" t="s">
        <v>43</v>
      </c>
      <c r="G172" s="33">
        <v>0.25464075000000003</v>
      </c>
      <c r="H172" s="83" t="s">
        <v>88</v>
      </c>
    </row>
    <row r="173" spans="1:8" ht="16.5" customHeight="1" x14ac:dyDescent="0.25">
      <c r="A173" s="27">
        <v>45679</v>
      </c>
      <c r="B173" s="80">
        <v>2025</v>
      </c>
      <c r="C173" s="80">
        <v>1</v>
      </c>
      <c r="D173" s="30" t="s">
        <v>35</v>
      </c>
      <c r="E173" s="30" t="s">
        <v>50</v>
      </c>
      <c r="F173" s="30" t="s">
        <v>43</v>
      </c>
      <c r="G173" s="33">
        <v>35.76243272</v>
      </c>
      <c r="H173" s="83" t="s">
        <v>88</v>
      </c>
    </row>
    <row r="174" spans="1:8" ht="16.5" customHeight="1" x14ac:dyDescent="0.25">
      <c r="A174" s="27">
        <v>45679</v>
      </c>
      <c r="B174" s="80">
        <v>2025</v>
      </c>
      <c r="C174" s="80">
        <v>1</v>
      </c>
      <c r="D174" s="30" t="s">
        <v>35</v>
      </c>
      <c r="E174" s="30" t="s">
        <v>50</v>
      </c>
      <c r="F174" s="30" t="s">
        <v>47</v>
      </c>
      <c r="G174" s="33">
        <v>0.15554999999999999</v>
      </c>
      <c r="H174" s="83" t="s">
        <v>88</v>
      </c>
    </row>
    <row r="175" spans="1:8" ht="16.5" customHeight="1" x14ac:dyDescent="0.25">
      <c r="A175" s="27">
        <v>45679</v>
      </c>
      <c r="B175" s="80">
        <v>2025</v>
      </c>
      <c r="C175" s="80">
        <v>1</v>
      </c>
      <c r="D175" s="30" t="s">
        <v>35</v>
      </c>
      <c r="E175" s="30" t="s">
        <v>50</v>
      </c>
      <c r="F175" s="30" t="s">
        <v>55</v>
      </c>
      <c r="G175" s="33">
        <v>6.6460800000000004</v>
      </c>
      <c r="H175" s="83" t="s">
        <v>88</v>
      </c>
    </row>
    <row r="176" spans="1:8" ht="16.5" customHeight="1" x14ac:dyDescent="0.25">
      <c r="A176" s="27">
        <v>45679</v>
      </c>
      <c r="B176" s="80">
        <v>2025</v>
      </c>
      <c r="C176" s="80">
        <v>1</v>
      </c>
      <c r="D176" s="30" t="s">
        <v>35</v>
      </c>
      <c r="E176" s="30" t="s">
        <v>50</v>
      </c>
      <c r="F176" s="30" t="s">
        <v>58</v>
      </c>
      <c r="G176" s="33">
        <v>51.342399999999998</v>
      </c>
      <c r="H176" s="83" t="s">
        <v>88</v>
      </c>
    </row>
    <row r="177" spans="1:8" ht="16.5" customHeight="1" x14ac:dyDescent="0.25">
      <c r="A177" s="27">
        <v>45679</v>
      </c>
      <c r="B177" s="80">
        <v>2025</v>
      </c>
      <c r="C177" s="80">
        <v>1</v>
      </c>
      <c r="D177" s="30" t="s">
        <v>35</v>
      </c>
      <c r="E177" s="30" t="s">
        <v>54</v>
      </c>
      <c r="F177" s="30" t="s">
        <v>43</v>
      </c>
      <c r="G177" s="33">
        <v>4.4539999999999997</v>
      </c>
      <c r="H177" s="83" t="s">
        <v>88</v>
      </c>
    </row>
    <row r="178" spans="1:8" ht="16.5" customHeight="1" x14ac:dyDescent="0.25">
      <c r="A178" s="27">
        <v>45679</v>
      </c>
      <c r="B178" s="80">
        <v>2025</v>
      </c>
      <c r="C178" s="80">
        <v>1</v>
      </c>
      <c r="D178" s="30" t="s">
        <v>35</v>
      </c>
      <c r="E178" s="30" t="s">
        <v>66</v>
      </c>
      <c r="F178" s="30" t="s">
        <v>43</v>
      </c>
      <c r="G178" s="33">
        <v>22.431000000000001</v>
      </c>
      <c r="H178" s="83" t="s">
        <v>89</v>
      </c>
    </row>
    <row r="179" spans="1:8" ht="16.5" customHeight="1" x14ac:dyDescent="0.25">
      <c r="A179" s="27">
        <v>45679</v>
      </c>
      <c r="B179" s="80">
        <v>2025</v>
      </c>
      <c r="C179" s="80">
        <v>1</v>
      </c>
      <c r="D179" s="30" t="s">
        <v>35</v>
      </c>
      <c r="E179" s="30" t="s">
        <v>68</v>
      </c>
      <c r="F179" s="30" t="s">
        <v>43</v>
      </c>
      <c r="G179" s="33">
        <v>1.46</v>
      </c>
      <c r="H179" s="83" t="s">
        <v>89</v>
      </c>
    </row>
    <row r="180" spans="1:8" ht="16.5" customHeight="1" x14ac:dyDescent="0.25">
      <c r="A180" s="27">
        <v>45679</v>
      </c>
      <c r="B180" s="80">
        <v>2025</v>
      </c>
      <c r="C180" s="80">
        <v>1</v>
      </c>
      <c r="D180" s="30" t="s">
        <v>35</v>
      </c>
      <c r="E180" s="30" t="s">
        <v>74</v>
      </c>
      <c r="F180" s="30" t="s">
        <v>47</v>
      </c>
      <c r="G180" s="33">
        <v>0.18074750000000001</v>
      </c>
      <c r="H180" s="83" t="s">
        <v>89</v>
      </c>
    </row>
    <row r="181" spans="1:8" ht="16.5" customHeight="1" x14ac:dyDescent="0.25">
      <c r="A181" s="27">
        <v>45680</v>
      </c>
      <c r="B181" s="80">
        <v>2025</v>
      </c>
      <c r="C181" s="80">
        <v>1</v>
      </c>
      <c r="D181" s="30" t="s">
        <v>35</v>
      </c>
      <c r="E181" s="30" t="s">
        <v>38</v>
      </c>
      <c r="F181" s="30" t="s">
        <v>43</v>
      </c>
      <c r="G181" s="33">
        <v>13.197576</v>
      </c>
      <c r="H181" s="83" t="s">
        <v>88</v>
      </c>
    </row>
    <row r="182" spans="1:8" ht="16.5" customHeight="1" x14ac:dyDescent="0.25">
      <c r="A182" s="27">
        <v>45680</v>
      </c>
      <c r="B182" s="80">
        <v>2025</v>
      </c>
      <c r="C182" s="80">
        <v>1</v>
      </c>
      <c r="D182" s="30" t="s">
        <v>35</v>
      </c>
      <c r="E182" s="30" t="s">
        <v>46</v>
      </c>
      <c r="F182" s="30" t="s">
        <v>55</v>
      </c>
      <c r="G182" s="33">
        <v>0.66</v>
      </c>
      <c r="H182" s="83" t="s">
        <v>88</v>
      </c>
    </row>
    <row r="183" spans="1:8" ht="16.5" customHeight="1" x14ac:dyDescent="0.25">
      <c r="A183" s="27">
        <v>45680</v>
      </c>
      <c r="B183" s="80">
        <v>2025</v>
      </c>
      <c r="C183" s="80">
        <v>1</v>
      </c>
      <c r="D183" s="30" t="s">
        <v>35</v>
      </c>
      <c r="E183" s="30" t="s">
        <v>46</v>
      </c>
      <c r="F183" s="30" t="s">
        <v>58</v>
      </c>
      <c r="G183" s="33">
        <v>1.1507400000000001</v>
      </c>
      <c r="H183" s="83" t="s">
        <v>88</v>
      </c>
    </row>
    <row r="184" spans="1:8" ht="16.5" customHeight="1" x14ac:dyDescent="0.25">
      <c r="A184" s="27">
        <v>45680</v>
      </c>
      <c r="B184" s="80">
        <v>2025</v>
      </c>
      <c r="C184" s="80">
        <v>1</v>
      </c>
      <c r="D184" s="30" t="s">
        <v>35</v>
      </c>
      <c r="E184" s="30" t="s">
        <v>50</v>
      </c>
      <c r="F184" s="30" t="s">
        <v>43</v>
      </c>
      <c r="G184" s="33">
        <v>153.94224023999999</v>
      </c>
      <c r="H184" s="83" t="s">
        <v>88</v>
      </c>
    </row>
    <row r="185" spans="1:8" ht="16.5" customHeight="1" x14ac:dyDescent="0.25">
      <c r="A185" s="27">
        <v>45680</v>
      </c>
      <c r="B185" s="80">
        <v>2025</v>
      </c>
      <c r="C185" s="80">
        <v>1</v>
      </c>
      <c r="D185" s="30" t="s">
        <v>35</v>
      </c>
      <c r="E185" s="30" t="s">
        <v>50</v>
      </c>
      <c r="F185" s="30" t="s">
        <v>55</v>
      </c>
      <c r="G185" s="33">
        <v>3.8500559999999999</v>
      </c>
      <c r="H185" s="83" t="s">
        <v>88</v>
      </c>
    </row>
    <row r="186" spans="1:8" ht="16.5" customHeight="1" x14ac:dyDescent="0.25">
      <c r="A186" s="27">
        <v>45680</v>
      </c>
      <c r="B186" s="80">
        <v>2025</v>
      </c>
      <c r="C186" s="80">
        <v>1</v>
      </c>
      <c r="D186" s="30" t="s">
        <v>35</v>
      </c>
      <c r="E186" s="30" t="s">
        <v>50</v>
      </c>
      <c r="F186" s="30" t="s">
        <v>58</v>
      </c>
      <c r="G186" s="33">
        <v>9.4452578880000004</v>
      </c>
      <c r="H186" s="83" t="s">
        <v>88</v>
      </c>
    </row>
    <row r="187" spans="1:8" ht="16.5" customHeight="1" x14ac:dyDescent="0.25">
      <c r="A187" s="27">
        <v>45680</v>
      </c>
      <c r="B187" s="80">
        <v>2025</v>
      </c>
      <c r="C187" s="80">
        <v>1</v>
      </c>
      <c r="D187" s="30" t="s">
        <v>35</v>
      </c>
      <c r="E187" s="30" t="s">
        <v>54</v>
      </c>
      <c r="F187" s="30" t="s">
        <v>43</v>
      </c>
      <c r="G187" s="33">
        <v>2.7345000000000002</v>
      </c>
      <c r="H187" s="83" t="s">
        <v>88</v>
      </c>
    </row>
    <row r="188" spans="1:8" ht="16.5" customHeight="1" x14ac:dyDescent="0.25">
      <c r="A188" s="27">
        <v>45680</v>
      </c>
      <c r="B188" s="80">
        <v>2025</v>
      </c>
      <c r="C188" s="80">
        <v>1</v>
      </c>
      <c r="D188" s="30" t="s">
        <v>35</v>
      </c>
      <c r="E188" s="30" t="s">
        <v>57</v>
      </c>
      <c r="F188" s="30" t="s">
        <v>43</v>
      </c>
      <c r="G188" s="33">
        <v>2.4446919999999999</v>
      </c>
      <c r="H188" s="83" t="s">
        <v>89</v>
      </c>
    </row>
    <row r="189" spans="1:8" ht="16.5" customHeight="1" x14ac:dyDescent="0.25">
      <c r="A189" s="27">
        <v>45680</v>
      </c>
      <c r="B189" s="80">
        <v>2025</v>
      </c>
      <c r="C189" s="80">
        <v>1</v>
      </c>
      <c r="D189" s="30" t="s">
        <v>35</v>
      </c>
      <c r="E189" s="30" t="s">
        <v>66</v>
      </c>
      <c r="F189" s="30" t="s">
        <v>43</v>
      </c>
      <c r="G189" s="33">
        <v>1.3648400000000001</v>
      </c>
      <c r="H189" s="83" t="s">
        <v>89</v>
      </c>
    </row>
    <row r="190" spans="1:8" ht="16.5" customHeight="1" x14ac:dyDescent="0.25">
      <c r="A190" s="27">
        <v>45680</v>
      </c>
      <c r="B190" s="80">
        <v>2025</v>
      </c>
      <c r="C190" s="80">
        <v>1</v>
      </c>
      <c r="D190" s="30" t="s">
        <v>35</v>
      </c>
      <c r="E190" s="30" t="s">
        <v>66</v>
      </c>
      <c r="F190" s="30" t="s">
        <v>55</v>
      </c>
      <c r="G190" s="33">
        <v>2.0499999999999998</v>
      </c>
      <c r="H190" s="83" t="s">
        <v>89</v>
      </c>
    </row>
    <row r="191" spans="1:8" ht="16.5" customHeight="1" x14ac:dyDescent="0.25">
      <c r="A191" s="27">
        <v>45680</v>
      </c>
      <c r="B191" s="80">
        <v>2025</v>
      </c>
      <c r="C191" s="80">
        <v>1</v>
      </c>
      <c r="D191" s="30" t="s">
        <v>35</v>
      </c>
      <c r="E191" s="30" t="s">
        <v>71</v>
      </c>
      <c r="F191" s="30" t="s">
        <v>39</v>
      </c>
      <c r="G191" s="33">
        <v>5.5085800000000003</v>
      </c>
      <c r="H191" s="83" t="s">
        <v>89</v>
      </c>
    </row>
    <row r="192" spans="1:8" ht="16.5" customHeight="1" x14ac:dyDescent="0.25">
      <c r="A192" s="27">
        <v>45680</v>
      </c>
      <c r="B192" s="80">
        <v>2025</v>
      </c>
      <c r="C192" s="80">
        <v>1</v>
      </c>
      <c r="D192" s="30" t="s">
        <v>35</v>
      </c>
      <c r="E192" s="30" t="s">
        <v>71</v>
      </c>
      <c r="F192" s="30" t="s">
        <v>43</v>
      </c>
      <c r="G192" s="33">
        <v>11.7895</v>
      </c>
      <c r="H192" s="83" t="s">
        <v>89</v>
      </c>
    </row>
    <row r="193" spans="1:8" ht="16.5" customHeight="1" x14ac:dyDescent="0.25">
      <c r="A193" s="27">
        <v>45680</v>
      </c>
      <c r="B193" s="80">
        <v>2025</v>
      </c>
      <c r="C193" s="80">
        <v>1</v>
      </c>
      <c r="D193" s="30" t="s">
        <v>35</v>
      </c>
      <c r="E193" s="30" t="s">
        <v>74</v>
      </c>
      <c r="F193" s="30" t="s">
        <v>43</v>
      </c>
      <c r="G193" s="33">
        <v>76.926450000000003</v>
      </c>
      <c r="H193" s="83" t="s">
        <v>89</v>
      </c>
    </row>
    <row r="194" spans="1:8" ht="16.5" customHeight="1" x14ac:dyDescent="0.25">
      <c r="A194" s="27">
        <v>45680</v>
      </c>
      <c r="B194" s="80">
        <v>2025</v>
      </c>
      <c r="C194" s="80">
        <v>1</v>
      </c>
      <c r="D194" s="30" t="s">
        <v>35</v>
      </c>
      <c r="E194" s="30" t="s">
        <v>75</v>
      </c>
      <c r="F194" s="30" t="s">
        <v>43</v>
      </c>
      <c r="G194" s="33">
        <v>165.77493749999999</v>
      </c>
      <c r="H194" s="83" t="s">
        <v>48</v>
      </c>
    </row>
    <row r="195" spans="1:8" ht="16.5" customHeight="1" x14ac:dyDescent="0.25">
      <c r="A195" s="27">
        <v>45681</v>
      </c>
      <c r="B195" s="80">
        <v>2025</v>
      </c>
      <c r="C195" s="80">
        <v>1</v>
      </c>
      <c r="D195" s="30" t="s">
        <v>35</v>
      </c>
      <c r="E195" s="30" t="s">
        <v>38</v>
      </c>
      <c r="F195" s="30" t="s">
        <v>43</v>
      </c>
      <c r="G195" s="33">
        <v>58.624200000000002</v>
      </c>
      <c r="H195" s="83" t="s">
        <v>88</v>
      </c>
    </row>
    <row r="196" spans="1:8" ht="16.5" customHeight="1" x14ac:dyDescent="0.25">
      <c r="A196" s="27">
        <v>45681</v>
      </c>
      <c r="B196" s="80">
        <v>2025</v>
      </c>
      <c r="C196" s="80">
        <v>1</v>
      </c>
      <c r="D196" s="30" t="s">
        <v>35</v>
      </c>
      <c r="E196" s="30" t="s">
        <v>42</v>
      </c>
      <c r="F196" s="30" t="s">
        <v>43</v>
      </c>
      <c r="G196" s="33">
        <v>4.16</v>
      </c>
      <c r="H196" s="83" t="s">
        <v>88</v>
      </c>
    </row>
    <row r="197" spans="1:8" ht="16.5" customHeight="1" x14ac:dyDescent="0.25">
      <c r="A197" s="27">
        <v>45681</v>
      </c>
      <c r="B197" s="80">
        <v>2025</v>
      </c>
      <c r="C197" s="80">
        <v>1</v>
      </c>
      <c r="D197" s="30" t="s">
        <v>35</v>
      </c>
      <c r="E197" s="30" t="s">
        <v>46</v>
      </c>
      <c r="F197" s="30" t="s">
        <v>43</v>
      </c>
      <c r="G197" s="33">
        <v>3.3265893750000002</v>
      </c>
      <c r="H197" s="83" t="s">
        <v>88</v>
      </c>
    </row>
    <row r="198" spans="1:8" ht="16.5" customHeight="1" x14ac:dyDescent="0.25">
      <c r="A198" s="27">
        <v>45681</v>
      </c>
      <c r="B198" s="80">
        <v>2025</v>
      </c>
      <c r="C198" s="80">
        <v>1</v>
      </c>
      <c r="D198" s="30" t="s">
        <v>35</v>
      </c>
      <c r="E198" s="30" t="s">
        <v>46</v>
      </c>
      <c r="F198" s="30" t="s">
        <v>51</v>
      </c>
      <c r="G198" s="33">
        <v>0.89092800000000005</v>
      </c>
      <c r="H198" s="83" t="s">
        <v>88</v>
      </c>
    </row>
    <row r="199" spans="1:8" ht="16.5" customHeight="1" x14ac:dyDescent="0.25">
      <c r="A199" s="27">
        <v>45681</v>
      </c>
      <c r="B199" s="80">
        <v>2025</v>
      </c>
      <c r="C199" s="80">
        <v>1</v>
      </c>
      <c r="D199" s="30" t="s">
        <v>35</v>
      </c>
      <c r="E199" s="30" t="s">
        <v>50</v>
      </c>
      <c r="F199" s="30" t="s">
        <v>43</v>
      </c>
      <c r="G199" s="33">
        <v>2.3549665000000002</v>
      </c>
      <c r="H199" s="83" t="s">
        <v>88</v>
      </c>
    </row>
    <row r="200" spans="1:8" ht="16.5" customHeight="1" x14ac:dyDescent="0.25">
      <c r="A200" s="27">
        <v>45681</v>
      </c>
      <c r="B200" s="80">
        <v>2025</v>
      </c>
      <c r="C200" s="80">
        <v>1</v>
      </c>
      <c r="D200" s="30" t="s">
        <v>35</v>
      </c>
      <c r="E200" s="30" t="s">
        <v>50</v>
      </c>
      <c r="F200" s="30" t="s">
        <v>47</v>
      </c>
      <c r="G200" s="33">
        <v>0.46689999999999998</v>
      </c>
      <c r="H200" s="83" t="s">
        <v>88</v>
      </c>
    </row>
    <row r="201" spans="1:8" ht="16.5" customHeight="1" x14ac:dyDescent="0.25">
      <c r="A201" s="27">
        <v>45681</v>
      </c>
      <c r="B201" s="80">
        <v>2025</v>
      </c>
      <c r="C201" s="80">
        <v>1</v>
      </c>
      <c r="D201" s="30" t="s">
        <v>35</v>
      </c>
      <c r="E201" s="30" t="s">
        <v>50</v>
      </c>
      <c r="F201" s="30" t="s">
        <v>58</v>
      </c>
      <c r="G201" s="33">
        <v>2.6126100000000001</v>
      </c>
      <c r="H201" s="83" t="s">
        <v>88</v>
      </c>
    </row>
    <row r="202" spans="1:8" ht="16.5" customHeight="1" x14ac:dyDescent="0.25">
      <c r="A202" s="27">
        <v>45681</v>
      </c>
      <c r="B202" s="80">
        <v>2025</v>
      </c>
      <c r="C202" s="80">
        <v>1</v>
      </c>
      <c r="D202" s="30" t="s">
        <v>35</v>
      </c>
      <c r="E202" s="30" t="s">
        <v>54</v>
      </c>
      <c r="F202" s="30" t="s">
        <v>43</v>
      </c>
      <c r="G202" s="33">
        <v>2.9137499999999998</v>
      </c>
      <c r="H202" s="83" t="s">
        <v>88</v>
      </c>
    </row>
    <row r="203" spans="1:8" ht="16.5" customHeight="1" x14ac:dyDescent="0.25">
      <c r="A203" s="27">
        <v>45681</v>
      </c>
      <c r="B203" s="80">
        <v>2025</v>
      </c>
      <c r="C203" s="80">
        <v>1</v>
      </c>
      <c r="D203" s="30" t="s">
        <v>35</v>
      </c>
      <c r="E203" s="30" t="s">
        <v>66</v>
      </c>
      <c r="F203" s="30" t="s">
        <v>43</v>
      </c>
      <c r="G203" s="33">
        <v>7.4373500000000003</v>
      </c>
      <c r="H203" s="83" t="s">
        <v>89</v>
      </c>
    </row>
    <row r="204" spans="1:8" ht="16.5" customHeight="1" x14ac:dyDescent="0.25">
      <c r="A204" s="27">
        <v>45681</v>
      </c>
      <c r="B204" s="80">
        <v>2025</v>
      </c>
      <c r="C204" s="80">
        <v>1</v>
      </c>
      <c r="D204" s="30" t="s">
        <v>35</v>
      </c>
      <c r="E204" s="30" t="s">
        <v>68</v>
      </c>
      <c r="F204" s="30" t="s">
        <v>43</v>
      </c>
      <c r="G204" s="33">
        <v>7.89</v>
      </c>
      <c r="H204" s="83" t="s">
        <v>89</v>
      </c>
    </row>
    <row r="205" spans="1:8" ht="16.5" customHeight="1" x14ac:dyDescent="0.25">
      <c r="A205" s="27">
        <v>45681</v>
      </c>
      <c r="B205" s="80">
        <v>2025</v>
      </c>
      <c r="C205" s="80">
        <v>1</v>
      </c>
      <c r="D205" s="30" t="s">
        <v>35</v>
      </c>
      <c r="E205" s="30" t="s">
        <v>71</v>
      </c>
      <c r="F205" s="30" t="s">
        <v>43</v>
      </c>
      <c r="G205" s="33">
        <v>13.965</v>
      </c>
      <c r="H205" s="83" t="s">
        <v>89</v>
      </c>
    </row>
    <row r="206" spans="1:8" ht="16.5" customHeight="1" x14ac:dyDescent="0.25">
      <c r="A206" s="27">
        <v>45681</v>
      </c>
      <c r="B206" s="80">
        <v>2025</v>
      </c>
      <c r="C206" s="80">
        <v>1</v>
      </c>
      <c r="D206" s="30" t="s">
        <v>35</v>
      </c>
      <c r="E206" s="30" t="s">
        <v>75</v>
      </c>
      <c r="F206" s="30" t="s">
        <v>43</v>
      </c>
      <c r="G206" s="33">
        <v>3.1082999999999998</v>
      </c>
      <c r="H206" s="83" t="s">
        <v>48</v>
      </c>
    </row>
    <row r="207" spans="1:8" ht="16.5" customHeight="1" x14ac:dyDescent="0.25">
      <c r="A207" s="27">
        <v>45684</v>
      </c>
      <c r="B207" s="80">
        <v>2025</v>
      </c>
      <c r="C207" s="80">
        <v>1</v>
      </c>
      <c r="D207" s="30" t="s">
        <v>35</v>
      </c>
      <c r="E207" s="30" t="s">
        <v>38</v>
      </c>
      <c r="F207" s="30" t="s">
        <v>43</v>
      </c>
      <c r="G207" s="33">
        <v>7.8550000000000004</v>
      </c>
      <c r="H207" s="83" t="s">
        <v>88</v>
      </c>
    </row>
    <row r="208" spans="1:8" ht="16.5" customHeight="1" x14ac:dyDescent="0.25">
      <c r="A208" s="27">
        <v>45684</v>
      </c>
      <c r="B208" s="80">
        <v>2025</v>
      </c>
      <c r="C208" s="80">
        <v>1</v>
      </c>
      <c r="D208" s="30" t="s">
        <v>35</v>
      </c>
      <c r="E208" s="30" t="s">
        <v>42</v>
      </c>
      <c r="F208" s="30" t="s">
        <v>43</v>
      </c>
      <c r="G208" s="33">
        <v>1.35</v>
      </c>
      <c r="H208" s="83" t="s">
        <v>88</v>
      </c>
    </row>
    <row r="209" spans="1:8" ht="16.5" customHeight="1" x14ac:dyDescent="0.25">
      <c r="A209" s="27">
        <v>45684</v>
      </c>
      <c r="B209" s="80">
        <v>2025</v>
      </c>
      <c r="C209" s="80">
        <v>1</v>
      </c>
      <c r="D209" s="30" t="s">
        <v>35</v>
      </c>
      <c r="E209" s="30" t="s">
        <v>50</v>
      </c>
      <c r="F209" s="30" t="s">
        <v>39</v>
      </c>
      <c r="G209" s="33">
        <v>2.5083799999999998</v>
      </c>
      <c r="H209" s="83" t="s">
        <v>88</v>
      </c>
    </row>
    <row r="210" spans="1:8" ht="16.5" customHeight="1" x14ac:dyDescent="0.25">
      <c r="A210" s="27">
        <v>45684</v>
      </c>
      <c r="B210" s="80">
        <v>2025</v>
      </c>
      <c r="C210" s="80">
        <v>1</v>
      </c>
      <c r="D210" s="30" t="s">
        <v>35</v>
      </c>
      <c r="E210" s="30" t="s">
        <v>50</v>
      </c>
      <c r="F210" s="30" t="s">
        <v>43</v>
      </c>
      <c r="G210" s="33">
        <v>16.686512560000001</v>
      </c>
      <c r="H210" s="83" t="s">
        <v>88</v>
      </c>
    </row>
    <row r="211" spans="1:8" ht="16.5" customHeight="1" x14ac:dyDescent="0.25">
      <c r="A211" s="27">
        <v>45684</v>
      </c>
      <c r="B211" s="80">
        <v>2025</v>
      </c>
      <c r="C211" s="80">
        <v>1</v>
      </c>
      <c r="D211" s="30" t="s">
        <v>35</v>
      </c>
      <c r="E211" s="30" t="s">
        <v>50</v>
      </c>
      <c r="F211" s="30" t="s">
        <v>47</v>
      </c>
      <c r="G211" s="33">
        <v>0.76185000000000003</v>
      </c>
      <c r="H211" s="83" t="s">
        <v>88</v>
      </c>
    </row>
    <row r="212" spans="1:8" ht="16.5" customHeight="1" x14ac:dyDescent="0.25">
      <c r="A212" s="27">
        <v>45684</v>
      </c>
      <c r="B212" s="80">
        <v>2025</v>
      </c>
      <c r="C212" s="80">
        <v>1</v>
      </c>
      <c r="D212" s="30" t="s">
        <v>35</v>
      </c>
      <c r="E212" s="30" t="s">
        <v>50</v>
      </c>
      <c r="F212" s="30" t="s">
        <v>51</v>
      </c>
      <c r="G212" s="33">
        <v>0.49299999999999999</v>
      </c>
      <c r="H212" s="83" t="s">
        <v>88</v>
      </c>
    </row>
    <row r="213" spans="1:8" ht="16.5" customHeight="1" x14ac:dyDescent="0.25">
      <c r="A213" s="27">
        <v>45684</v>
      </c>
      <c r="B213" s="80">
        <v>2025</v>
      </c>
      <c r="C213" s="80">
        <v>1</v>
      </c>
      <c r="D213" s="30" t="s">
        <v>35</v>
      </c>
      <c r="E213" s="30" t="s">
        <v>50</v>
      </c>
      <c r="F213" s="30" t="s">
        <v>58</v>
      </c>
      <c r="G213" s="33">
        <v>0.56390200000000001</v>
      </c>
      <c r="H213" s="83" t="s">
        <v>88</v>
      </c>
    </row>
    <row r="214" spans="1:8" ht="16.5" customHeight="1" x14ac:dyDescent="0.25">
      <c r="A214" s="27">
        <v>45684</v>
      </c>
      <c r="B214" s="80">
        <v>2025</v>
      </c>
      <c r="C214" s="80">
        <v>1</v>
      </c>
      <c r="D214" s="30" t="s">
        <v>35</v>
      </c>
      <c r="E214" s="30" t="s">
        <v>54</v>
      </c>
      <c r="F214" s="30" t="s">
        <v>43</v>
      </c>
      <c r="G214" s="33">
        <v>0.87250000000000005</v>
      </c>
      <c r="H214" s="83" t="s">
        <v>88</v>
      </c>
    </row>
    <row r="215" spans="1:8" ht="16.5" customHeight="1" x14ac:dyDescent="0.25">
      <c r="A215" s="27">
        <v>45684</v>
      </c>
      <c r="B215" s="80">
        <v>2025</v>
      </c>
      <c r="C215" s="80">
        <v>1</v>
      </c>
      <c r="D215" s="30" t="s">
        <v>35</v>
      </c>
      <c r="E215" s="30" t="s">
        <v>64</v>
      </c>
      <c r="F215" s="30" t="s">
        <v>43</v>
      </c>
      <c r="G215" s="33">
        <v>14.83445</v>
      </c>
      <c r="H215" s="83" t="s">
        <v>89</v>
      </c>
    </row>
    <row r="216" spans="1:8" ht="16.5" customHeight="1" x14ac:dyDescent="0.25">
      <c r="A216" s="27">
        <v>45684</v>
      </c>
      <c r="B216" s="80">
        <v>2025</v>
      </c>
      <c r="C216" s="80">
        <v>1</v>
      </c>
      <c r="D216" s="30" t="s">
        <v>35</v>
      </c>
      <c r="E216" s="30" t="s">
        <v>73</v>
      </c>
      <c r="F216" s="30" t="s">
        <v>51</v>
      </c>
      <c r="G216" s="33">
        <v>1.87</v>
      </c>
      <c r="H216" s="83" t="s">
        <v>89</v>
      </c>
    </row>
    <row r="217" spans="1:8" ht="16.5" customHeight="1" x14ac:dyDescent="0.25">
      <c r="A217" s="27">
        <v>45684</v>
      </c>
      <c r="B217" s="80">
        <v>2025</v>
      </c>
      <c r="C217" s="80">
        <v>1</v>
      </c>
      <c r="D217" s="30" t="s">
        <v>35</v>
      </c>
      <c r="E217" s="30" t="s">
        <v>75</v>
      </c>
      <c r="F217" s="30" t="s">
        <v>43</v>
      </c>
      <c r="G217" s="33">
        <v>1.9690000000000001</v>
      </c>
      <c r="H217" s="83" t="s">
        <v>48</v>
      </c>
    </row>
    <row r="218" spans="1:8" ht="16.5" customHeight="1" x14ac:dyDescent="0.25">
      <c r="A218" s="27">
        <v>45685</v>
      </c>
      <c r="B218" s="80">
        <v>2025</v>
      </c>
      <c r="C218" s="80">
        <v>1</v>
      </c>
      <c r="D218" s="30" t="s">
        <v>35</v>
      </c>
      <c r="E218" s="30" t="s">
        <v>38</v>
      </c>
      <c r="F218" s="30" t="s">
        <v>43</v>
      </c>
      <c r="G218" s="33">
        <v>1.28</v>
      </c>
      <c r="H218" s="83" t="s">
        <v>88</v>
      </c>
    </row>
    <row r="219" spans="1:8" ht="16.5" customHeight="1" x14ac:dyDescent="0.25">
      <c r="A219" s="27">
        <v>45685</v>
      </c>
      <c r="B219" s="80">
        <v>2025</v>
      </c>
      <c r="C219" s="80">
        <v>1</v>
      </c>
      <c r="D219" s="30" t="s">
        <v>35</v>
      </c>
      <c r="E219" s="30" t="s">
        <v>42</v>
      </c>
      <c r="F219" s="30" t="s">
        <v>43</v>
      </c>
      <c r="G219" s="33">
        <v>11.423999999999999</v>
      </c>
      <c r="H219" s="83" t="s">
        <v>88</v>
      </c>
    </row>
    <row r="220" spans="1:8" ht="16.5" customHeight="1" x14ac:dyDescent="0.25">
      <c r="A220" s="27">
        <v>45685</v>
      </c>
      <c r="B220" s="80">
        <v>2025</v>
      </c>
      <c r="C220" s="80">
        <v>1</v>
      </c>
      <c r="D220" s="30" t="s">
        <v>35</v>
      </c>
      <c r="E220" s="30" t="s">
        <v>46</v>
      </c>
      <c r="F220" s="30" t="s">
        <v>43</v>
      </c>
      <c r="G220" s="33">
        <v>0.45491549999999997</v>
      </c>
      <c r="H220" s="83" t="s">
        <v>88</v>
      </c>
    </row>
    <row r="221" spans="1:8" ht="16.5" customHeight="1" x14ac:dyDescent="0.25">
      <c r="A221" s="27">
        <v>45685</v>
      </c>
      <c r="B221" s="80">
        <v>2025</v>
      </c>
      <c r="C221" s="80">
        <v>1</v>
      </c>
      <c r="D221" s="30" t="s">
        <v>35</v>
      </c>
      <c r="E221" s="30" t="s">
        <v>46</v>
      </c>
      <c r="F221" s="30" t="s">
        <v>47</v>
      </c>
      <c r="G221" s="33">
        <v>0.20787</v>
      </c>
      <c r="H221" s="83" t="s">
        <v>88</v>
      </c>
    </row>
    <row r="222" spans="1:8" ht="16.5" customHeight="1" x14ac:dyDescent="0.25">
      <c r="A222" s="27">
        <v>45685</v>
      </c>
      <c r="B222" s="80">
        <v>2025</v>
      </c>
      <c r="C222" s="80">
        <v>1</v>
      </c>
      <c r="D222" s="30" t="s">
        <v>35</v>
      </c>
      <c r="E222" s="30" t="s">
        <v>46</v>
      </c>
      <c r="F222" s="30" t="s">
        <v>51</v>
      </c>
      <c r="G222" s="33">
        <v>0.9798</v>
      </c>
      <c r="H222" s="83" t="s">
        <v>88</v>
      </c>
    </row>
    <row r="223" spans="1:8" ht="16.5" customHeight="1" x14ac:dyDescent="0.25">
      <c r="A223" s="27">
        <v>45685</v>
      </c>
      <c r="B223" s="80">
        <v>2025</v>
      </c>
      <c r="C223" s="80">
        <v>1</v>
      </c>
      <c r="D223" s="30" t="s">
        <v>35</v>
      </c>
      <c r="E223" s="30" t="s">
        <v>46</v>
      </c>
      <c r="F223" s="30" t="s">
        <v>58</v>
      </c>
      <c r="G223" s="33">
        <v>1.4597910599999999</v>
      </c>
      <c r="H223" s="83" t="s">
        <v>88</v>
      </c>
    </row>
    <row r="224" spans="1:8" ht="16.5" customHeight="1" x14ac:dyDescent="0.25">
      <c r="A224" s="27">
        <v>45685</v>
      </c>
      <c r="B224" s="80">
        <v>2025</v>
      </c>
      <c r="C224" s="80">
        <v>1</v>
      </c>
      <c r="D224" s="30" t="s">
        <v>35</v>
      </c>
      <c r="E224" s="30" t="s">
        <v>50</v>
      </c>
      <c r="F224" s="30" t="s">
        <v>43</v>
      </c>
      <c r="G224" s="33">
        <v>3.2259825599999998</v>
      </c>
      <c r="H224" s="83" t="s">
        <v>88</v>
      </c>
    </row>
    <row r="225" spans="1:8" ht="16.5" customHeight="1" x14ac:dyDescent="0.25">
      <c r="A225" s="27">
        <v>45685</v>
      </c>
      <c r="B225" s="80">
        <v>2025</v>
      </c>
      <c r="C225" s="80">
        <v>1</v>
      </c>
      <c r="D225" s="30" t="s">
        <v>35</v>
      </c>
      <c r="E225" s="30" t="s">
        <v>50</v>
      </c>
      <c r="F225" s="30" t="s">
        <v>51</v>
      </c>
      <c r="G225" s="33">
        <v>0.36975000000000002</v>
      </c>
      <c r="H225" s="83" t="s">
        <v>88</v>
      </c>
    </row>
    <row r="226" spans="1:8" ht="16.5" customHeight="1" x14ac:dyDescent="0.25">
      <c r="A226" s="27">
        <v>45685</v>
      </c>
      <c r="B226" s="80">
        <v>2025</v>
      </c>
      <c r="C226" s="80">
        <v>1</v>
      </c>
      <c r="D226" s="30" t="s">
        <v>35</v>
      </c>
      <c r="E226" s="30" t="s">
        <v>61</v>
      </c>
      <c r="F226" s="30" t="s">
        <v>43</v>
      </c>
      <c r="G226" s="33">
        <v>8.1180000000000003</v>
      </c>
      <c r="H226" s="83" t="s">
        <v>89</v>
      </c>
    </row>
    <row r="227" spans="1:8" ht="16.5" customHeight="1" x14ac:dyDescent="0.25">
      <c r="A227" s="27">
        <v>45685</v>
      </c>
      <c r="B227" s="80">
        <v>2025</v>
      </c>
      <c r="C227" s="80">
        <v>1</v>
      </c>
      <c r="D227" s="30" t="s">
        <v>35</v>
      </c>
      <c r="E227" s="30" t="s">
        <v>64</v>
      </c>
      <c r="F227" s="30" t="s">
        <v>43</v>
      </c>
      <c r="G227" s="33">
        <v>33.480139999999999</v>
      </c>
      <c r="H227" s="83" t="s">
        <v>89</v>
      </c>
    </row>
    <row r="228" spans="1:8" ht="16.5" customHeight="1" x14ac:dyDescent="0.25">
      <c r="A228" s="27">
        <v>45685</v>
      </c>
      <c r="B228" s="80">
        <v>2025</v>
      </c>
      <c r="C228" s="80">
        <v>1</v>
      </c>
      <c r="D228" s="30" t="s">
        <v>35</v>
      </c>
      <c r="E228" s="30" t="s">
        <v>66</v>
      </c>
      <c r="F228" s="30" t="s">
        <v>43</v>
      </c>
      <c r="G228" s="33">
        <v>9.9825999999999997</v>
      </c>
      <c r="H228" s="83" t="s">
        <v>89</v>
      </c>
    </row>
    <row r="229" spans="1:8" ht="16.5" customHeight="1" x14ac:dyDescent="0.25">
      <c r="A229" s="27">
        <v>45685</v>
      </c>
      <c r="B229" s="80">
        <v>2025</v>
      </c>
      <c r="C229" s="80">
        <v>1</v>
      </c>
      <c r="D229" s="30" t="s">
        <v>35</v>
      </c>
      <c r="E229" s="30" t="s">
        <v>75</v>
      </c>
      <c r="F229" s="30" t="s">
        <v>43</v>
      </c>
      <c r="G229" s="33">
        <v>3.81915</v>
      </c>
      <c r="H229" s="83" t="s">
        <v>48</v>
      </c>
    </row>
    <row r="230" spans="1:8" ht="16.5" customHeight="1" x14ac:dyDescent="0.25">
      <c r="A230" s="27">
        <v>45686</v>
      </c>
      <c r="B230" s="80">
        <v>2025</v>
      </c>
      <c r="C230" s="80">
        <v>1</v>
      </c>
      <c r="D230" s="30" t="s">
        <v>35</v>
      </c>
      <c r="E230" s="30" t="s">
        <v>38</v>
      </c>
      <c r="F230" s="30" t="s">
        <v>43</v>
      </c>
      <c r="G230" s="33">
        <v>5.8195759999999996</v>
      </c>
      <c r="H230" s="83" t="s">
        <v>88</v>
      </c>
    </row>
    <row r="231" spans="1:8" ht="16.5" customHeight="1" x14ac:dyDescent="0.25">
      <c r="A231" s="27">
        <v>45686</v>
      </c>
      <c r="B231" s="80">
        <v>2025</v>
      </c>
      <c r="C231" s="80">
        <v>1</v>
      </c>
      <c r="D231" s="30" t="s">
        <v>35</v>
      </c>
      <c r="E231" s="30" t="s">
        <v>38</v>
      </c>
      <c r="F231" s="30" t="s">
        <v>58</v>
      </c>
      <c r="G231" s="33">
        <v>0.83115760000000005</v>
      </c>
      <c r="H231" s="83" t="s">
        <v>88</v>
      </c>
    </row>
    <row r="232" spans="1:8" ht="16.5" customHeight="1" x14ac:dyDescent="0.25">
      <c r="A232" s="27">
        <v>45686</v>
      </c>
      <c r="B232" s="80">
        <v>2025</v>
      </c>
      <c r="C232" s="80">
        <v>1</v>
      </c>
      <c r="D232" s="30" t="s">
        <v>35</v>
      </c>
      <c r="E232" s="30" t="s">
        <v>42</v>
      </c>
      <c r="F232" s="30" t="s">
        <v>43</v>
      </c>
      <c r="G232" s="33">
        <v>1.1559999999999999</v>
      </c>
      <c r="H232" s="83" t="s">
        <v>88</v>
      </c>
    </row>
    <row r="233" spans="1:8" ht="16.5" customHeight="1" x14ac:dyDescent="0.25">
      <c r="A233" s="27">
        <v>45686</v>
      </c>
      <c r="B233" s="80">
        <v>2025</v>
      </c>
      <c r="C233" s="80">
        <v>1</v>
      </c>
      <c r="D233" s="30" t="s">
        <v>35</v>
      </c>
      <c r="E233" s="30" t="s">
        <v>46</v>
      </c>
      <c r="F233" s="30" t="s">
        <v>43</v>
      </c>
      <c r="G233" s="33">
        <v>5.2949289000000004</v>
      </c>
      <c r="H233" s="83" t="s">
        <v>88</v>
      </c>
    </row>
    <row r="234" spans="1:8" ht="16.5" customHeight="1" x14ac:dyDescent="0.25">
      <c r="A234" s="27">
        <v>45686</v>
      </c>
      <c r="B234" s="80">
        <v>2025</v>
      </c>
      <c r="C234" s="80">
        <v>1</v>
      </c>
      <c r="D234" s="30" t="s">
        <v>35</v>
      </c>
      <c r="E234" s="30" t="s">
        <v>46</v>
      </c>
      <c r="F234" s="30" t="s">
        <v>47</v>
      </c>
      <c r="G234" s="33">
        <v>0.2782694</v>
      </c>
      <c r="H234" s="83" t="s">
        <v>88</v>
      </c>
    </row>
    <row r="235" spans="1:8" ht="16.5" customHeight="1" x14ac:dyDescent="0.25">
      <c r="A235" s="27">
        <v>45686</v>
      </c>
      <c r="B235" s="80">
        <v>2025</v>
      </c>
      <c r="C235" s="80">
        <v>1</v>
      </c>
      <c r="D235" s="30" t="s">
        <v>35</v>
      </c>
      <c r="E235" s="30" t="s">
        <v>46</v>
      </c>
      <c r="F235" s="30" t="s">
        <v>51</v>
      </c>
      <c r="G235" s="33">
        <v>1.4259999999999999</v>
      </c>
      <c r="H235" s="83" t="s">
        <v>88</v>
      </c>
    </row>
    <row r="236" spans="1:8" ht="16.5" customHeight="1" x14ac:dyDescent="0.25">
      <c r="A236" s="27">
        <v>45686</v>
      </c>
      <c r="B236" s="80">
        <v>2025</v>
      </c>
      <c r="C236" s="80">
        <v>1</v>
      </c>
      <c r="D236" s="30" t="s">
        <v>35</v>
      </c>
      <c r="E236" s="30" t="s">
        <v>46</v>
      </c>
      <c r="F236" s="30" t="s">
        <v>58</v>
      </c>
      <c r="G236" s="33">
        <v>2.1783519999999998</v>
      </c>
      <c r="H236" s="83" t="s">
        <v>88</v>
      </c>
    </row>
    <row r="237" spans="1:8" ht="16.5" customHeight="1" x14ac:dyDescent="0.25">
      <c r="A237" s="27">
        <v>45686</v>
      </c>
      <c r="B237" s="80">
        <v>2025</v>
      </c>
      <c r="C237" s="80">
        <v>1</v>
      </c>
      <c r="D237" s="30" t="s">
        <v>35</v>
      </c>
      <c r="E237" s="30" t="s">
        <v>50</v>
      </c>
      <c r="F237" s="30" t="s">
        <v>43</v>
      </c>
      <c r="G237" s="33">
        <v>55.274753199999999</v>
      </c>
      <c r="H237" s="83" t="s">
        <v>88</v>
      </c>
    </row>
    <row r="238" spans="1:8" ht="16.5" customHeight="1" x14ac:dyDescent="0.25">
      <c r="A238" s="27">
        <v>45686</v>
      </c>
      <c r="B238" s="80">
        <v>2025</v>
      </c>
      <c r="C238" s="80">
        <v>1</v>
      </c>
      <c r="D238" s="30" t="s">
        <v>35</v>
      </c>
      <c r="E238" s="30" t="s">
        <v>50</v>
      </c>
      <c r="F238" s="30" t="s">
        <v>51</v>
      </c>
      <c r="G238" s="33">
        <v>0.49299999999999999</v>
      </c>
      <c r="H238" s="83" t="s">
        <v>88</v>
      </c>
    </row>
    <row r="239" spans="1:8" ht="16.5" customHeight="1" x14ac:dyDescent="0.25">
      <c r="A239" s="27">
        <v>45686</v>
      </c>
      <c r="B239" s="80">
        <v>2025</v>
      </c>
      <c r="C239" s="80">
        <v>1</v>
      </c>
      <c r="D239" s="30" t="s">
        <v>35</v>
      </c>
      <c r="E239" s="30" t="s">
        <v>50</v>
      </c>
      <c r="F239" s="30" t="s">
        <v>58</v>
      </c>
      <c r="G239" s="33">
        <v>0.22197749999999999</v>
      </c>
      <c r="H239" s="83" t="s">
        <v>88</v>
      </c>
    </row>
    <row r="240" spans="1:8" ht="16.5" customHeight="1" x14ac:dyDescent="0.25">
      <c r="A240" s="27">
        <v>45686</v>
      </c>
      <c r="B240" s="80">
        <v>2025</v>
      </c>
      <c r="C240" s="80">
        <v>1</v>
      </c>
      <c r="D240" s="30" t="s">
        <v>35</v>
      </c>
      <c r="E240" s="30" t="s">
        <v>54</v>
      </c>
      <c r="F240" s="30" t="s">
        <v>43</v>
      </c>
      <c r="G240" s="33">
        <v>18.675000000000001</v>
      </c>
      <c r="H240" s="83" t="s">
        <v>88</v>
      </c>
    </row>
    <row r="241" spans="1:8" ht="16.5" customHeight="1" x14ac:dyDescent="0.25">
      <c r="A241" s="27">
        <v>45686</v>
      </c>
      <c r="B241" s="80">
        <v>2025</v>
      </c>
      <c r="C241" s="80">
        <v>1</v>
      </c>
      <c r="D241" s="30" t="s">
        <v>35</v>
      </c>
      <c r="E241" s="30" t="s">
        <v>57</v>
      </c>
      <c r="F241" s="30" t="s">
        <v>43</v>
      </c>
      <c r="G241" s="33">
        <v>58.24765</v>
      </c>
      <c r="H241" s="83" t="s">
        <v>89</v>
      </c>
    </row>
    <row r="242" spans="1:8" ht="16.5" customHeight="1" x14ac:dyDescent="0.25">
      <c r="A242" s="27">
        <v>45686</v>
      </c>
      <c r="B242" s="80">
        <v>2025</v>
      </c>
      <c r="C242" s="80">
        <v>1</v>
      </c>
      <c r="D242" s="30" t="s">
        <v>35</v>
      </c>
      <c r="E242" s="30" t="s">
        <v>64</v>
      </c>
      <c r="F242" s="30" t="s">
        <v>43</v>
      </c>
      <c r="G242" s="33">
        <v>1.30375</v>
      </c>
      <c r="H242" s="83" t="s">
        <v>89</v>
      </c>
    </row>
    <row r="243" spans="1:8" ht="16.5" customHeight="1" x14ac:dyDescent="0.25">
      <c r="A243" s="27">
        <v>45686</v>
      </c>
      <c r="B243" s="80">
        <v>2025</v>
      </c>
      <c r="C243" s="80">
        <v>1</v>
      </c>
      <c r="D243" s="30" t="s">
        <v>35</v>
      </c>
      <c r="E243" s="30" t="s">
        <v>66</v>
      </c>
      <c r="F243" s="30" t="s">
        <v>43</v>
      </c>
      <c r="G243" s="33">
        <v>2.2949999999999999</v>
      </c>
      <c r="H243" s="83" t="s">
        <v>89</v>
      </c>
    </row>
    <row r="244" spans="1:8" ht="16.5" customHeight="1" x14ac:dyDescent="0.25">
      <c r="A244" s="27">
        <v>45686</v>
      </c>
      <c r="B244" s="80">
        <v>2025</v>
      </c>
      <c r="C244" s="80">
        <v>1</v>
      </c>
      <c r="D244" s="30" t="s">
        <v>35</v>
      </c>
      <c r="E244" s="30" t="s">
        <v>71</v>
      </c>
      <c r="F244" s="30" t="s">
        <v>43</v>
      </c>
      <c r="G244" s="33">
        <v>5.5860000000000003</v>
      </c>
      <c r="H244" s="83" t="s">
        <v>89</v>
      </c>
    </row>
    <row r="245" spans="1:8" ht="16.5" customHeight="1" x14ac:dyDescent="0.25">
      <c r="A245" s="27">
        <v>45686</v>
      </c>
      <c r="B245" s="80">
        <v>2025</v>
      </c>
      <c r="C245" s="80">
        <v>1</v>
      </c>
      <c r="D245" s="30" t="s">
        <v>35</v>
      </c>
      <c r="E245" s="30" t="s">
        <v>71</v>
      </c>
      <c r="F245" s="30" t="s">
        <v>55</v>
      </c>
      <c r="G245" s="33">
        <v>1.38</v>
      </c>
      <c r="H245" s="83" t="s">
        <v>89</v>
      </c>
    </row>
    <row r="246" spans="1:8" ht="16.5" customHeight="1" x14ac:dyDescent="0.25">
      <c r="A246" s="27">
        <v>45686</v>
      </c>
      <c r="B246" s="80">
        <v>2025</v>
      </c>
      <c r="C246" s="80">
        <v>1</v>
      </c>
      <c r="D246" s="30" t="s">
        <v>35</v>
      </c>
      <c r="E246" s="30" t="s">
        <v>74</v>
      </c>
      <c r="F246" s="30" t="s">
        <v>55</v>
      </c>
      <c r="G246" s="33">
        <v>3.4924499999999998</v>
      </c>
      <c r="H246" s="83" t="s">
        <v>89</v>
      </c>
    </row>
    <row r="247" spans="1:8" ht="16.5" customHeight="1" x14ac:dyDescent="0.25">
      <c r="A247" s="27">
        <v>45687</v>
      </c>
      <c r="B247" s="80">
        <v>2025</v>
      </c>
      <c r="C247" s="80">
        <v>1</v>
      </c>
      <c r="D247" s="30" t="s">
        <v>35</v>
      </c>
      <c r="E247" s="30" t="s">
        <v>42</v>
      </c>
      <c r="F247" s="30" t="s">
        <v>43</v>
      </c>
      <c r="G247" s="33">
        <v>2.1080000000000001</v>
      </c>
      <c r="H247" s="83" t="s">
        <v>88</v>
      </c>
    </row>
    <row r="248" spans="1:8" ht="16.5" customHeight="1" x14ac:dyDescent="0.25">
      <c r="A248" s="27">
        <v>45687</v>
      </c>
      <c r="B248" s="80">
        <v>2025</v>
      </c>
      <c r="C248" s="80">
        <v>1</v>
      </c>
      <c r="D248" s="30" t="s">
        <v>35</v>
      </c>
      <c r="E248" s="30" t="s">
        <v>46</v>
      </c>
      <c r="F248" s="30" t="s">
        <v>43</v>
      </c>
      <c r="G248" s="33">
        <v>0.48329775000000003</v>
      </c>
      <c r="H248" s="83" t="s">
        <v>88</v>
      </c>
    </row>
    <row r="249" spans="1:8" ht="16.5" customHeight="1" x14ac:dyDescent="0.25">
      <c r="A249" s="27">
        <v>45687</v>
      </c>
      <c r="B249" s="80">
        <v>2025</v>
      </c>
      <c r="C249" s="80">
        <v>1</v>
      </c>
      <c r="D249" s="30" t="s">
        <v>35</v>
      </c>
      <c r="E249" s="30" t="s">
        <v>50</v>
      </c>
      <c r="F249" s="30" t="s">
        <v>43</v>
      </c>
      <c r="G249" s="33">
        <v>45.652282300000003</v>
      </c>
      <c r="H249" s="83" t="s">
        <v>88</v>
      </c>
    </row>
    <row r="250" spans="1:8" ht="16.5" customHeight="1" x14ac:dyDescent="0.25">
      <c r="A250" s="27">
        <v>45687</v>
      </c>
      <c r="B250" s="80">
        <v>2025</v>
      </c>
      <c r="C250" s="80">
        <v>1</v>
      </c>
      <c r="D250" s="30" t="s">
        <v>35</v>
      </c>
      <c r="E250" s="30" t="s">
        <v>50</v>
      </c>
      <c r="F250" s="30" t="s">
        <v>47</v>
      </c>
      <c r="G250" s="33">
        <v>0.1196</v>
      </c>
      <c r="H250" s="83" t="s">
        <v>88</v>
      </c>
    </row>
    <row r="251" spans="1:8" ht="16.5" customHeight="1" x14ac:dyDescent="0.25">
      <c r="A251" s="27">
        <v>45687</v>
      </c>
      <c r="B251" s="80">
        <v>2025</v>
      </c>
      <c r="C251" s="80">
        <v>1</v>
      </c>
      <c r="D251" s="30" t="s">
        <v>35</v>
      </c>
      <c r="E251" s="30" t="s">
        <v>50</v>
      </c>
      <c r="F251" s="30" t="s">
        <v>55</v>
      </c>
      <c r="G251" s="33">
        <v>15.092392</v>
      </c>
      <c r="H251" s="83" t="s">
        <v>88</v>
      </c>
    </row>
    <row r="252" spans="1:8" ht="16.5" customHeight="1" x14ac:dyDescent="0.25">
      <c r="A252" s="27">
        <v>45687</v>
      </c>
      <c r="B252" s="80">
        <v>2025</v>
      </c>
      <c r="C252" s="80">
        <v>1</v>
      </c>
      <c r="D252" s="30" t="s">
        <v>35</v>
      </c>
      <c r="E252" s="30" t="s">
        <v>50</v>
      </c>
      <c r="F252" s="30" t="s">
        <v>58</v>
      </c>
      <c r="G252" s="33">
        <v>53.504410399999998</v>
      </c>
      <c r="H252" s="83" t="s">
        <v>88</v>
      </c>
    </row>
    <row r="253" spans="1:8" ht="16.5" customHeight="1" x14ac:dyDescent="0.25">
      <c r="A253" s="27">
        <v>45687</v>
      </c>
      <c r="B253" s="80">
        <v>2025</v>
      </c>
      <c r="C253" s="80">
        <v>1</v>
      </c>
      <c r="D253" s="30" t="s">
        <v>35</v>
      </c>
      <c r="E253" s="30" t="s">
        <v>54</v>
      </c>
      <c r="F253" s="30" t="s">
        <v>43</v>
      </c>
      <c r="G253" s="33">
        <v>1.3025</v>
      </c>
      <c r="H253" s="83" t="s">
        <v>88</v>
      </c>
    </row>
    <row r="254" spans="1:8" ht="16.5" customHeight="1" x14ac:dyDescent="0.25">
      <c r="A254" s="27">
        <v>45687</v>
      </c>
      <c r="B254" s="80">
        <v>2025</v>
      </c>
      <c r="C254" s="80">
        <v>1</v>
      </c>
      <c r="D254" s="30" t="s">
        <v>35</v>
      </c>
      <c r="E254" s="30" t="s">
        <v>66</v>
      </c>
      <c r="F254" s="30" t="s">
        <v>43</v>
      </c>
      <c r="G254" s="33">
        <v>4.32</v>
      </c>
      <c r="H254" s="83" t="s">
        <v>89</v>
      </c>
    </row>
    <row r="255" spans="1:8" ht="16.5" customHeight="1" x14ac:dyDescent="0.25">
      <c r="A255" s="27">
        <v>45687</v>
      </c>
      <c r="B255" s="80">
        <v>2025</v>
      </c>
      <c r="C255" s="80">
        <v>1</v>
      </c>
      <c r="D255" s="30" t="s">
        <v>35</v>
      </c>
      <c r="E255" s="30" t="s">
        <v>68</v>
      </c>
      <c r="F255" s="30" t="s">
        <v>43</v>
      </c>
      <c r="G255" s="33">
        <v>2.4449999999999998</v>
      </c>
      <c r="H255" s="83" t="s">
        <v>89</v>
      </c>
    </row>
    <row r="256" spans="1:8" ht="16.5" customHeight="1" x14ac:dyDescent="0.25">
      <c r="A256" s="27">
        <v>45687</v>
      </c>
      <c r="B256" s="80">
        <v>2025</v>
      </c>
      <c r="C256" s="80">
        <v>1</v>
      </c>
      <c r="D256" s="30" t="s">
        <v>35</v>
      </c>
      <c r="E256" s="30" t="s">
        <v>71</v>
      </c>
      <c r="F256" s="30" t="s">
        <v>43</v>
      </c>
      <c r="G256" s="33">
        <v>14.6088</v>
      </c>
      <c r="H256" s="83" t="s">
        <v>89</v>
      </c>
    </row>
    <row r="257" spans="1:8" ht="16.5" customHeight="1" x14ac:dyDescent="0.25">
      <c r="A257" s="27">
        <v>45687</v>
      </c>
      <c r="B257" s="80">
        <v>2025</v>
      </c>
      <c r="C257" s="80">
        <v>1</v>
      </c>
      <c r="D257" s="30" t="s">
        <v>35</v>
      </c>
      <c r="E257" s="30" t="s">
        <v>73</v>
      </c>
      <c r="F257" s="30" t="s">
        <v>39</v>
      </c>
      <c r="G257" s="33">
        <v>2.9502549999999998</v>
      </c>
      <c r="H257" s="83" t="s">
        <v>89</v>
      </c>
    </row>
    <row r="258" spans="1:8" ht="16.5" customHeight="1" x14ac:dyDescent="0.25">
      <c r="A258" s="27">
        <v>45687</v>
      </c>
      <c r="B258" s="80">
        <v>2025</v>
      </c>
      <c r="C258" s="80">
        <v>1</v>
      </c>
      <c r="D258" s="30" t="s">
        <v>35</v>
      </c>
      <c r="E258" s="30" t="s">
        <v>75</v>
      </c>
      <c r="F258" s="30" t="s">
        <v>43</v>
      </c>
      <c r="G258" s="33">
        <v>13.8586545</v>
      </c>
      <c r="H258" s="83" t="s">
        <v>48</v>
      </c>
    </row>
    <row r="259" spans="1:8" ht="16.5" customHeight="1" x14ac:dyDescent="0.25">
      <c r="A259" s="27">
        <v>45688</v>
      </c>
      <c r="B259" s="80">
        <v>2025</v>
      </c>
      <c r="C259" s="80">
        <v>1</v>
      </c>
      <c r="D259" s="30" t="s">
        <v>35</v>
      </c>
      <c r="E259" s="30" t="s">
        <v>38</v>
      </c>
      <c r="F259" s="30" t="s">
        <v>43</v>
      </c>
      <c r="G259" s="33">
        <v>1.0595760000000001</v>
      </c>
      <c r="H259" s="83" t="s">
        <v>88</v>
      </c>
    </row>
    <row r="260" spans="1:8" ht="16.5" customHeight="1" x14ac:dyDescent="0.25">
      <c r="A260" s="27">
        <v>45688</v>
      </c>
      <c r="B260" s="80">
        <v>2025</v>
      </c>
      <c r="C260" s="80">
        <v>1</v>
      </c>
      <c r="D260" s="30" t="s">
        <v>35</v>
      </c>
      <c r="E260" s="30" t="s">
        <v>42</v>
      </c>
      <c r="F260" s="30" t="s">
        <v>43</v>
      </c>
      <c r="G260" s="33">
        <v>2.8319999999999999</v>
      </c>
      <c r="H260" s="83" t="s">
        <v>88</v>
      </c>
    </row>
    <row r="261" spans="1:8" ht="16.5" customHeight="1" x14ac:dyDescent="0.25">
      <c r="A261" s="27">
        <v>45688</v>
      </c>
      <c r="B261" s="80">
        <v>2025</v>
      </c>
      <c r="C261" s="80">
        <v>1</v>
      </c>
      <c r="D261" s="30" t="s">
        <v>35</v>
      </c>
      <c r="E261" s="30" t="s">
        <v>46</v>
      </c>
      <c r="F261" s="30" t="s">
        <v>43</v>
      </c>
      <c r="G261" s="33">
        <v>1.0709354</v>
      </c>
      <c r="H261" s="83" t="s">
        <v>88</v>
      </c>
    </row>
    <row r="262" spans="1:8" ht="16.5" customHeight="1" x14ac:dyDescent="0.25">
      <c r="A262" s="27">
        <v>45688</v>
      </c>
      <c r="B262" s="80">
        <v>2025</v>
      </c>
      <c r="C262" s="80">
        <v>1</v>
      </c>
      <c r="D262" s="30" t="s">
        <v>35</v>
      </c>
      <c r="E262" s="30" t="s">
        <v>46</v>
      </c>
      <c r="F262" s="30" t="s">
        <v>47</v>
      </c>
      <c r="G262" s="33">
        <v>0.1660035</v>
      </c>
      <c r="H262" s="83" t="s">
        <v>88</v>
      </c>
    </row>
    <row r="263" spans="1:8" ht="16.5" customHeight="1" x14ac:dyDescent="0.25">
      <c r="A263" s="27">
        <v>45688</v>
      </c>
      <c r="B263" s="80">
        <v>2025</v>
      </c>
      <c r="C263" s="80">
        <v>1</v>
      </c>
      <c r="D263" s="30" t="s">
        <v>35</v>
      </c>
      <c r="E263" s="30" t="s">
        <v>46</v>
      </c>
      <c r="F263" s="30" t="s">
        <v>58</v>
      </c>
      <c r="G263" s="33">
        <v>0.44319634499999999</v>
      </c>
      <c r="H263" s="83" t="s">
        <v>88</v>
      </c>
    </row>
    <row r="264" spans="1:8" ht="16.5" customHeight="1" x14ac:dyDescent="0.25">
      <c r="A264" s="27">
        <v>45688</v>
      </c>
      <c r="B264" s="80">
        <v>2025</v>
      </c>
      <c r="C264" s="80">
        <v>1</v>
      </c>
      <c r="D264" s="30" t="s">
        <v>35</v>
      </c>
      <c r="E264" s="30" t="s">
        <v>50</v>
      </c>
      <c r="F264" s="30" t="s">
        <v>47</v>
      </c>
      <c r="G264" s="33">
        <v>1.554</v>
      </c>
      <c r="H264" s="83" t="s">
        <v>88</v>
      </c>
    </row>
    <row r="265" spans="1:8" ht="16.5" customHeight="1" x14ac:dyDescent="0.25">
      <c r="A265" s="27">
        <v>45688</v>
      </c>
      <c r="B265" s="80">
        <v>2025</v>
      </c>
      <c r="C265" s="80">
        <v>1</v>
      </c>
      <c r="D265" s="30" t="s">
        <v>35</v>
      </c>
      <c r="E265" s="30" t="s">
        <v>54</v>
      </c>
      <c r="F265" s="30" t="s">
        <v>43</v>
      </c>
      <c r="G265" s="33">
        <v>0.34965000000000002</v>
      </c>
      <c r="H265" s="83" t="s">
        <v>88</v>
      </c>
    </row>
    <row r="266" spans="1:8" ht="16.5" customHeight="1" x14ac:dyDescent="0.25">
      <c r="A266" s="27">
        <v>45688</v>
      </c>
      <c r="B266" s="80">
        <v>2025</v>
      </c>
      <c r="C266" s="80">
        <v>1</v>
      </c>
      <c r="D266" s="30" t="s">
        <v>35</v>
      </c>
      <c r="E266" s="30" t="s">
        <v>66</v>
      </c>
      <c r="F266" s="30" t="s">
        <v>43</v>
      </c>
      <c r="G266" s="33">
        <v>17.062349999999999</v>
      </c>
      <c r="H266" s="83" t="s">
        <v>89</v>
      </c>
    </row>
    <row r="267" spans="1:8" ht="16.5" customHeight="1" x14ac:dyDescent="0.25">
      <c r="A267" s="27">
        <v>45688</v>
      </c>
      <c r="B267" s="80">
        <v>2025</v>
      </c>
      <c r="C267" s="80">
        <v>1</v>
      </c>
      <c r="D267" s="30" t="s">
        <v>35</v>
      </c>
      <c r="E267" s="30" t="s">
        <v>68</v>
      </c>
      <c r="F267" s="30" t="s">
        <v>43</v>
      </c>
      <c r="G267" s="33">
        <v>3.8029999999999999</v>
      </c>
      <c r="H267" s="83" t="s">
        <v>89</v>
      </c>
    </row>
    <row r="268" spans="1:8" ht="16.5" customHeight="1" x14ac:dyDescent="0.25">
      <c r="A268" s="27">
        <v>45688</v>
      </c>
      <c r="B268" s="80">
        <v>2025</v>
      </c>
      <c r="C268" s="80">
        <v>1</v>
      </c>
      <c r="D268" s="30" t="s">
        <v>35</v>
      </c>
      <c r="E268" s="30" t="s">
        <v>71</v>
      </c>
      <c r="F268" s="30" t="s">
        <v>43</v>
      </c>
      <c r="G268" s="33">
        <v>10.542399</v>
      </c>
      <c r="H268" s="83" t="s">
        <v>89</v>
      </c>
    </row>
    <row r="269" spans="1:8" ht="16.5" customHeight="1" x14ac:dyDescent="0.25">
      <c r="A269" s="27">
        <v>45688</v>
      </c>
      <c r="B269" s="80">
        <v>2025</v>
      </c>
      <c r="C269" s="80">
        <v>1</v>
      </c>
      <c r="D269" s="30" t="s">
        <v>35</v>
      </c>
      <c r="E269" s="30" t="s">
        <v>71</v>
      </c>
      <c r="F269" s="30" t="s">
        <v>51</v>
      </c>
      <c r="G269" s="33">
        <v>2.0592000000000001</v>
      </c>
      <c r="H269" s="83" t="s">
        <v>89</v>
      </c>
    </row>
    <row r="270" spans="1:8" ht="16.5" customHeight="1" x14ac:dyDescent="0.25">
      <c r="A270" s="27">
        <v>45688</v>
      </c>
      <c r="B270" s="80">
        <v>2025</v>
      </c>
      <c r="C270" s="80">
        <v>1</v>
      </c>
      <c r="D270" s="30" t="s">
        <v>35</v>
      </c>
      <c r="E270" s="30" t="s">
        <v>74</v>
      </c>
      <c r="F270" s="30" t="s">
        <v>43</v>
      </c>
      <c r="G270" s="33">
        <v>55.38</v>
      </c>
      <c r="H270" s="83" t="s">
        <v>89</v>
      </c>
    </row>
    <row r="271" spans="1:8" ht="16.5" customHeight="1" x14ac:dyDescent="0.25">
      <c r="A271" s="27">
        <v>45688</v>
      </c>
      <c r="B271" s="80">
        <v>2025</v>
      </c>
      <c r="C271" s="80">
        <v>1</v>
      </c>
      <c r="D271" s="30" t="s">
        <v>35</v>
      </c>
      <c r="E271" s="30" t="s">
        <v>75</v>
      </c>
      <c r="F271" s="30" t="s">
        <v>43</v>
      </c>
      <c r="G271" s="33">
        <v>1.4648699999999999</v>
      </c>
      <c r="H271" s="83" t="s">
        <v>48</v>
      </c>
    </row>
    <row r="272" spans="1:8" ht="16.5" customHeight="1" x14ac:dyDescent="0.25">
      <c r="A272" s="27">
        <v>45688</v>
      </c>
      <c r="B272" s="80">
        <v>2025</v>
      </c>
      <c r="C272" s="80">
        <v>1</v>
      </c>
      <c r="D272" s="30" t="s">
        <v>35</v>
      </c>
      <c r="E272" s="30" t="s">
        <v>76</v>
      </c>
      <c r="F272" s="30" t="s">
        <v>39</v>
      </c>
      <c r="G272" s="33">
        <v>126.62873999999999</v>
      </c>
      <c r="H272" s="83" t="s">
        <v>48</v>
      </c>
    </row>
    <row r="273" spans="1:8" ht="16.5" customHeight="1" x14ac:dyDescent="0.25">
      <c r="A273" s="27">
        <v>45691</v>
      </c>
      <c r="B273" s="80">
        <v>2025</v>
      </c>
      <c r="C273" s="80">
        <v>2</v>
      </c>
      <c r="D273" s="30" t="s">
        <v>37</v>
      </c>
      <c r="E273" s="30" t="s">
        <v>38</v>
      </c>
      <c r="F273" s="30" t="s">
        <v>43</v>
      </c>
      <c r="G273" s="33">
        <v>5.6381839999999999</v>
      </c>
      <c r="H273" s="83" t="s">
        <v>88</v>
      </c>
    </row>
    <row r="274" spans="1:8" ht="16.5" customHeight="1" x14ac:dyDescent="0.25">
      <c r="A274" s="27">
        <v>45691</v>
      </c>
      <c r="B274" s="80">
        <v>2025</v>
      </c>
      <c r="C274" s="80">
        <v>2</v>
      </c>
      <c r="D274" s="30" t="s">
        <v>37</v>
      </c>
      <c r="E274" s="30" t="s">
        <v>38</v>
      </c>
      <c r="F274" s="30" t="s">
        <v>55</v>
      </c>
      <c r="G274" s="33">
        <v>0.84</v>
      </c>
      <c r="H274" s="83" t="s">
        <v>88</v>
      </c>
    </row>
    <row r="275" spans="1:8" ht="16.5" customHeight="1" x14ac:dyDescent="0.25">
      <c r="A275" s="27">
        <v>45691</v>
      </c>
      <c r="B275" s="80">
        <v>2025</v>
      </c>
      <c r="C275" s="80">
        <v>2</v>
      </c>
      <c r="D275" s="30" t="s">
        <v>37</v>
      </c>
      <c r="E275" s="30" t="s">
        <v>42</v>
      </c>
      <c r="F275" s="30" t="s">
        <v>43</v>
      </c>
      <c r="G275" s="33">
        <v>9.1956249999999997</v>
      </c>
      <c r="H275" s="83" t="s">
        <v>88</v>
      </c>
    </row>
    <row r="276" spans="1:8" ht="16.5" customHeight="1" x14ac:dyDescent="0.25">
      <c r="A276" s="27">
        <v>45691</v>
      </c>
      <c r="B276" s="80">
        <v>2025</v>
      </c>
      <c r="C276" s="80">
        <v>2</v>
      </c>
      <c r="D276" s="30" t="s">
        <v>37</v>
      </c>
      <c r="E276" s="30" t="s">
        <v>42</v>
      </c>
      <c r="F276" s="30" t="s">
        <v>51</v>
      </c>
      <c r="G276" s="33">
        <v>0.3</v>
      </c>
      <c r="H276" s="83" t="s">
        <v>88</v>
      </c>
    </row>
    <row r="277" spans="1:8" ht="16.5" customHeight="1" x14ac:dyDescent="0.25">
      <c r="A277" s="27">
        <v>45691</v>
      </c>
      <c r="B277" s="80">
        <v>2025</v>
      </c>
      <c r="C277" s="80">
        <v>2</v>
      </c>
      <c r="D277" s="30" t="s">
        <v>37</v>
      </c>
      <c r="E277" s="30" t="s">
        <v>42</v>
      </c>
      <c r="F277" s="30" t="s">
        <v>55</v>
      </c>
      <c r="G277" s="33">
        <v>0.45</v>
      </c>
      <c r="H277" s="83" t="s">
        <v>88</v>
      </c>
    </row>
    <row r="278" spans="1:8" ht="16.5" customHeight="1" x14ac:dyDescent="0.25">
      <c r="A278" s="27">
        <v>45691</v>
      </c>
      <c r="B278" s="80">
        <v>2025</v>
      </c>
      <c r="C278" s="80">
        <v>2</v>
      </c>
      <c r="D278" s="30" t="s">
        <v>37</v>
      </c>
      <c r="E278" s="30" t="s">
        <v>46</v>
      </c>
      <c r="F278" s="30" t="s">
        <v>43</v>
      </c>
      <c r="G278" s="33">
        <v>2.3741460000000001</v>
      </c>
      <c r="H278" s="83" t="s">
        <v>88</v>
      </c>
    </row>
    <row r="279" spans="1:8" ht="16.5" customHeight="1" x14ac:dyDescent="0.25">
      <c r="A279" s="27">
        <v>45691</v>
      </c>
      <c r="B279" s="80">
        <v>2025</v>
      </c>
      <c r="C279" s="80">
        <v>2</v>
      </c>
      <c r="D279" s="30" t="s">
        <v>37</v>
      </c>
      <c r="E279" s="30" t="s">
        <v>46</v>
      </c>
      <c r="F279" s="30" t="s">
        <v>51</v>
      </c>
      <c r="G279" s="33">
        <v>0.2898</v>
      </c>
      <c r="H279" s="83" t="s">
        <v>88</v>
      </c>
    </row>
    <row r="280" spans="1:8" ht="16.5" customHeight="1" x14ac:dyDescent="0.25">
      <c r="A280" s="27">
        <v>45691</v>
      </c>
      <c r="B280" s="80">
        <v>2025</v>
      </c>
      <c r="C280" s="80">
        <v>2</v>
      </c>
      <c r="D280" s="30" t="s">
        <v>37</v>
      </c>
      <c r="E280" s="30" t="s">
        <v>50</v>
      </c>
      <c r="F280" s="30" t="s">
        <v>43</v>
      </c>
      <c r="G280" s="33">
        <v>15.506766239999999</v>
      </c>
      <c r="H280" s="83" t="s">
        <v>88</v>
      </c>
    </row>
    <row r="281" spans="1:8" ht="16.5" customHeight="1" x14ac:dyDescent="0.25">
      <c r="A281" s="27">
        <v>45691</v>
      </c>
      <c r="B281" s="80">
        <v>2025</v>
      </c>
      <c r="C281" s="80">
        <v>2</v>
      </c>
      <c r="D281" s="30" t="s">
        <v>37</v>
      </c>
      <c r="E281" s="30" t="s">
        <v>50</v>
      </c>
      <c r="F281" s="30" t="s">
        <v>47</v>
      </c>
      <c r="G281" s="33">
        <v>1.8648</v>
      </c>
      <c r="H281" s="83" t="s">
        <v>88</v>
      </c>
    </row>
    <row r="282" spans="1:8" ht="16.5" customHeight="1" x14ac:dyDescent="0.25">
      <c r="A282" s="27">
        <v>45691</v>
      </c>
      <c r="B282" s="80">
        <v>2025</v>
      </c>
      <c r="C282" s="80">
        <v>2</v>
      </c>
      <c r="D282" s="30" t="s">
        <v>37</v>
      </c>
      <c r="E282" s="30" t="s">
        <v>50</v>
      </c>
      <c r="F282" s="30" t="s">
        <v>58</v>
      </c>
      <c r="G282" s="33">
        <v>0.49261749999999999</v>
      </c>
      <c r="H282" s="83" t="s">
        <v>88</v>
      </c>
    </row>
    <row r="283" spans="1:8" ht="16.5" customHeight="1" x14ac:dyDescent="0.25">
      <c r="A283" s="27">
        <v>45691</v>
      </c>
      <c r="B283" s="80">
        <v>2025</v>
      </c>
      <c r="C283" s="80">
        <v>2</v>
      </c>
      <c r="D283" s="30" t="s">
        <v>37</v>
      </c>
      <c r="E283" s="30" t="s">
        <v>54</v>
      </c>
      <c r="F283" s="30" t="s">
        <v>43</v>
      </c>
      <c r="G283" s="33">
        <v>3.996</v>
      </c>
      <c r="H283" s="83" t="s">
        <v>88</v>
      </c>
    </row>
    <row r="284" spans="1:8" ht="16.5" customHeight="1" x14ac:dyDescent="0.25">
      <c r="A284" s="27">
        <v>45691</v>
      </c>
      <c r="B284" s="80">
        <v>2025</v>
      </c>
      <c r="C284" s="80">
        <v>2</v>
      </c>
      <c r="D284" s="30" t="s">
        <v>37</v>
      </c>
      <c r="E284" s="30" t="s">
        <v>54</v>
      </c>
      <c r="F284" s="30" t="s">
        <v>47</v>
      </c>
      <c r="G284" s="33">
        <v>7.2720000000000007E-2</v>
      </c>
      <c r="H284" s="83" t="s">
        <v>88</v>
      </c>
    </row>
    <row r="285" spans="1:8" ht="16.5" customHeight="1" x14ac:dyDescent="0.25">
      <c r="A285" s="27">
        <v>45691</v>
      </c>
      <c r="B285" s="80">
        <v>2025</v>
      </c>
      <c r="C285" s="80">
        <v>2</v>
      </c>
      <c r="D285" s="30" t="s">
        <v>37</v>
      </c>
      <c r="E285" s="30" t="s">
        <v>61</v>
      </c>
      <c r="F285" s="30" t="s">
        <v>43</v>
      </c>
      <c r="G285" s="33">
        <v>5.4249999999999998</v>
      </c>
      <c r="H285" s="83" t="s">
        <v>89</v>
      </c>
    </row>
    <row r="286" spans="1:8" ht="16.5" customHeight="1" x14ac:dyDescent="0.25">
      <c r="A286" s="27">
        <v>45691</v>
      </c>
      <c r="B286" s="80">
        <v>2025</v>
      </c>
      <c r="C286" s="80">
        <v>2</v>
      </c>
      <c r="D286" s="30" t="s">
        <v>37</v>
      </c>
      <c r="E286" s="30" t="s">
        <v>61</v>
      </c>
      <c r="F286" s="30" t="s">
        <v>55</v>
      </c>
      <c r="G286" s="33">
        <v>5.8</v>
      </c>
      <c r="H286" s="83" t="s">
        <v>89</v>
      </c>
    </row>
    <row r="287" spans="1:8" ht="16.5" customHeight="1" x14ac:dyDescent="0.25">
      <c r="A287" s="27">
        <v>45691</v>
      </c>
      <c r="B287" s="80">
        <v>2025</v>
      </c>
      <c r="C287" s="80">
        <v>2</v>
      </c>
      <c r="D287" s="30" t="s">
        <v>37</v>
      </c>
      <c r="E287" s="30" t="s">
        <v>66</v>
      </c>
      <c r="F287" s="30" t="s">
        <v>43</v>
      </c>
      <c r="G287" s="33">
        <v>4.2424999999999997</v>
      </c>
      <c r="H287" s="83" t="s">
        <v>89</v>
      </c>
    </row>
    <row r="288" spans="1:8" ht="16.5" customHeight="1" x14ac:dyDescent="0.25">
      <c r="A288" s="27">
        <v>45691</v>
      </c>
      <c r="B288" s="80">
        <v>2025</v>
      </c>
      <c r="C288" s="80">
        <v>2</v>
      </c>
      <c r="D288" s="30" t="s">
        <v>37</v>
      </c>
      <c r="E288" s="30" t="s">
        <v>71</v>
      </c>
      <c r="F288" s="30" t="s">
        <v>43</v>
      </c>
      <c r="G288" s="33">
        <v>17.785499999999999</v>
      </c>
      <c r="H288" s="83" t="s">
        <v>89</v>
      </c>
    </row>
    <row r="289" spans="1:8" ht="16.5" customHeight="1" x14ac:dyDescent="0.25">
      <c r="A289" s="27">
        <v>45692</v>
      </c>
      <c r="B289" s="80">
        <v>2025</v>
      </c>
      <c r="C289" s="80">
        <v>2</v>
      </c>
      <c r="D289" s="30" t="s">
        <v>37</v>
      </c>
      <c r="E289" s="30" t="s">
        <v>38</v>
      </c>
      <c r="F289" s="30" t="s">
        <v>43</v>
      </c>
      <c r="G289" s="33">
        <v>2.215576</v>
      </c>
      <c r="H289" s="83" t="s">
        <v>88</v>
      </c>
    </row>
    <row r="290" spans="1:8" ht="16.5" customHeight="1" x14ac:dyDescent="0.25">
      <c r="A290" s="27">
        <v>45692</v>
      </c>
      <c r="B290" s="80">
        <v>2025</v>
      </c>
      <c r="C290" s="80">
        <v>2</v>
      </c>
      <c r="D290" s="30" t="s">
        <v>37</v>
      </c>
      <c r="E290" s="30" t="s">
        <v>42</v>
      </c>
      <c r="F290" s="30" t="s">
        <v>43</v>
      </c>
      <c r="G290" s="33">
        <v>2.3119999999999998</v>
      </c>
      <c r="H290" s="83" t="s">
        <v>88</v>
      </c>
    </row>
    <row r="291" spans="1:8" ht="16.5" customHeight="1" x14ac:dyDescent="0.25">
      <c r="A291" s="27">
        <v>45692</v>
      </c>
      <c r="B291" s="80">
        <v>2025</v>
      </c>
      <c r="C291" s="80">
        <v>2</v>
      </c>
      <c r="D291" s="30" t="s">
        <v>37</v>
      </c>
      <c r="E291" s="30" t="s">
        <v>46</v>
      </c>
      <c r="F291" s="30" t="s">
        <v>43</v>
      </c>
      <c r="G291" s="33">
        <v>4.2392889</v>
      </c>
      <c r="H291" s="83" t="s">
        <v>88</v>
      </c>
    </row>
    <row r="292" spans="1:8" ht="16.5" customHeight="1" x14ac:dyDescent="0.25">
      <c r="A292" s="27">
        <v>45692</v>
      </c>
      <c r="B292" s="80">
        <v>2025</v>
      </c>
      <c r="C292" s="80">
        <v>2</v>
      </c>
      <c r="D292" s="30" t="s">
        <v>37</v>
      </c>
      <c r="E292" s="30" t="s">
        <v>46</v>
      </c>
      <c r="F292" s="30" t="s">
        <v>51</v>
      </c>
      <c r="G292" s="33">
        <v>5.2072000000000003</v>
      </c>
      <c r="H292" s="83" t="s">
        <v>88</v>
      </c>
    </row>
    <row r="293" spans="1:8" ht="16.5" customHeight="1" x14ac:dyDescent="0.25">
      <c r="A293" s="27">
        <v>45692</v>
      </c>
      <c r="B293" s="80">
        <v>2025</v>
      </c>
      <c r="C293" s="80">
        <v>2</v>
      </c>
      <c r="D293" s="30" t="s">
        <v>37</v>
      </c>
      <c r="E293" s="30" t="s">
        <v>50</v>
      </c>
      <c r="F293" s="30" t="s">
        <v>43</v>
      </c>
      <c r="G293" s="33">
        <v>26.500828080000002</v>
      </c>
      <c r="H293" s="83" t="s">
        <v>88</v>
      </c>
    </row>
    <row r="294" spans="1:8" ht="16.5" customHeight="1" x14ac:dyDescent="0.25">
      <c r="A294" s="27">
        <v>45692</v>
      </c>
      <c r="B294" s="80">
        <v>2025</v>
      </c>
      <c r="C294" s="80">
        <v>2</v>
      </c>
      <c r="D294" s="30" t="s">
        <v>37</v>
      </c>
      <c r="E294" s="30" t="s">
        <v>50</v>
      </c>
      <c r="F294" s="30" t="s">
        <v>55</v>
      </c>
      <c r="G294" s="33">
        <v>3.105</v>
      </c>
      <c r="H294" s="83" t="s">
        <v>88</v>
      </c>
    </row>
    <row r="295" spans="1:8" ht="16.5" customHeight="1" x14ac:dyDescent="0.25">
      <c r="A295" s="27">
        <v>45692</v>
      </c>
      <c r="B295" s="80">
        <v>2025</v>
      </c>
      <c r="C295" s="80">
        <v>2</v>
      </c>
      <c r="D295" s="30" t="s">
        <v>37</v>
      </c>
      <c r="E295" s="30" t="s">
        <v>54</v>
      </c>
      <c r="F295" s="30" t="s">
        <v>43</v>
      </c>
      <c r="G295" s="33">
        <v>12.282500000000001</v>
      </c>
      <c r="H295" s="83" t="s">
        <v>88</v>
      </c>
    </row>
    <row r="296" spans="1:8" ht="16.5" customHeight="1" x14ac:dyDescent="0.25">
      <c r="A296" s="27">
        <v>45692</v>
      </c>
      <c r="B296" s="80">
        <v>2025</v>
      </c>
      <c r="C296" s="80">
        <v>2</v>
      </c>
      <c r="D296" s="30" t="s">
        <v>37</v>
      </c>
      <c r="E296" s="30" t="s">
        <v>61</v>
      </c>
      <c r="F296" s="30" t="s">
        <v>39</v>
      </c>
      <c r="G296" s="33">
        <v>3.8115000000000001</v>
      </c>
      <c r="H296" s="83" t="s">
        <v>89</v>
      </c>
    </row>
    <row r="297" spans="1:8" ht="16.5" customHeight="1" x14ac:dyDescent="0.25">
      <c r="A297" s="27">
        <v>45692</v>
      </c>
      <c r="B297" s="80">
        <v>2025</v>
      </c>
      <c r="C297" s="80">
        <v>2</v>
      </c>
      <c r="D297" s="30" t="s">
        <v>37</v>
      </c>
      <c r="E297" s="30" t="s">
        <v>61</v>
      </c>
      <c r="F297" s="30" t="s">
        <v>43</v>
      </c>
      <c r="G297" s="33">
        <v>9.4499999999999993</v>
      </c>
      <c r="H297" s="83" t="s">
        <v>89</v>
      </c>
    </row>
    <row r="298" spans="1:8" ht="16.5" customHeight="1" x14ac:dyDescent="0.25">
      <c r="A298" s="27">
        <v>45692</v>
      </c>
      <c r="B298" s="80">
        <v>2025</v>
      </c>
      <c r="C298" s="80">
        <v>2</v>
      </c>
      <c r="D298" s="30" t="s">
        <v>37</v>
      </c>
      <c r="E298" s="30" t="s">
        <v>66</v>
      </c>
      <c r="F298" s="30" t="s">
        <v>43</v>
      </c>
      <c r="G298" s="33">
        <v>5.8068</v>
      </c>
      <c r="H298" s="83" t="s">
        <v>89</v>
      </c>
    </row>
    <row r="299" spans="1:8" ht="16.5" customHeight="1" x14ac:dyDescent="0.25">
      <c r="A299" s="27">
        <v>45692</v>
      </c>
      <c r="B299" s="80">
        <v>2025</v>
      </c>
      <c r="C299" s="80">
        <v>2</v>
      </c>
      <c r="D299" s="30" t="s">
        <v>37</v>
      </c>
      <c r="E299" s="30" t="s">
        <v>74</v>
      </c>
      <c r="F299" s="30" t="s">
        <v>55</v>
      </c>
      <c r="G299" s="33">
        <v>64.128063999999995</v>
      </c>
      <c r="H299" s="83" t="s">
        <v>89</v>
      </c>
    </row>
    <row r="300" spans="1:8" ht="16.5" customHeight="1" x14ac:dyDescent="0.25">
      <c r="A300" s="27">
        <v>45692</v>
      </c>
      <c r="B300" s="80">
        <v>2025</v>
      </c>
      <c r="C300" s="80">
        <v>2</v>
      </c>
      <c r="D300" s="30" t="s">
        <v>37</v>
      </c>
      <c r="E300" s="30" t="s">
        <v>75</v>
      </c>
      <c r="F300" s="30" t="s">
        <v>43</v>
      </c>
      <c r="G300" s="33">
        <v>8.3641375</v>
      </c>
      <c r="H300" s="83" t="s">
        <v>48</v>
      </c>
    </row>
    <row r="301" spans="1:8" ht="16.5" customHeight="1" x14ac:dyDescent="0.25">
      <c r="A301" s="27">
        <v>45692</v>
      </c>
      <c r="B301" s="80">
        <v>2025</v>
      </c>
      <c r="C301" s="80">
        <v>2</v>
      </c>
      <c r="D301" s="30" t="s">
        <v>37</v>
      </c>
      <c r="E301" s="30" t="s">
        <v>76</v>
      </c>
      <c r="F301" s="30" t="s">
        <v>39</v>
      </c>
      <c r="G301" s="33">
        <v>55.351999999999997</v>
      </c>
      <c r="H301" s="83" t="s">
        <v>48</v>
      </c>
    </row>
    <row r="302" spans="1:8" ht="16.5" customHeight="1" x14ac:dyDescent="0.25">
      <c r="A302" s="27">
        <v>45693</v>
      </c>
      <c r="B302" s="80">
        <v>2025</v>
      </c>
      <c r="C302" s="80">
        <v>2</v>
      </c>
      <c r="D302" s="30" t="s">
        <v>37</v>
      </c>
      <c r="E302" s="30" t="s">
        <v>38</v>
      </c>
      <c r="F302" s="30" t="s">
        <v>43</v>
      </c>
      <c r="G302" s="33">
        <v>2.2440000000000002</v>
      </c>
      <c r="H302" s="83" t="s">
        <v>88</v>
      </c>
    </row>
    <row r="303" spans="1:8" ht="16.5" customHeight="1" x14ac:dyDescent="0.25">
      <c r="A303" s="27">
        <v>45693</v>
      </c>
      <c r="B303" s="80">
        <v>2025</v>
      </c>
      <c r="C303" s="80">
        <v>2</v>
      </c>
      <c r="D303" s="30" t="s">
        <v>37</v>
      </c>
      <c r="E303" s="30" t="s">
        <v>42</v>
      </c>
      <c r="F303" s="30" t="s">
        <v>43</v>
      </c>
      <c r="G303" s="33">
        <v>5.9219999999999997</v>
      </c>
      <c r="H303" s="83" t="s">
        <v>88</v>
      </c>
    </row>
    <row r="304" spans="1:8" ht="16.5" customHeight="1" x14ac:dyDescent="0.25">
      <c r="A304" s="27">
        <v>45693</v>
      </c>
      <c r="B304" s="80">
        <v>2025</v>
      </c>
      <c r="C304" s="80">
        <v>2</v>
      </c>
      <c r="D304" s="30" t="s">
        <v>37</v>
      </c>
      <c r="E304" s="30" t="s">
        <v>50</v>
      </c>
      <c r="F304" s="30" t="s">
        <v>43</v>
      </c>
      <c r="G304" s="33">
        <v>17.005301280000001</v>
      </c>
      <c r="H304" s="83" t="s">
        <v>88</v>
      </c>
    </row>
    <row r="305" spans="1:8" ht="16.5" customHeight="1" x14ac:dyDescent="0.25">
      <c r="A305" s="27">
        <v>45693</v>
      </c>
      <c r="B305" s="80">
        <v>2025</v>
      </c>
      <c r="C305" s="80">
        <v>2</v>
      </c>
      <c r="D305" s="30" t="s">
        <v>37</v>
      </c>
      <c r="E305" s="30" t="s">
        <v>50</v>
      </c>
      <c r="F305" s="30" t="s">
        <v>47</v>
      </c>
      <c r="G305" s="33">
        <v>0.62160000000000004</v>
      </c>
      <c r="H305" s="83" t="s">
        <v>88</v>
      </c>
    </row>
    <row r="306" spans="1:8" ht="16.5" customHeight="1" x14ac:dyDescent="0.25">
      <c r="A306" s="27">
        <v>45693</v>
      </c>
      <c r="B306" s="80">
        <v>2025</v>
      </c>
      <c r="C306" s="80">
        <v>2</v>
      </c>
      <c r="D306" s="30" t="s">
        <v>37</v>
      </c>
      <c r="E306" s="30" t="s">
        <v>54</v>
      </c>
      <c r="F306" s="30" t="s">
        <v>43</v>
      </c>
      <c r="G306" s="33">
        <v>5.5970000000000004</v>
      </c>
      <c r="H306" s="83" t="s">
        <v>88</v>
      </c>
    </row>
    <row r="307" spans="1:8" ht="16.5" customHeight="1" x14ac:dyDescent="0.25">
      <c r="A307" s="27">
        <v>45693</v>
      </c>
      <c r="B307" s="80">
        <v>2025</v>
      </c>
      <c r="C307" s="80">
        <v>2</v>
      </c>
      <c r="D307" s="30" t="s">
        <v>37</v>
      </c>
      <c r="E307" s="30" t="s">
        <v>64</v>
      </c>
      <c r="F307" s="30" t="s">
        <v>43</v>
      </c>
      <c r="G307" s="33">
        <v>78.782200000000003</v>
      </c>
      <c r="H307" s="83" t="s">
        <v>89</v>
      </c>
    </row>
    <row r="308" spans="1:8" ht="16.5" customHeight="1" x14ac:dyDescent="0.25">
      <c r="A308" s="27">
        <v>45693</v>
      </c>
      <c r="B308" s="80">
        <v>2025</v>
      </c>
      <c r="C308" s="80">
        <v>2</v>
      </c>
      <c r="D308" s="30" t="s">
        <v>37</v>
      </c>
      <c r="E308" s="30" t="s">
        <v>66</v>
      </c>
      <c r="F308" s="30" t="s">
        <v>43</v>
      </c>
      <c r="G308" s="33">
        <v>5.0490000000000004</v>
      </c>
      <c r="H308" s="83" t="s">
        <v>89</v>
      </c>
    </row>
    <row r="309" spans="1:8" ht="16.5" customHeight="1" x14ac:dyDescent="0.25">
      <c r="A309" s="27">
        <v>45693</v>
      </c>
      <c r="B309" s="80">
        <v>2025</v>
      </c>
      <c r="C309" s="80">
        <v>2</v>
      </c>
      <c r="D309" s="30" t="s">
        <v>37</v>
      </c>
      <c r="E309" s="30" t="s">
        <v>71</v>
      </c>
      <c r="F309" s="30" t="s">
        <v>43</v>
      </c>
      <c r="G309" s="33">
        <v>1.9890000000000001</v>
      </c>
      <c r="H309" s="83" t="s">
        <v>89</v>
      </c>
    </row>
    <row r="310" spans="1:8" ht="16.5" customHeight="1" x14ac:dyDescent="0.25">
      <c r="A310" s="27">
        <v>45694</v>
      </c>
      <c r="B310" s="80">
        <v>2025</v>
      </c>
      <c r="C310" s="80">
        <v>2</v>
      </c>
      <c r="D310" s="30" t="s">
        <v>37</v>
      </c>
      <c r="E310" s="30" t="s">
        <v>38</v>
      </c>
      <c r="F310" s="30" t="s">
        <v>43</v>
      </c>
      <c r="G310" s="33">
        <v>1.0595760000000001</v>
      </c>
      <c r="H310" s="83" t="s">
        <v>88</v>
      </c>
    </row>
    <row r="311" spans="1:8" ht="16.5" customHeight="1" x14ac:dyDescent="0.25">
      <c r="A311" s="27">
        <v>45694</v>
      </c>
      <c r="B311" s="80">
        <v>2025</v>
      </c>
      <c r="C311" s="80">
        <v>2</v>
      </c>
      <c r="D311" s="30" t="s">
        <v>37</v>
      </c>
      <c r="E311" s="30" t="s">
        <v>38</v>
      </c>
      <c r="F311" s="30" t="s">
        <v>58</v>
      </c>
      <c r="G311" s="33">
        <v>0.17783080000000001</v>
      </c>
      <c r="H311" s="83" t="s">
        <v>88</v>
      </c>
    </row>
    <row r="312" spans="1:8" ht="16.5" customHeight="1" x14ac:dyDescent="0.25">
      <c r="A312" s="27">
        <v>45694</v>
      </c>
      <c r="B312" s="80">
        <v>2025</v>
      </c>
      <c r="C312" s="80">
        <v>2</v>
      </c>
      <c r="D312" s="30" t="s">
        <v>37</v>
      </c>
      <c r="E312" s="30" t="s">
        <v>50</v>
      </c>
      <c r="F312" s="30" t="s">
        <v>43</v>
      </c>
      <c r="G312" s="33">
        <v>7.2717840000000002</v>
      </c>
      <c r="H312" s="83" t="s">
        <v>88</v>
      </c>
    </row>
    <row r="313" spans="1:8" ht="16.5" customHeight="1" x14ac:dyDescent="0.25">
      <c r="A313" s="27">
        <v>45694</v>
      </c>
      <c r="B313" s="80">
        <v>2025</v>
      </c>
      <c r="C313" s="80">
        <v>2</v>
      </c>
      <c r="D313" s="30" t="s">
        <v>37</v>
      </c>
      <c r="E313" s="30" t="s">
        <v>50</v>
      </c>
      <c r="F313" s="30" t="s">
        <v>47</v>
      </c>
      <c r="G313" s="33">
        <v>7.6260000000000003</v>
      </c>
      <c r="H313" s="83" t="s">
        <v>88</v>
      </c>
    </row>
    <row r="314" spans="1:8" ht="16.5" customHeight="1" x14ac:dyDescent="0.25">
      <c r="A314" s="27">
        <v>45694</v>
      </c>
      <c r="B314" s="80">
        <v>2025</v>
      </c>
      <c r="C314" s="80">
        <v>2</v>
      </c>
      <c r="D314" s="30" t="s">
        <v>37</v>
      </c>
      <c r="E314" s="30" t="s">
        <v>50</v>
      </c>
      <c r="F314" s="30" t="s">
        <v>58</v>
      </c>
      <c r="G314" s="33">
        <v>2.4291007499999999</v>
      </c>
      <c r="H314" s="83" t="s">
        <v>88</v>
      </c>
    </row>
    <row r="315" spans="1:8" ht="16.5" customHeight="1" x14ac:dyDescent="0.25">
      <c r="A315" s="27">
        <v>45694</v>
      </c>
      <c r="B315" s="80">
        <v>2025</v>
      </c>
      <c r="C315" s="80">
        <v>2</v>
      </c>
      <c r="D315" s="30" t="s">
        <v>37</v>
      </c>
      <c r="E315" s="30" t="s">
        <v>54</v>
      </c>
      <c r="F315" s="30" t="s">
        <v>43</v>
      </c>
      <c r="G315" s="33">
        <v>2.16</v>
      </c>
      <c r="H315" s="83" t="s">
        <v>88</v>
      </c>
    </row>
    <row r="316" spans="1:8" ht="16.5" customHeight="1" x14ac:dyDescent="0.25">
      <c r="A316" s="27">
        <v>45694</v>
      </c>
      <c r="B316" s="80">
        <v>2025</v>
      </c>
      <c r="C316" s="80">
        <v>2</v>
      </c>
      <c r="D316" s="30" t="s">
        <v>37</v>
      </c>
      <c r="E316" s="30" t="s">
        <v>61</v>
      </c>
      <c r="F316" s="30" t="s">
        <v>43</v>
      </c>
      <c r="G316" s="33">
        <v>92.16</v>
      </c>
      <c r="H316" s="83" t="s">
        <v>89</v>
      </c>
    </row>
    <row r="317" spans="1:8" ht="16.5" customHeight="1" x14ac:dyDescent="0.25">
      <c r="A317" s="27">
        <v>45694</v>
      </c>
      <c r="B317" s="80">
        <v>2025</v>
      </c>
      <c r="C317" s="80">
        <v>2</v>
      </c>
      <c r="D317" s="30" t="s">
        <v>37</v>
      </c>
      <c r="E317" s="30" t="s">
        <v>66</v>
      </c>
      <c r="F317" s="30" t="s">
        <v>43</v>
      </c>
      <c r="G317" s="33">
        <v>3.4820000000000002</v>
      </c>
      <c r="H317" s="83" t="s">
        <v>89</v>
      </c>
    </row>
    <row r="318" spans="1:8" ht="16.5" customHeight="1" x14ac:dyDescent="0.25">
      <c r="A318" s="27">
        <v>45694</v>
      </c>
      <c r="B318" s="80">
        <v>2025</v>
      </c>
      <c r="C318" s="80">
        <v>2</v>
      </c>
      <c r="D318" s="30" t="s">
        <v>37</v>
      </c>
      <c r="E318" s="30" t="s">
        <v>68</v>
      </c>
      <c r="F318" s="30" t="s">
        <v>51</v>
      </c>
      <c r="G318" s="33">
        <v>1.19116</v>
      </c>
      <c r="H318" s="83" t="s">
        <v>89</v>
      </c>
    </row>
    <row r="319" spans="1:8" ht="16.5" customHeight="1" x14ac:dyDescent="0.25">
      <c r="A319" s="27">
        <v>45694</v>
      </c>
      <c r="B319" s="80">
        <v>2025</v>
      </c>
      <c r="C319" s="80">
        <v>2</v>
      </c>
      <c r="D319" s="30" t="s">
        <v>37</v>
      </c>
      <c r="E319" s="30" t="s">
        <v>75</v>
      </c>
      <c r="F319" s="30" t="s">
        <v>43</v>
      </c>
      <c r="G319" s="33">
        <v>24.8231775</v>
      </c>
      <c r="H319" s="83" t="s">
        <v>48</v>
      </c>
    </row>
    <row r="320" spans="1:8" ht="16.5" customHeight="1" x14ac:dyDescent="0.25">
      <c r="A320" s="27">
        <v>45694</v>
      </c>
      <c r="B320" s="80">
        <v>2025</v>
      </c>
      <c r="C320" s="80">
        <v>2</v>
      </c>
      <c r="D320" s="30" t="s">
        <v>37</v>
      </c>
      <c r="E320" s="30" t="s">
        <v>75</v>
      </c>
      <c r="F320" s="30" t="s">
        <v>47</v>
      </c>
      <c r="G320" s="33">
        <v>10.431649999999999</v>
      </c>
      <c r="H320" s="83" t="s">
        <v>48</v>
      </c>
    </row>
    <row r="321" spans="1:8" ht="16.5" customHeight="1" x14ac:dyDescent="0.25">
      <c r="A321" s="27">
        <v>45695</v>
      </c>
      <c r="B321" s="80">
        <v>2025</v>
      </c>
      <c r="C321" s="80">
        <v>2</v>
      </c>
      <c r="D321" s="30" t="s">
        <v>37</v>
      </c>
      <c r="E321" s="30" t="s">
        <v>38</v>
      </c>
      <c r="F321" s="30" t="s">
        <v>43</v>
      </c>
      <c r="G321" s="33">
        <v>9.1349999999999998</v>
      </c>
      <c r="H321" s="83" t="s">
        <v>88</v>
      </c>
    </row>
    <row r="322" spans="1:8" ht="16.5" customHeight="1" x14ac:dyDescent="0.25">
      <c r="A322" s="27">
        <v>45695</v>
      </c>
      <c r="B322" s="80">
        <v>2025</v>
      </c>
      <c r="C322" s="80">
        <v>2</v>
      </c>
      <c r="D322" s="30" t="s">
        <v>37</v>
      </c>
      <c r="E322" s="30" t="s">
        <v>46</v>
      </c>
      <c r="F322" s="30" t="s">
        <v>43</v>
      </c>
      <c r="G322" s="33">
        <v>1.22672</v>
      </c>
      <c r="H322" s="83" t="s">
        <v>88</v>
      </c>
    </row>
    <row r="323" spans="1:8" ht="16.5" customHeight="1" x14ac:dyDescent="0.25">
      <c r="A323" s="27">
        <v>45695</v>
      </c>
      <c r="B323" s="80">
        <v>2025</v>
      </c>
      <c r="C323" s="80">
        <v>2</v>
      </c>
      <c r="D323" s="30" t="s">
        <v>37</v>
      </c>
      <c r="E323" s="30" t="s">
        <v>50</v>
      </c>
      <c r="F323" s="30" t="s">
        <v>43</v>
      </c>
      <c r="G323" s="33">
        <v>4.9721537400000004</v>
      </c>
      <c r="H323" s="83" t="s">
        <v>88</v>
      </c>
    </row>
    <row r="324" spans="1:8" ht="16.5" customHeight="1" x14ac:dyDescent="0.25">
      <c r="A324" s="27">
        <v>45695</v>
      </c>
      <c r="B324" s="80">
        <v>2025</v>
      </c>
      <c r="C324" s="80">
        <v>2</v>
      </c>
      <c r="D324" s="30" t="s">
        <v>37</v>
      </c>
      <c r="E324" s="30" t="s">
        <v>50</v>
      </c>
      <c r="F324" s="30" t="s">
        <v>47</v>
      </c>
      <c r="G324" s="33">
        <v>1.554</v>
      </c>
      <c r="H324" s="83" t="s">
        <v>88</v>
      </c>
    </row>
    <row r="325" spans="1:8" ht="16.5" customHeight="1" x14ac:dyDescent="0.25">
      <c r="A325" s="27">
        <v>45695</v>
      </c>
      <c r="B325" s="80">
        <v>2025</v>
      </c>
      <c r="C325" s="80">
        <v>2</v>
      </c>
      <c r="D325" s="30" t="s">
        <v>37</v>
      </c>
      <c r="E325" s="30" t="s">
        <v>50</v>
      </c>
      <c r="F325" s="30" t="s">
        <v>58</v>
      </c>
      <c r="G325" s="33">
        <v>18.587414580000001</v>
      </c>
      <c r="H325" s="83" t="s">
        <v>88</v>
      </c>
    </row>
    <row r="326" spans="1:8" ht="16.5" customHeight="1" x14ac:dyDescent="0.25">
      <c r="A326" s="27">
        <v>45695</v>
      </c>
      <c r="B326" s="80">
        <v>2025</v>
      </c>
      <c r="C326" s="80">
        <v>2</v>
      </c>
      <c r="D326" s="30" t="s">
        <v>37</v>
      </c>
      <c r="E326" s="30" t="s">
        <v>54</v>
      </c>
      <c r="F326" s="30" t="s">
        <v>43</v>
      </c>
      <c r="G326" s="33">
        <v>2.1349999999999998</v>
      </c>
      <c r="H326" s="83" t="s">
        <v>88</v>
      </c>
    </row>
    <row r="327" spans="1:8" ht="16.5" customHeight="1" x14ac:dyDescent="0.25">
      <c r="A327" s="27">
        <v>45695</v>
      </c>
      <c r="B327" s="80">
        <v>2025</v>
      </c>
      <c r="C327" s="80">
        <v>2</v>
      </c>
      <c r="D327" s="30" t="s">
        <v>37</v>
      </c>
      <c r="E327" s="30" t="s">
        <v>66</v>
      </c>
      <c r="F327" s="30" t="s">
        <v>47</v>
      </c>
      <c r="G327" s="33">
        <v>0.72499999999999998</v>
      </c>
      <c r="H327" s="83" t="s">
        <v>89</v>
      </c>
    </row>
    <row r="328" spans="1:8" ht="16.5" customHeight="1" x14ac:dyDescent="0.25">
      <c r="A328" s="27">
        <v>45695</v>
      </c>
      <c r="B328" s="80">
        <v>2025</v>
      </c>
      <c r="C328" s="80">
        <v>2</v>
      </c>
      <c r="D328" s="30" t="s">
        <v>37</v>
      </c>
      <c r="E328" s="30" t="s">
        <v>75</v>
      </c>
      <c r="F328" s="30" t="s">
        <v>43</v>
      </c>
      <c r="G328" s="33">
        <v>4.836773</v>
      </c>
      <c r="H328" s="83" t="s">
        <v>48</v>
      </c>
    </row>
    <row r="329" spans="1:8" ht="16.5" customHeight="1" x14ac:dyDescent="0.25">
      <c r="A329" s="27">
        <v>45698</v>
      </c>
      <c r="B329" s="80">
        <v>2025</v>
      </c>
      <c r="C329" s="80">
        <v>2</v>
      </c>
      <c r="D329" s="30" t="s">
        <v>37</v>
      </c>
      <c r="E329" s="30" t="s">
        <v>38</v>
      </c>
      <c r="F329" s="30" t="s">
        <v>43</v>
      </c>
      <c r="G329" s="33">
        <v>15.657</v>
      </c>
      <c r="H329" s="83" t="s">
        <v>88</v>
      </c>
    </row>
    <row r="330" spans="1:8" ht="16.5" customHeight="1" x14ac:dyDescent="0.25">
      <c r="A330" s="27">
        <v>45698</v>
      </c>
      <c r="B330" s="80">
        <v>2025</v>
      </c>
      <c r="C330" s="80">
        <v>2</v>
      </c>
      <c r="D330" s="30" t="s">
        <v>37</v>
      </c>
      <c r="E330" s="30" t="s">
        <v>42</v>
      </c>
      <c r="F330" s="30" t="s">
        <v>47</v>
      </c>
      <c r="G330" s="33">
        <v>1.2</v>
      </c>
      <c r="H330" s="83" t="s">
        <v>88</v>
      </c>
    </row>
    <row r="331" spans="1:8" ht="16.5" customHeight="1" x14ac:dyDescent="0.25">
      <c r="A331" s="27">
        <v>45698</v>
      </c>
      <c r="B331" s="80">
        <v>2025</v>
      </c>
      <c r="C331" s="80">
        <v>2</v>
      </c>
      <c r="D331" s="30" t="s">
        <v>37</v>
      </c>
      <c r="E331" s="30" t="s">
        <v>46</v>
      </c>
      <c r="F331" s="30" t="s">
        <v>43</v>
      </c>
      <c r="G331" s="33">
        <v>2.1567324999999999</v>
      </c>
      <c r="H331" s="83" t="s">
        <v>88</v>
      </c>
    </row>
    <row r="332" spans="1:8" ht="16.5" customHeight="1" x14ac:dyDescent="0.25">
      <c r="A332" s="27">
        <v>45698</v>
      </c>
      <c r="B332" s="80">
        <v>2025</v>
      </c>
      <c r="C332" s="80">
        <v>2</v>
      </c>
      <c r="D332" s="30" t="s">
        <v>37</v>
      </c>
      <c r="E332" s="30" t="s">
        <v>46</v>
      </c>
      <c r="F332" s="30" t="s">
        <v>47</v>
      </c>
      <c r="G332" s="33">
        <v>0.58739699999999995</v>
      </c>
      <c r="H332" s="83" t="s">
        <v>88</v>
      </c>
    </row>
    <row r="333" spans="1:8" ht="16.5" customHeight="1" x14ac:dyDescent="0.25">
      <c r="A333" s="27">
        <v>45698</v>
      </c>
      <c r="B333" s="80">
        <v>2025</v>
      </c>
      <c r="C333" s="80">
        <v>2</v>
      </c>
      <c r="D333" s="30" t="s">
        <v>37</v>
      </c>
      <c r="E333" s="30" t="s">
        <v>46</v>
      </c>
      <c r="F333" s="30" t="s">
        <v>51</v>
      </c>
      <c r="G333" s="33">
        <v>0.13339999999999999</v>
      </c>
      <c r="H333" s="83" t="s">
        <v>88</v>
      </c>
    </row>
    <row r="334" spans="1:8" ht="16.5" customHeight="1" x14ac:dyDescent="0.25">
      <c r="A334" s="27">
        <v>45698</v>
      </c>
      <c r="B334" s="80">
        <v>2025</v>
      </c>
      <c r="C334" s="80">
        <v>2</v>
      </c>
      <c r="D334" s="30" t="s">
        <v>37</v>
      </c>
      <c r="E334" s="30" t="s">
        <v>46</v>
      </c>
      <c r="F334" s="30" t="s">
        <v>58</v>
      </c>
      <c r="G334" s="33">
        <v>2.18614</v>
      </c>
      <c r="H334" s="83" t="s">
        <v>88</v>
      </c>
    </row>
    <row r="335" spans="1:8" ht="16.5" customHeight="1" x14ac:dyDescent="0.25">
      <c r="A335" s="27">
        <v>45698</v>
      </c>
      <c r="B335" s="80">
        <v>2025</v>
      </c>
      <c r="C335" s="80">
        <v>2</v>
      </c>
      <c r="D335" s="30" t="s">
        <v>37</v>
      </c>
      <c r="E335" s="30" t="s">
        <v>50</v>
      </c>
      <c r="F335" s="30" t="s">
        <v>43</v>
      </c>
      <c r="G335" s="33">
        <v>128.0195871</v>
      </c>
      <c r="H335" s="83" t="s">
        <v>88</v>
      </c>
    </row>
    <row r="336" spans="1:8" ht="16.5" customHeight="1" x14ac:dyDescent="0.25">
      <c r="A336" s="27">
        <v>45698</v>
      </c>
      <c r="B336" s="80">
        <v>2025</v>
      </c>
      <c r="C336" s="80">
        <v>2</v>
      </c>
      <c r="D336" s="30" t="s">
        <v>37</v>
      </c>
      <c r="E336" s="30" t="s">
        <v>50</v>
      </c>
      <c r="F336" s="30" t="s">
        <v>47</v>
      </c>
      <c r="G336" s="33">
        <v>0.84260000000000002</v>
      </c>
      <c r="H336" s="83" t="s">
        <v>88</v>
      </c>
    </row>
    <row r="337" spans="1:8" ht="16.5" customHeight="1" x14ac:dyDescent="0.25">
      <c r="A337" s="27">
        <v>45698</v>
      </c>
      <c r="B337" s="80">
        <v>2025</v>
      </c>
      <c r="C337" s="80">
        <v>2</v>
      </c>
      <c r="D337" s="30" t="s">
        <v>37</v>
      </c>
      <c r="E337" s="30" t="s">
        <v>50</v>
      </c>
      <c r="F337" s="30" t="s">
        <v>51</v>
      </c>
      <c r="G337" s="33">
        <v>0.51</v>
      </c>
      <c r="H337" s="83" t="s">
        <v>88</v>
      </c>
    </row>
    <row r="338" spans="1:8" ht="16.5" customHeight="1" x14ac:dyDescent="0.25">
      <c r="A338" s="27">
        <v>45698</v>
      </c>
      <c r="B338" s="80">
        <v>2025</v>
      </c>
      <c r="C338" s="80">
        <v>2</v>
      </c>
      <c r="D338" s="30" t="s">
        <v>37</v>
      </c>
      <c r="E338" s="30" t="s">
        <v>50</v>
      </c>
      <c r="F338" s="30" t="s">
        <v>55</v>
      </c>
      <c r="G338" s="33">
        <v>0.41399999999999998</v>
      </c>
      <c r="H338" s="83" t="s">
        <v>88</v>
      </c>
    </row>
    <row r="339" spans="1:8" ht="16.5" customHeight="1" x14ac:dyDescent="0.25">
      <c r="A339" s="27">
        <v>45698</v>
      </c>
      <c r="B339" s="80">
        <v>2025</v>
      </c>
      <c r="C339" s="80">
        <v>2</v>
      </c>
      <c r="D339" s="30" t="s">
        <v>37</v>
      </c>
      <c r="E339" s="30" t="s">
        <v>50</v>
      </c>
      <c r="F339" s="30" t="s">
        <v>58</v>
      </c>
      <c r="G339" s="33">
        <v>1.7001564</v>
      </c>
      <c r="H339" s="83" t="s">
        <v>88</v>
      </c>
    </row>
    <row r="340" spans="1:8" ht="16.5" customHeight="1" x14ac:dyDescent="0.25">
      <c r="A340" s="27">
        <v>45698</v>
      </c>
      <c r="B340" s="80">
        <v>2025</v>
      </c>
      <c r="C340" s="80">
        <v>2</v>
      </c>
      <c r="D340" s="30" t="s">
        <v>37</v>
      </c>
      <c r="E340" s="30" t="s">
        <v>54</v>
      </c>
      <c r="F340" s="30" t="s">
        <v>43</v>
      </c>
      <c r="G340" s="33">
        <v>0.13</v>
      </c>
      <c r="H340" s="83" t="s">
        <v>88</v>
      </c>
    </row>
    <row r="341" spans="1:8" ht="16.5" customHeight="1" x14ac:dyDescent="0.25">
      <c r="A341" s="27">
        <v>45698</v>
      </c>
      <c r="B341" s="80">
        <v>2025</v>
      </c>
      <c r="C341" s="80">
        <v>2</v>
      </c>
      <c r="D341" s="30" t="s">
        <v>37</v>
      </c>
      <c r="E341" s="30" t="s">
        <v>57</v>
      </c>
      <c r="F341" s="30" t="s">
        <v>43</v>
      </c>
      <c r="G341" s="33">
        <v>10.2402</v>
      </c>
      <c r="H341" s="83" t="s">
        <v>89</v>
      </c>
    </row>
    <row r="342" spans="1:8" ht="16.5" customHeight="1" x14ac:dyDescent="0.25">
      <c r="A342" s="27">
        <v>45698</v>
      </c>
      <c r="B342" s="80">
        <v>2025</v>
      </c>
      <c r="C342" s="80">
        <v>2</v>
      </c>
      <c r="D342" s="30" t="s">
        <v>37</v>
      </c>
      <c r="E342" s="30" t="s">
        <v>66</v>
      </c>
      <c r="F342" s="30" t="s">
        <v>39</v>
      </c>
      <c r="G342" s="33">
        <v>50.481200000000001</v>
      </c>
      <c r="H342" s="83" t="s">
        <v>89</v>
      </c>
    </row>
    <row r="343" spans="1:8" ht="16.5" customHeight="1" x14ac:dyDescent="0.25">
      <c r="A343" s="27">
        <v>45698</v>
      </c>
      <c r="B343" s="80">
        <v>2025</v>
      </c>
      <c r="C343" s="80">
        <v>2</v>
      </c>
      <c r="D343" s="30" t="s">
        <v>37</v>
      </c>
      <c r="E343" s="30" t="s">
        <v>66</v>
      </c>
      <c r="F343" s="30" t="s">
        <v>43</v>
      </c>
      <c r="G343" s="33">
        <v>4.0119999999999996</v>
      </c>
      <c r="H343" s="83" t="s">
        <v>89</v>
      </c>
    </row>
    <row r="344" spans="1:8" ht="16.5" customHeight="1" x14ac:dyDescent="0.25">
      <c r="A344" s="27">
        <v>45698</v>
      </c>
      <c r="B344" s="80">
        <v>2025</v>
      </c>
      <c r="C344" s="80">
        <v>2</v>
      </c>
      <c r="D344" s="30" t="s">
        <v>37</v>
      </c>
      <c r="E344" s="30" t="s">
        <v>68</v>
      </c>
      <c r="F344" s="30" t="s">
        <v>43</v>
      </c>
      <c r="G344" s="33">
        <v>4.4673999999999996</v>
      </c>
      <c r="H344" s="83" t="s">
        <v>89</v>
      </c>
    </row>
    <row r="345" spans="1:8" ht="16.5" customHeight="1" x14ac:dyDescent="0.25">
      <c r="A345" s="27">
        <v>45698</v>
      </c>
      <c r="B345" s="80">
        <v>2025</v>
      </c>
      <c r="C345" s="80">
        <v>2</v>
      </c>
      <c r="D345" s="30" t="s">
        <v>37</v>
      </c>
      <c r="E345" s="30" t="s">
        <v>68</v>
      </c>
      <c r="F345" s="30" t="s">
        <v>55</v>
      </c>
      <c r="G345" s="33">
        <v>1.3</v>
      </c>
      <c r="H345" s="83" t="s">
        <v>89</v>
      </c>
    </row>
    <row r="346" spans="1:8" ht="16.5" customHeight="1" x14ac:dyDescent="0.25">
      <c r="A346" s="27">
        <v>45699</v>
      </c>
      <c r="B346" s="80">
        <v>2025</v>
      </c>
      <c r="C346" s="80">
        <v>2</v>
      </c>
      <c r="D346" s="30" t="s">
        <v>37</v>
      </c>
      <c r="E346" s="30" t="s">
        <v>38</v>
      </c>
      <c r="F346" s="30" t="s">
        <v>43</v>
      </c>
      <c r="G346" s="33">
        <v>3.0525000000000002</v>
      </c>
      <c r="H346" s="83" t="s">
        <v>88</v>
      </c>
    </row>
    <row r="347" spans="1:8" ht="16.5" customHeight="1" x14ac:dyDescent="0.25">
      <c r="A347" s="27">
        <v>45699</v>
      </c>
      <c r="B347" s="80">
        <v>2025</v>
      </c>
      <c r="C347" s="80">
        <v>2</v>
      </c>
      <c r="D347" s="30" t="s">
        <v>37</v>
      </c>
      <c r="E347" s="30" t="s">
        <v>42</v>
      </c>
      <c r="F347" s="30" t="s">
        <v>43</v>
      </c>
      <c r="G347" s="33">
        <v>3.4634879999999999</v>
      </c>
      <c r="H347" s="83" t="s">
        <v>88</v>
      </c>
    </row>
    <row r="348" spans="1:8" ht="16.5" customHeight="1" x14ac:dyDescent="0.25">
      <c r="A348" s="27">
        <v>45699</v>
      </c>
      <c r="B348" s="80">
        <v>2025</v>
      </c>
      <c r="C348" s="80">
        <v>2</v>
      </c>
      <c r="D348" s="30" t="s">
        <v>37</v>
      </c>
      <c r="E348" s="30" t="s">
        <v>42</v>
      </c>
      <c r="F348" s="30" t="s">
        <v>58</v>
      </c>
      <c r="G348" s="33">
        <v>0.46899000000000002</v>
      </c>
      <c r="H348" s="83" t="s">
        <v>88</v>
      </c>
    </row>
    <row r="349" spans="1:8" ht="16.5" customHeight="1" x14ac:dyDescent="0.25">
      <c r="A349" s="27">
        <v>45699</v>
      </c>
      <c r="B349" s="80">
        <v>2025</v>
      </c>
      <c r="C349" s="80">
        <v>2</v>
      </c>
      <c r="D349" s="30" t="s">
        <v>37</v>
      </c>
      <c r="E349" s="30" t="s">
        <v>46</v>
      </c>
      <c r="F349" s="30" t="s">
        <v>43</v>
      </c>
      <c r="G349" s="33">
        <v>1.6873</v>
      </c>
      <c r="H349" s="83" t="s">
        <v>88</v>
      </c>
    </row>
    <row r="350" spans="1:8" ht="16.5" customHeight="1" x14ac:dyDescent="0.25">
      <c r="A350" s="27">
        <v>45699</v>
      </c>
      <c r="B350" s="80">
        <v>2025</v>
      </c>
      <c r="C350" s="80">
        <v>2</v>
      </c>
      <c r="D350" s="30" t="s">
        <v>37</v>
      </c>
      <c r="E350" s="30" t="s">
        <v>46</v>
      </c>
      <c r="F350" s="30" t="s">
        <v>58</v>
      </c>
      <c r="G350" s="33">
        <v>0.642917925</v>
      </c>
      <c r="H350" s="83" t="s">
        <v>88</v>
      </c>
    </row>
    <row r="351" spans="1:8" ht="16.5" customHeight="1" x14ac:dyDescent="0.25">
      <c r="A351" s="27">
        <v>45699</v>
      </c>
      <c r="B351" s="80">
        <v>2025</v>
      </c>
      <c r="C351" s="80">
        <v>2</v>
      </c>
      <c r="D351" s="30" t="s">
        <v>37</v>
      </c>
      <c r="E351" s="30" t="s">
        <v>50</v>
      </c>
      <c r="F351" s="30" t="s">
        <v>43</v>
      </c>
      <c r="G351" s="33">
        <v>106.12426392</v>
      </c>
      <c r="H351" s="83" t="s">
        <v>88</v>
      </c>
    </row>
    <row r="352" spans="1:8" ht="16.5" customHeight="1" x14ac:dyDescent="0.25">
      <c r="A352" s="27">
        <v>45699</v>
      </c>
      <c r="B352" s="80">
        <v>2025</v>
      </c>
      <c r="C352" s="80">
        <v>2</v>
      </c>
      <c r="D352" s="30" t="s">
        <v>37</v>
      </c>
      <c r="E352" s="30" t="s">
        <v>50</v>
      </c>
      <c r="F352" s="30" t="s">
        <v>47</v>
      </c>
      <c r="G352" s="33">
        <v>1.4348639999999999</v>
      </c>
      <c r="H352" s="83" t="s">
        <v>88</v>
      </c>
    </row>
    <row r="353" spans="1:8" ht="16.5" customHeight="1" x14ac:dyDescent="0.25">
      <c r="A353" s="27">
        <v>45699</v>
      </c>
      <c r="B353" s="80">
        <v>2025</v>
      </c>
      <c r="C353" s="80">
        <v>2</v>
      </c>
      <c r="D353" s="30" t="s">
        <v>37</v>
      </c>
      <c r="E353" s="30" t="s">
        <v>50</v>
      </c>
      <c r="F353" s="30" t="s">
        <v>51</v>
      </c>
      <c r="G353" s="33">
        <v>0.49299999999999999</v>
      </c>
      <c r="H353" s="83" t="s">
        <v>88</v>
      </c>
    </row>
    <row r="354" spans="1:8" ht="16.5" customHeight="1" x14ac:dyDescent="0.25">
      <c r="A354" s="27">
        <v>45699</v>
      </c>
      <c r="B354" s="80">
        <v>2025</v>
      </c>
      <c r="C354" s="80">
        <v>2</v>
      </c>
      <c r="D354" s="30" t="s">
        <v>37</v>
      </c>
      <c r="E354" s="30" t="s">
        <v>50</v>
      </c>
      <c r="F354" s="30" t="s">
        <v>58</v>
      </c>
      <c r="G354" s="33">
        <v>5.8739157000000004</v>
      </c>
      <c r="H354" s="83" t="s">
        <v>88</v>
      </c>
    </row>
    <row r="355" spans="1:8" ht="16.5" customHeight="1" x14ac:dyDescent="0.25">
      <c r="A355" s="27">
        <v>45699</v>
      </c>
      <c r="B355" s="80">
        <v>2025</v>
      </c>
      <c r="C355" s="80">
        <v>2</v>
      </c>
      <c r="D355" s="30" t="s">
        <v>37</v>
      </c>
      <c r="E355" s="30" t="s">
        <v>54</v>
      </c>
      <c r="F355" s="30" t="s">
        <v>43</v>
      </c>
      <c r="G355" s="33">
        <v>2.7915999999999999</v>
      </c>
      <c r="H355" s="83" t="s">
        <v>88</v>
      </c>
    </row>
    <row r="356" spans="1:8" ht="16.5" customHeight="1" x14ac:dyDescent="0.25">
      <c r="A356" s="27">
        <v>45699</v>
      </c>
      <c r="B356" s="80">
        <v>2025</v>
      </c>
      <c r="C356" s="80">
        <v>2</v>
      </c>
      <c r="D356" s="30" t="s">
        <v>37</v>
      </c>
      <c r="E356" s="30" t="s">
        <v>61</v>
      </c>
      <c r="F356" s="30" t="s">
        <v>55</v>
      </c>
      <c r="G356" s="33">
        <v>3.22</v>
      </c>
      <c r="H356" s="83" t="s">
        <v>89</v>
      </c>
    </row>
    <row r="357" spans="1:8" ht="16.5" customHeight="1" x14ac:dyDescent="0.25">
      <c r="A357" s="27">
        <v>45699</v>
      </c>
      <c r="B357" s="80">
        <v>2025</v>
      </c>
      <c r="C357" s="80">
        <v>2</v>
      </c>
      <c r="D357" s="30" t="s">
        <v>37</v>
      </c>
      <c r="E357" s="30" t="s">
        <v>64</v>
      </c>
      <c r="F357" s="30" t="s">
        <v>43</v>
      </c>
      <c r="G357" s="33">
        <v>6.1467999999999998</v>
      </c>
      <c r="H357" s="83" t="s">
        <v>89</v>
      </c>
    </row>
    <row r="358" spans="1:8" ht="16.5" customHeight="1" x14ac:dyDescent="0.25">
      <c r="A358" s="27">
        <v>45699</v>
      </c>
      <c r="B358" s="80">
        <v>2025</v>
      </c>
      <c r="C358" s="80">
        <v>2</v>
      </c>
      <c r="D358" s="30" t="s">
        <v>37</v>
      </c>
      <c r="E358" s="30" t="s">
        <v>66</v>
      </c>
      <c r="F358" s="30" t="s">
        <v>43</v>
      </c>
      <c r="G358" s="33">
        <v>49.857500000000002</v>
      </c>
      <c r="H358" s="83" t="s">
        <v>89</v>
      </c>
    </row>
    <row r="359" spans="1:8" ht="16.5" customHeight="1" x14ac:dyDescent="0.25">
      <c r="A359" s="27">
        <v>45699</v>
      </c>
      <c r="B359" s="80">
        <v>2025</v>
      </c>
      <c r="C359" s="80">
        <v>2</v>
      </c>
      <c r="D359" s="30" t="s">
        <v>37</v>
      </c>
      <c r="E359" s="30" t="s">
        <v>68</v>
      </c>
      <c r="F359" s="30" t="s">
        <v>43</v>
      </c>
      <c r="G359" s="33">
        <v>6.2054999999999998</v>
      </c>
      <c r="H359" s="83" t="s">
        <v>89</v>
      </c>
    </row>
    <row r="360" spans="1:8" ht="16.5" customHeight="1" x14ac:dyDescent="0.25">
      <c r="A360" s="27">
        <v>45699</v>
      </c>
      <c r="B360" s="80">
        <v>2025</v>
      </c>
      <c r="C360" s="80">
        <v>2</v>
      </c>
      <c r="D360" s="30" t="s">
        <v>37</v>
      </c>
      <c r="E360" s="30" t="s">
        <v>68</v>
      </c>
      <c r="F360" s="30" t="s">
        <v>47</v>
      </c>
      <c r="G360" s="33">
        <v>0.255</v>
      </c>
      <c r="H360" s="83" t="s">
        <v>89</v>
      </c>
    </row>
    <row r="361" spans="1:8" ht="16.5" customHeight="1" x14ac:dyDescent="0.25">
      <c r="A361" s="27">
        <v>45699</v>
      </c>
      <c r="B361" s="80">
        <v>2025</v>
      </c>
      <c r="C361" s="80">
        <v>2</v>
      </c>
      <c r="D361" s="30" t="s">
        <v>37</v>
      </c>
      <c r="E361" s="30" t="s">
        <v>75</v>
      </c>
      <c r="F361" s="30" t="s">
        <v>43</v>
      </c>
      <c r="G361" s="33">
        <v>26.658449999999998</v>
      </c>
      <c r="H361" s="83" t="s">
        <v>48</v>
      </c>
    </row>
    <row r="362" spans="1:8" ht="16.5" customHeight="1" x14ac:dyDescent="0.25">
      <c r="A362" s="27">
        <v>45699</v>
      </c>
      <c r="B362" s="80">
        <v>2025</v>
      </c>
      <c r="C362" s="80">
        <v>2</v>
      </c>
      <c r="D362" s="30" t="s">
        <v>37</v>
      </c>
      <c r="E362" s="30" t="s">
        <v>76</v>
      </c>
      <c r="F362" s="30" t="s">
        <v>39</v>
      </c>
      <c r="G362" s="33">
        <v>47.804203999999999</v>
      </c>
      <c r="H362" s="83" t="s">
        <v>48</v>
      </c>
    </row>
    <row r="363" spans="1:8" ht="16.5" customHeight="1" x14ac:dyDescent="0.25">
      <c r="A363" s="27">
        <v>45700</v>
      </c>
      <c r="B363" s="80">
        <v>2025</v>
      </c>
      <c r="C363" s="80">
        <v>2</v>
      </c>
      <c r="D363" s="30" t="s">
        <v>37</v>
      </c>
      <c r="E363" s="30" t="s">
        <v>38</v>
      </c>
      <c r="F363" s="30" t="s">
        <v>43</v>
      </c>
      <c r="G363" s="33">
        <v>8.5188699999999997</v>
      </c>
      <c r="H363" s="83" t="s">
        <v>88</v>
      </c>
    </row>
    <row r="364" spans="1:8" ht="16.5" customHeight="1" x14ac:dyDescent="0.25">
      <c r="A364" s="27">
        <v>45700</v>
      </c>
      <c r="B364" s="80">
        <v>2025</v>
      </c>
      <c r="C364" s="80">
        <v>2</v>
      </c>
      <c r="D364" s="30" t="s">
        <v>37</v>
      </c>
      <c r="E364" s="30" t="s">
        <v>42</v>
      </c>
      <c r="F364" s="30" t="s">
        <v>43</v>
      </c>
      <c r="G364" s="33">
        <v>9.9280000000000008</v>
      </c>
      <c r="H364" s="83" t="s">
        <v>88</v>
      </c>
    </row>
    <row r="365" spans="1:8" ht="16.5" customHeight="1" x14ac:dyDescent="0.25">
      <c r="A365" s="27">
        <v>45700</v>
      </c>
      <c r="B365" s="80">
        <v>2025</v>
      </c>
      <c r="C365" s="80">
        <v>2</v>
      </c>
      <c r="D365" s="30" t="s">
        <v>37</v>
      </c>
      <c r="E365" s="30" t="s">
        <v>46</v>
      </c>
      <c r="F365" s="30" t="s">
        <v>58</v>
      </c>
      <c r="G365" s="33">
        <v>0.33507045000000002</v>
      </c>
      <c r="H365" s="83" t="s">
        <v>88</v>
      </c>
    </row>
    <row r="366" spans="1:8" ht="16.5" customHeight="1" x14ac:dyDescent="0.25">
      <c r="A366" s="27">
        <v>45700</v>
      </c>
      <c r="B366" s="80">
        <v>2025</v>
      </c>
      <c r="C366" s="80">
        <v>2</v>
      </c>
      <c r="D366" s="30" t="s">
        <v>37</v>
      </c>
      <c r="E366" s="30" t="s">
        <v>50</v>
      </c>
      <c r="F366" s="30" t="s">
        <v>43</v>
      </c>
      <c r="G366" s="33">
        <v>6.9442836000000003</v>
      </c>
      <c r="H366" s="83" t="s">
        <v>88</v>
      </c>
    </row>
    <row r="367" spans="1:8" ht="16.5" customHeight="1" x14ac:dyDescent="0.25">
      <c r="A367" s="27">
        <v>45700</v>
      </c>
      <c r="B367" s="80">
        <v>2025</v>
      </c>
      <c r="C367" s="80">
        <v>2</v>
      </c>
      <c r="D367" s="30" t="s">
        <v>37</v>
      </c>
      <c r="E367" s="30" t="s">
        <v>54</v>
      </c>
      <c r="F367" s="30" t="s">
        <v>43</v>
      </c>
      <c r="G367" s="33">
        <v>8.5932499999999994</v>
      </c>
      <c r="H367" s="83" t="s">
        <v>88</v>
      </c>
    </row>
    <row r="368" spans="1:8" ht="16.5" customHeight="1" x14ac:dyDescent="0.25">
      <c r="A368" s="27">
        <v>45700</v>
      </c>
      <c r="B368" s="80">
        <v>2025</v>
      </c>
      <c r="C368" s="80">
        <v>2</v>
      </c>
      <c r="D368" s="30" t="s">
        <v>37</v>
      </c>
      <c r="E368" s="30" t="s">
        <v>66</v>
      </c>
      <c r="F368" s="30" t="s">
        <v>43</v>
      </c>
      <c r="G368" s="33">
        <v>13.974600000000001</v>
      </c>
      <c r="H368" s="83" t="s">
        <v>89</v>
      </c>
    </row>
    <row r="369" spans="1:8" ht="16.5" customHeight="1" x14ac:dyDescent="0.25">
      <c r="A369" s="27">
        <v>45700</v>
      </c>
      <c r="B369" s="80">
        <v>2025</v>
      </c>
      <c r="C369" s="80">
        <v>2</v>
      </c>
      <c r="D369" s="30" t="s">
        <v>37</v>
      </c>
      <c r="E369" s="30" t="s">
        <v>71</v>
      </c>
      <c r="F369" s="30" t="s">
        <v>43</v>
      </c>
      <c r="G369" s="33">
        <v>41</v>
      </c>
      <c r="H369" s="83" t="s">
        <v>89</v>
      </c>
    </row>
    <row r="370" spans="1:8" ht="16.5" customHeight="1" x14ac:dyDescent="0.25">
      <c r="A370" s="27">
        <v>45700</v>
      </c>
      <c r="B370" s="80">
        <v>2025</v>
      </c>
      <c r="C370" s="80">
        <v>2</v>
      </c>
      <c r="D370" s="30" t="s">
        <v>37</v>
      </c>
      <c r="E370" s="30" t="s">
        <v>75</v>
      </c>
      <c r="F370" s="30" t="s">
        <v>43</v>
      </c>
      <c r="G370" s="33">
        <v>5.7359600000000004</v>
      </c>
      <c r="H370" s="83" t="s">
        <v>48</v>
      </c>
    </row>
    <row r="371" spans="1:8" ht="16.5" customHeight="1" x14ac:dyDescent="0.25">
      <c r="A371" s="27">
        <v>45701</v>
      </c>
      <c r="B371" s="80">
        <v>2025</v>
      </c>
      <c r="C371" s="80">
        <v>2</v>
      </c>
      <c r="D371" s="30" t="s">
        <v>37</v>
      </c>
      <c r="E371" s="30" t="s">
        <v>38</v>
      </c>
      <c r="F371" s="30" t="s">
        <v>43</v>
      </c>
      <c r="G371" s="33">
        <v>1.0595760000000001</v>
      </c>
      <c r="H371" s="83" t="s">
        <v>88</v>
      </c>
    </row>
    <row r="372" spans="1:8" ht="16.5" customHeight="1" x14ac:dyDescent="0.25">
      <c r="A372" s="27">
        <v>45701</v>
      </c>
      <c r="B372" s="80">
        <v>2025</v>
      </c>
      <c r="C372" s="80">
        <v>2</v>
      </c>
      <c r="D372" s="30" t="s">
        <v>37</v>
      </c>
      <c r="E372" s="30" t="s">
        <v>42</v>
      </c>
      <c r="F372" s="30" t="s">
        <v>43</v>
      </c>
      <c r="G372" s="33">
        <v>1.2</v>
      </c>
      <c r="H372" s="83" t="s">
        <v>88</v>
      </c>
    </row>
    <row r="373" spans="1:8" ht="16.5" customHeight="1" x14ac:dyDescent="0.25">
      <c r="A373" s="27">
        <v>45701</v>
      </c>
      <c r="B373" s="80">
        <v>2025</v>
      </c>
      <c r="C373" s="80">
        <v>2</v>
      </c>
      <c r="D373" s="30" t="s">
        <v>37</v>
      </c>
      <c r="E373" s="30" t="s">
        <v>46</v>
      </c>
      <c r="F373" s="30" t="s">
        <v>58</v>
      </c>
      <c r="G373" s="33">
        <v>0.97847123999999996</v>
      </c>
      <c r="H373" s="83" t="s">
        <v>88</v>
      </c>
    </row>
    <row r="374" spans="1:8" ht="16.5" customHeight="1" x14ac:dyDescent="0.25">
      <c r="A374" s="27">
        <v>45701</v>
      </c>
      <c r="B374" s="80">
        <v>2025</v>
      </c>
      <c r="C374" s="80">
        <v>2</v>
      </c>
      <c r="D374" s="30" t="s">
        <v>37</v>
      </c>
      <c r="E374" s="30" t="s">
        <v>50</v>
      </c>
      <c r="F374" s="30" t="s">
        <v>43</v>
      </c>
      <c r="G374" s="33">
        <v>15.485389120000001</v>
      </c>
      <c r="H374" s="83" t="s">
        <v>88</v>
      </c>
    </row>
    <row r="375" spans="1:8" ht="16.5" customHeight="1" x14ac:dyDescent="0.25">
      <c r="A375" s="27">
        <v>45701</v>
      </c>
      <c r="B375" s="80">
        <v>2025</v>
      </c>
      <c r="C375" s="80">
        <v>2</v>
      </c>
      <c r="D375" s="30" t="s">
        <v>37</v>
      </c>
      <c r="E375" s="30" t="s">
        <v>50</v>
      </c>
      <c r="F375" s="30" t="s">
        <v>47</v>
      </c>
      <c r="G375" s="33">
        <v>0.95328749999999995</v>
      </c>
      <c r="H375" s="83" t="s">
        <v>88</v>
      </c>
    </row>
    <row r="376" spans="1:8" ht="16.5" customHeight="1" x14ac:dyDescent="0.25">
      <c r="A376" s="27">
        <v>45701</v>
      </c>
      <c r="B376" s="80">
        <v>2025</v>
      </c>
      <c r="C376" s="80">
        <v>2</v>
      </c>
      <c r="D376" s="30" t="s">
        <v>37</v>
      </c>
      <c r="E376" s="30" t="s">
        <v>50</v>
      </c>
      <c r="F376" s="30" t="s">
        <v>51</v>
      </c>
      <c r="G376" s="33">
        <v>0.36975000000000002</v>
      </c>
      <c r="H376" s="83" t="s">
        <v>88</v>
      </c>
    </row>
    <row r="377" spans="1:8" ht="16.5" customHeight="1" x14ac:dyDescent="0.25">
      <c r="A377" s="27">
        <v>45701</v>
      </c>
      <c r="B377" s="80">
        <v>2025</v>
      </c>
      <c r="C377" s="80">
        <v>2</v>
      </c>
      <c r="D377" s="30" t="s">
        <v>37</v>
      </c>
      <c r="E377" s="30" t="s">
        <v>50</v>
      </c>
      <c r="F377" s="30" t="s">
        <v>55</v>
      </c>
      <c r="G377" s="33">
        <v>0.86467499999999997</v>
      </c>
      <c r="H377" s="83" t="s">
        <v>88</v>
      </c>
    </row>
    <row r="378" spans="1:8" ht="16.5" customHeight="1" x14ac:dyDescent="0.25">
      <c r="A378" s="27">
        <v>45701</v>
      </c>
      <c r="B378" s="80">
        <v>2025</v>
      </c>
      <c r="C378" s="80">
        <v>2</v>
      </c>
      <c r="D378" s="30" t="s">
        <v>37</v>
      </c>
      <c r="E378" s="30" t="s">
        <v>54</v>
      </c>
      <c r="F378" s="30" t="s">
        <v>43</v>
      </c>
      <c r="G378" s="33">
        <v>2.9812500000000002</v>
      </c>
      <c r="H378" s="83" t="s">
        <v>88</v>
      </c>
    </row>
    <row r="379" spans="1:8" ht="16.5" customHeight="1" x14ac:dyDescent="0.25">
      <c r="A379" s="27">
        <v>45701</v>
      </c>
      <c r="B379" s="80">
        <v>2025</v>
      </c>
      <c r="C379" s="80">
        <v>2</v>
      </c>
      <c r="D379" s="30" t="s">
        <v>37</v>
      </c>
      <c r="E379" s="30" t="s">
        <v>61</v>
      </c>
      <c r="F379" s="30" t="s">
        <v>43</v>
      </c>
      <c r="G379" s="33">
        <v>0.56999999999999995</v>
      </c>
      <c r="H379" s="83" t="s">
        <v>89</v>
      </c>
    </row>
    <row r="380" spans="1:8" ht="16.5" customHeight="1" x14ac:dyDescent="0.25">
      <c r="A380" s="27">
        <v>45701</v>
      </c>
      <c r="B380" s="80">
        <v>2025</v>
      </c>
      <c r="C380" s="80">
        <v>2</v>
      </c>
      <c r="D380" s="30" t="s">
        <v>37</v>
      </c>
      <c r="E380" s="30" t="s">
        <v>61</v>
      </c>
      <c r="F380" s="30" t="s">
        <v>55</v>
      </c>
      <c r="G380" s="33">
        <v>1.1399999999999999</v>
      </c>
      <c r="H380" s="83" t="s">
        <v>89</v>
      </c>
    </row>
    <row r="381" spans="1:8" ht="16.5" customHeight="1" x14ac:dyDescent="0.25">
      <c r="A381" s="27">
        <v>45701</v>
      </c>
      <c r="B381" s="80">
        <v>2025</v>
      </c>
      <c r="C381" s="80">
        <v>2</v>
      </c>
      <c r="D381" s="30" t="s">
        <v>37</v>
      </c>
      <c r="E381" s="30" t="s">
        <v>64</v>
      </c>
      <c r="F381" s="30" t="s">
        <v>43</v>
      </c>
      <c r="G381" s="33">
        <v>31.614999999999998</v>
      </c>
      <c r="H381" s="83" t="s">
        <v>89</v>
      </c>
    </row>
    <row r="382" spans="1:8" ht="16.5" customHeight="1" x14ac:dyDescent="0.25">
      <c r="A382" s="27">
        <v>45701</v>
      </c>
      <c r="B382" s="80">
        <v>2025</v>
      </c>
      <c r="C382" s="80">
        <v>2</v>
      </c>
      <c r="D382" s="30" t="s">
        <v>37</v>
      </c>
      <c r="E382" s="30" t="s">
        <v>66</v>
      </c>
      <c r="F382" s="30" t="s">
        <v>39</v>
      </c>
      <c r="G382" s="33">
        <v>6.375</v>
      </c>
      <c r="H382" s="83" t="s">
        <v>89</v>
      </c>
    </row>
    <row r="383" spans="1:8" ht="16.5" customHeight="1" x14ac:dyDescent="0.25">
      <c r="A383" s="27">
        <v>45701</v>
      </c>
      <c r="B383" s="80">
        <v>2025</v>
      </c>
      <c r="C383" s="80">
        <v>2</v>
      </c>
      <c r="D383" s="30" t="s">
        <v>37</v>
      </c>
      <c r="E383" s="30" t="s">
        <v>68</v>
      </c>
      <c r="F383" s="30" t="s">
        <v>43</v>
      </c>
      <c r="G383" s="33">
        <v>1.05</v>
      </c>
      <c r="H383" s="83" t="s">
        <v>89</v>
      </c>
    </row>
    <row r="384" spans="1:8" ht="16.5" customHeight="1" x14ac:dyDescent="0.25">
      <c r="A384" s="27">
        <v>45701</v>
      </c>
      <c r="B384" s="80">
        <v>2025</v>
      </c>
      <c r="C384" s="80">
        <v>2</v>
      </c>
      <c r="D384" s="30" t="s">
        <v>37</v>
      </c>
      <c r="E384" s="30" t="s">
        <v>68</v>
      </c>
      <c r="F384" s="30" t="s">
        <v>55</v>
      </c>
      <c r="G384" s="33">
        <v>0.62</v>
      </c>
      <c r="H384" s="83" t="s">
        <v>89</v>
      </c>
    </row>
    <row r="385" spans="1:8" ht="16.5" customHeight="1" x14ac:dyDescent="0.25">
      <c r="A385" s="27">
        <v>45701</v>
      </c>
      <c r="B385" s="80">
        <v>2025</v>
      </c>
      <c r="C385" s="80">
        <v>2</v>
      </c>
      <c r="D385" s="30" t="s">
        <v>37</v>
      </c>
      <c r="E385" s="30" t="s">
        <v>71</v>
      </c>
      <c r="F385" s="30" t="s">
        <v>43</v>
      </c>
      <c r="G385" s="33">
        <v>38.552849999999999</v>
      </c>
      <c r="H385" s="83" t="s">
        <v>89</v>
      </c>
    </row>
    <row r="386" spans="1:8" ht="16.5" customHeight="1" x14ac:dyDescent="0.25">
      <c r="A386" s="27">
        <v>45702</v>
      </c>
      <c r="B386" s="80">
        <v>2025</v>
      </c>
      <c r="C386" s="80">
        <v>2</v>
      </c>
      <c r="D386" s="30" t="s">
        <v>37</v>
      </c>
      <c r="E386" s="30" t="s">
        <v>42</v>
      </c>
      <c r="F386" s="30" t="s">
        <v>43</v>
      </c>
      <c r="G386" s="33">
        <v>8.5883699999999994</v>
      </c>
      <c r="H386" s="83" t="s">
        <v>88</v>
      </c>
    </row>
    <row r="387" spans="1:8" ht="16.5" customHeight="1" x14ac:dyDescent="0.25">
      <c r="A387" s="27">
        <v>45702</v>
      </c>
      <c r="B387" s="80">
        <v>2025</v>
      </c>
      <c r="C387" s="80">
        <v>2</v>
      </c>
      <c r="D387" s="30" t="s">
        <v>37</v>
      </c>
      <c r="E387" s="30" t="s">
        <v>42</v>
      </c>
      <c r="F387" s="30" t="s">
        <v>55</v>
      </c>
      <c r="G387" s="33">
        <v>0.76114000000000004</v>
      </c>
      <c r="H387" s="83" t="s">
        <v>88</v>
      </c>
    </row>
    <row r="388" spans="1:8" ht="16.5" customHeight="1" x14ac:dyDescent="0.25">
      <c r="A388" s="27">
        <v>45702</v>
      </c>
      <c r="B388" s="80">
        <v>2025</v>
      </c>
      <c r="C388" s="80">
        <v>2</v>
      </c>
      <c r="D388" s="30" t="s">
        <v>37</v>
      </c>
      <c r="E388" s="30" t="s">
        <v>46</v>
      </c>
      <c r="F388" s="30" t="s">
        <v>43</v>
      </c>
      <c r="G388" s="33">
        <v>10.155972200000001</v>
      </c>
      <c r="H388" s="83" t="s">
        <v>88</v>
      </c>
    </row>
    <row r="389" spans="1:8" ht="16.5" customHeight="1" x14ac:dyDescent="0.25">
      <c r="A389" s="27">
        <v>45702</v>
      </c>
      <c r="B389" s="80">
        <v>2025</v>
      </c>
      <c r="C389" s="80">
        <v>2</v>
      </c>
      <c r="D389" s="30" t="s">
        <v>37</v>
      </c>
      <c r="E389" s="30" t="s">
        <v>50</v>
      </c>
      <c r="F389" s="30" t="s">
        <v>47</v>
      </c>
      <c r="G389" s="33">
        <v>0.61460000000000004</v>
      </c>
      <c r="H389" s="83" t="s">
        <v>88</v>
      </c>
    </row>
    <row r="390" spans="1:8" ht="16.5" customHeight="1" x14ac:dyDescent="0.25">
      <c r="A390" s="27">
        <v>45702</v>
      </c>
      <c r="B390" s="80">
        <v>2025</v>
      </c>
      <c r="C390" s="80">
        <v>2</v>
      </c>
      <c r="D390" s="30" t="s">
        <v>37</v>
      </c>
      <c r="E390" s="30" t="s">
        <v>50</v>
      </c>
      <c r="F390" s="30" t="s">
        <v>58</v>
      </c>
      <c r="G390" s="33">
        <v>1.684842</v>
      </c>
      <c r="H390" s="83" t="s">
        <v>88</v>
      </c>
    </row>
    <row r="391" spans="1:8" ht="16.5" customHeight="1" x14ac:dyDescent="0.25">
      <c r="A391" s="27">
        <v>45702</v>
      </c>
      <c r="B391" s="80">
        <v>2025</v>
      </c>
      <c r="C391" s="80">
        <v>2</v>
      </c>
      <c r="D391" s="30" t="s">
        <v>37</v>
      </c>
      <c r="E391" s="30" t="s">
        <v>54</v>
      </c>
      <c r="F391" s="30" t="s">
        <v>43</v>
      </c>
      <c r="G391" s="33">
        <v>9.2248999999999999</v>
      </c>
      <c r="H391" s="83" t="s">
        <v>88</v>
      </c>
    </row>
    <row r="392" spans="1:8" ht="16.5" customHeight="1" x14ac:dyDescent="0.25">
      <c r="A392" s="27">
        <v>45702</v>
      </c>
      <c r="B392" s="80">
        <v>2025</v>
      </c>
      <c r="C392" s="80">
        <v>2</v>
      </c>
      <c r="D392" s="30" t="s">
        <v>37</v>
      </c>
      <c r="E392" s="30" t="s">
        <v>54</v>
      </c>
      <c r="F392" s="30" t="s">
        <v>47</v>
      </c>
      <c r="G392" s="33">
        <v>0.56999999999999995</v>
      </c>
      <c r="H392" s="83" t="s">
        <v>88</v>
      </c>
    </row>
    <row r="393" spans="1:8" ht="16.5" customHeight="1" x14ac:dyDescent="0.25">
      <c r="A393" s="27">
        <v>45702</v>
      </c>
      <c r="B393" s="80">
        <v>2025</v>
      </c>
      <c r="C393" s="80">
        <v>2</v>
      </c>
      <c r="D393" s="30" t="s">
        <v>37</v>
      </c>
      <c r="E393" s="30" t="s">
        <v>64</v>
      </c>
      <c r="F393" s="30" t="s">
        <v>51</v>
      </c>
      <c r="G393" s="33">
        <v>0.95040000000000002</v>
      </c>
      <c r="H393" s="83" t="s">
        <v>89</v>
      </c>
    </row>
    <row r="394" spans="1:8" ht="16.5" customHeight="1" x14ac:dyDescent="0.25">
      <c r="A394" s="27">
        <v>45702</v>
      </c>
      <c r="B394" s="80">
        <v>2025</v>
      </c>
      <c r="C394" s="80">
        <v>2</v>
      </c>
      <c r="D394" s="30" t="s">
        <v>37</v>
      </c>
      <c r="E394" s="30" t="s">
        <v>66</v>
      </c>
      <c r="F394" s="30" t="s">
        <v>43</v>
      </c>
      <c r="G394" s="33">
        <v>0.45</v>
      </c>
      <c r="H394" s="83" t="s">
        <v>89</v>
      </c>
    </row>
    <row r="395" spans="1:8" ht="16.5" customHeight="1" x14ac:dyDescent="0.25">
      <c r="A395" s="27">
        <v>45702</v>
      </c>
      <c r="B395" s="80">
        <v>2025</v>
      </c>
      <c r="C395" s="80">
        <v>2</v>
      </c>
      <c r="D395" s="30" t="s">
        <v>37</v>
      </c>
      <c r="E395" s="30" t="s">
        <v>71</v>
      </c>
      <c r="F395" s="30" t="s">
        <v>43</v>
      </c>
      <c r="G395" s="33">
        <v>19.145</v>
      </c>
      <c r="H395" s="83" t="s">
        <v>89</v>
      </c>
    </row>
    <row r="396" spans="1:8" ht="16.5" customHeight="1" x14ac:dyDescent="0.25">
      <c r="A396" s="27">
        <v>45702</v>
      </c>
      <c r="B396" s="80">
        <v>2025</v>
      </c>
      <c r="C396" s="80">
        <v>2</v>
      </c>
      <c r="D396" s="30" t="s">
        <v>37</v>
      </c>
      <c r="E396" s="30" t="s">
        <v>75</v>
      </c>
      <c r="F396" s="30" t="s">
        <v>43</v>
      </c>
      <c r="G396" s="33">
        <v>15.424753000000001</v>
      </c>
      <c r="H396" s="83" t="s">
        <v>48</v>
      </c>
    </row>
    <row r="397" spans="1:8" ht="16.5" customHeight="1" x14ac:dyDescent="0.25">
      <c r="A397" s="27">
        <v>45702</v>
      </c>
      <c r="B397" s="80">
        <v>2025</v>
      </c>
      <c r="C397" s="80">
        <v>2</v>
      </c>
      <c r="D397" s="30" t="s">
        <v>37</v>
      </c>
      <c r="E397" s="30" t="s">
        <v>76</v>
      </c>
      <c r="F397" s="30" t="s">
        <v>39</v>
      </c>
      <c r="G397" s="33">
        <v>4.3920000000000003</v>
      </c>
      <c r="H397" s="83" t="s">
        <v>48</v>
      </c>
    </row>
    <row r="398" spans="1:8" ht="16.5" customHeight="1" x14ac:dyDescent="0.25">
      <c r="A398" s="27">
        <v>45703</v>
      </c>
      <c r="B398" s="80">
        <v>2025</v>
      </c>
      <c r="C398" s="80">
        <v>2</v>
      </c>
      <c r="D398" s="30" t="s">
        <v>37</v>
      </c>
      <c r="E398" s="30" t="s">
        <v>50</v>
      </c>
      <c r="F398" s="30" t="s">
        <v>47</v>
      </c>
      <c r="G398" s="33">
        <v>0.1105</v>
      </c>
      <c r="H398" s="83" t="s">
        <v>88</v>
      </c>
    </row>
    <row r="399" spans="1:8" ht="16.5" customHeight="1" x14ac:dyDescent="0.25">
      <c r="A399" s="27">
        <v>45703</v>
      </c>
      <c r="B399" s="80">
        <v>2025</v>
      </c>
      <c r="C399" s="80">
        <v>2</v>
      </c>
      <c r="D399" s="30" t="s">
        <v>37</v>
      </c>
      <c r="E399" s="30" t="s">
        <v>50</v>
      </c>
      <c r="F399" s="30" t="s">
        <v>51</v>
      </c>
      <c r="G399" s="33">
        <v>0.2465</v>
      </c>
      <c r="H399" s="83" t="s">
        <v>88</v>
      </c>
    </row>
    <row r="400" spans="1:8" ht="16.5" customHeight="1" x14ac:dyDescent="0.25">
      <c r="A400" s="27">
        <v>45705</v>
      </c>
      <c r="B400" s="80">
        <v>2025</v>
      </c>
      <c r="C400" s="80">
        <v>2</v>
      </c>
      <c r="D400" s="30" t="s">
        <v>37</v>
      </c>
      <c r="E400" s="30" t="s">
        <v>38</v>
      </c>
      <c r="F400" s="30" t="s">
        <v>43</v>
      </c>
      <c r="G400" s="33">
        <v>1.385</v>
      </c>
      <c r="H400" s="83" t="s">
        <v>88</v>
      </c>
    </row>
    <row r="401" spans="1:8" ht="16.5" customHeight="1" x14ac:dyDescent="0.25">
      <c r="A401" s="27">
        <v>45705</v>
      </c>
      <c r="B401" s="80">
        <v>2025</v>
      </c>
      <c r="C401" s="80">
        <v>2</v>
      </c>
      <c r="D401" s="30" t="s">
        <v>37</v>
      </c>
      <c r="E401" s="30" t="s">
        <v>46</v>
      </c>
      <c r="F401" s="30" t="s">
        <v>43</v>
      </c>
      <c r="G401" s="33">
        <v>3.4417200000000001</v>
      </c>
      <c r="H401" s="83" t="s">
        <v>88</v>
      </c>
    </row>
    <row r="402" spans="1:8" ht="16.5" customHeight="1" x14ac:dyDescent="0.25">
      <c r="A402" s="27">
        <v>45705</v>
      </c>
      <c r="B402" s="80">
        <v>2025</v>
      </c>
      <c r="C402" s="80">
        <v>2</v>
      </c>
      <c r="D402" s="30" t="s">
        <v>37</v>
      </c>
      <c r="E402" s="30" t="s">
        <v>46</v>
      </c>
      <c r="F402" s="30" t="s">
        <v>47</v>
      </c>
      <c r="G402" s="33">
        <v>0.184</v>
      </c>
      <c r="H402" s="83" t="s">
        <v>88</v>
      </c>
    </row>
    <row r="403" spans="1:8" ht="16.5" customHeight="1" x14ac:dyDescent="0.25">
      <c r="A403" s="27">
        <v>45705</v>
      </c>
      <c r="B403" s="80">
        <v>2025</v>
      </c>
      <c r="C403" s="80">
        <v>2</v>
      </c>
      <c r="D403" s="30" t="s">
        <v>37</v>
      </c>
      <c r="E403" s="30" t="s">
        <v>46</v>
      </c>
      <c r="F403" s="30" t="s">
        <v>58</v>
      </c>
      <c r="G403" s="33">
        <v>1.1633924250000001</v>
      </c>
      <c r="H403" s="83" t="s">
        <v>88</v>
      </c>
    </row>
    <row r="404" spans="1:8" ht="16.5" customHeight="1" x14ac:dyDescent="0.25">
      <c r="A404" s="27">
        <v>45705</v>
      </c>
      <c r="B404" s="80">
        <v>2025</v>
      </c>
      <c r="C404" s="80">
        <v>2</v>
      </c>
      <c r="D404" s="30" t="s">
        <v>37</v>
      </c>
      <c r="E404" s="30" t="s">
        <v>50</v>
      </c>
      <c r="F404" s="30" t="s">
        <v>58</v>
      </c>
      <c r="G404" s="33">
        <v>14.0283388</v>
      </c>
      <c r="H404" s="83" t="s">
        <v>88</v>
      </c>
    </row>
    <row r="405" spans="1:8" ht="16.5" customHeight="1" x14ac:dyDescent="0.25">
      <c r="A405" s="27">
        <v>45705</v>
      </c>
      <c r="B405" s="80">
        <v>2025</v>
      </c>
      <c r="C405" s="80">
        <v>2</v>
      </c>
      <c r="D405" s="30" t="s">
        <v>37</v>
      </c>
      <c r="E405" s="30" t="s">
        <v>54</v>
      </c>
      <c r="F405" s="30" t="s">
        <v>43</v>
      </c>
      <c r="G405" s="33">
        <v>1.19</v>
      </c>
      <c r="H405" s="83" t="s">
        <v>88</v>
      </c>
    </row>
    <row r="406" spans="1:8" ht="16.5" customHeight="1" x14ac:dyDescent="0.25">
      <c r="A406" s="27">
        <v>45705</v>
      </c>
      <c r="B406" s="80">
        <v>2025</v>
      </c>
      <c r="C406" s="80">
        <v>2</v>
      </c>
      <c r="D406" s="30" t="s">
        <v>37</v>
      </c>
      <c r="E406" s="30" t="s">
        <v>61</v>
      </c>
      <c r="F406" s="30" t="s">
        <v>43</v>
      </c>
      <c r="G406" s="33">
        <v>0.78890000000000005</v>
      </c>
      <c r="H406" s="83" t="s">
        <v>89</v>
      </c>
    </row>
    <row r="407" spans="1:8" ht="16.5" customHeight="1" x14ac:dyDescent="0.25">
      <c r="A407" s="27">
        <v>45705</v>
      </c>
      <c r="B407" s="80">
        <v>2025</v>
      </c>
      <c r="C407" s="80">
        <v>2</v>
      </c>
      <c r="D407" s="30" t="s">
        <v>37</v>
      </c>
      <c r="E407" s="30" t="s">
        <v>64</v>
      </c>
      <c r="F407" s="30" t="s">
        <v>43</v>
      </c>
      <c r="G407" s="33">
        <v>37.48856</v>
      </c>
      <c r="H407" s="83" t="s">
        <v>89</v>
      </c>
    </row>
    <row r="408" spans="1:8" ht="16.5" customHeight="1" x14ac:dyDescent="0.25">
      <c r="A408" s="27">
        <v>45705</v>
      </c>
      <c r="B408" s="80">
        <v>2025</v>
      </c>
      <c r="C408" s="80">
        <v>2</v>
      </c>
      <c r="D408" s="30" t="s">
        <v>37</v>
      </c>
      <c r="E408" s="30" t="s">
        <v>68</v>
      </c>
      <c r="F408" s="30" t="s">
        <v>43</v>
      </c>
      <c r="G408" s="33">
        <v>1.325</v>
      </c>
      <c r="H408" s="83" t="s">
        <v>89</v>
      </c>
    </row>
    <row r="409" spans="1:8" ht="16.5" customHeight="1" x14ac:dyDescent="0.25">
      <c r="A409" s="27">
        <v>45705</v>
      </c>
      <c r="B409" s="80">
        <v>2025</v>
      </c>
      <c r="C409" s="80">
        <v>2</v>
      </c>
      <c r="D409" s="30" t="s">
        <v>37</v>
      </c>
      <c r="E409" s="30" t="s">
        <v>68</v>
      </c>
      <c r="F409" s="30" t="s">
        <v>55</v>
      </c>
      <c r="G409" s="33">
        <v>1.2224999999999999</v>
      </c>
      <c r="H409" s="83" t="s">
        <v>89</v>
      </c>
    </row>
    <row r="410" spans="1:8" ht="16.5" customHeight="1" x14ac:dyDescent="0.25">
      <c r="A410" s="27">
        <v>45705</v>
      </c>
      <c r="B410" s="80">
        <v>2025</v>
      </c>
      <c r="C410" s="80">
        <v>2</v>
      </c>
      <c r="D410" s="30" t="s">
        <v>37</v>
      </c>
      <c r="E410" s="30" t="s">
        <v>75</v>
      </c>
      <c r="F410" s="30" t="s">
        <v>43</v>
      </c>
      <c r="G410" s="33">
        <v>8.2400867499999997</v>
      </c>
      <c r="H410" s="83" t="s">
        <v>48</v>
      </c>
    </row>
    <row r="411" spans="1:8" ht="16.5" customHeight="1" x14ac:dyDescent="0.25">
      <c r="A411" s="27">
        <v>45705</v>
      </c>
      <c r="B411" s="80">
        <v>2025</v>
      </c>
      <c r="C411" s="80">
        <v>2</v>
      </c>
      <c r="D411" s="30" t="s">
        <v>37</v>
      </c>
      <c r="E411" s="30" t="s">
        <v>76</v>
      </c>
      <c r="F411" s="30" t="s">
        <v>39</v>
      </c>
      <c r="G411" s="33">
        <v>63.999879999999997</v>
      </c>
      <c r="H411" s="83" t="s">
        <v>48</v>
      </c>
    </row>
    <row r="412" spans="1:8" ht="16.5" customHeight="1" x14ac:dyDescent="0.25">
      <c r="A412" s="27">
        <v>45706</v>
      </c>
      <c r="B412" s="80">
        <v>2025</v>
      </c>
      <c r="C412" s="80">
        <v>2</v>
      </c>
      <c r="D412" s="30" t="s">
        <v>37</v>
      </c>
      <c r="E412" s="30" t="s">
        <v>38</v>
      </c>
      <c r="F412" s="30" t="s">
        <v>43</v>
      </c>
      <c r="G412" s="33">
        <v>3.91</v>
      </c>
      <c r="H412" s="83" t="s">
        <v>88</v>
      </c>
    </row>
    <row r="413" spans="1:8" ht="16.5" customHeight="1" x14ac:dyDescent="0.25">
      <c r="A413" s="27">
        <v>45706</v>
      </c>
      <c r="B413" s="80">
        <v>2025</v>
      </c>
      <c r="C413" s="80">
        <v>2</v>
      </c>
      <c r="D413" s="30" t="s">
        <v>37</v>
      </c>
      <c r="E413" s="30" t="s">
        <v>42</v>
      </c>
      <c r="F413" s="30" t="s">
        <v>43</v>
      </c>
      <c r="G413" s="33">
        <v>2.3119999999999998</v>
      </c>
      <c r="H413" s="83" t="s">
        <v>88</v>
      </c>
    </row>
    <row r="414" spans="1:8" ht="16.5" customHeight="1" x14ac:dyDescent="0.25">
      <c r="A414" s="27">
        <v>45706</v>
      </c>
      <c r="B414" s="80">
        <v>2025</v>
      </c>
      <c r="C414" s="80">
        <v>2</v>
      </c>
      <c r="D414" s="30" t="s">
        <v>37</v>
      </c>
      <c r="E414" s="30" t="s">
        <v>50</v>
      </c>
      <c r="F414" s="30" t="s">
        <v>43</v>
      </c>
      <c r="G414" s="33">
        <v>9.7548615000000005</v>
      </c>
      <c r="H414" s="83" t="s">
        <v>88</v>
      </c>
    </row>
    <row r="415" spans="1:8" ht="16.5" customHeight="1" x14ac:dyDescent="0.25">
      <c r="A415" s="27">
        <v>45706</v>
      </c>
      <c r="B415" s="80">
        <v>2025</v>
      </c>
      <c r="C415" s="80">
        <v>2</v>
      </c>
      <c r="D415" s="30" t="s">
        <v>37</v>
      </c>
      <c r="E415" s="30" t="s">
        <v>54</v>
      </c>
      <c r="F415" s="30" t="s">
        <v>43</v>
      </c>
      <c r="G415" s="33">
        <v>0.47499999999999998</v>
      </c>
      <c r="H415" s="83" t="s">
        <v>88</v>
      </c>
    </row>
    <row r="416" spans="1:8" ht="16.5" customHeight="1" x14ac:dyDescent="0.25">
      <c r="A416" s="27">
        <v>45706</v>
      </c>
      <c r="B416" s="80">
        <v>2025</v>
      </c>
      <c r="C416" s="80">
        <v>2</v>
      </c>
      <c r="D416" s="30" t="s">
        <v>37</v>
      </c>
      <c r="E416" s="30" t="s">
        <v>57</v>
      </c>
      <c r="F416" s="30" t="s">
        <v>39</v>
      </c>
      <c r="G416" s="33">
        <v>122.6412</v>
      </c>
      <c r="H416" s="83" t="s">
        <v>89</v>
      </c>
    </row>
    <row r="417" spans="1:8" ht="16.5" customHeight="1" x14ac:dyDescent="0.25">
      <c r="A417" s="27">
        <v>45706</v>
      </c>
      <c r="B417" s="80">
        <v>2025</v>
      </c>
      <c r="C417" s="80">
        <v>2</v>
      </c>
      <c r="D417" s="30" t="s">
        <v>37</v>
      </c>
      <c r="E417" s="30" t="s">
        <v>57</v>
      </c>
      <c r="F417" s="30" t="s">
        <v>43</v>
      </c>
      <c r="G417" s="33">
        <v>159.67273</v>
      </c>
      <c r="H417" s="83" t="s">
        <v>89</v>
      </c>
    </row>
    <row r="418" spans="1:8" ht="16.5" customHeight="1" x14ac:dyDescent="0.25">
      <c r="A418" s="27">
        <v>45706</v>
      </c>
      <c r="B418" s="80">
        <v>2025</v>
      </c>
      <c r="C418" s="80">
        <v>2</v>
      </c>
      <c r="D418" s="30" t="s">
        <v>37</v>
      </c>
      <c r="E418" s="30" t="s">
        <v>66</v>
      </c>
      <c r="F418" s="30" t="s">
        <v>43</v>
      </c>
      <c r="G418" s="33">
        <v>1.288</v>
      </c>
      <c r="H418" s="83" t="s">
        <v>89</v>
      </c>
    </row>
    <row r="419" spans="1:8" ht="16.5" customHeight="1" x14ac:dyDescent="0.25">
      <c r="A419" s="27">
        <v>45706</v>
      </c>
      <c r="B419" s="80">
        <v>2025</v>
      </c>
      <c r="C419" s="80">
        <v>2</v>
      </c>
      <c r="D419" s="30" t="s">
        <v>37</v>
      </c>
      <c r="E419" s="30" t="s">
        <v>68</v>
      </c>
      <c r="F419" s="30" t="s">
        <v>43</v>
      </c>
      <c r="G419" s="33">
        <v>4.1935000000000002</v>
      </c>
      <c r="H419" s="83" t="s">
        <v>89</v>
      </c>
    </row>
    <row r="420" spans="1:8" ht="16.5" customHeight="1" x14ac:dyDescent="0.25">
      <c r="A420" s="27">
        <v>45706</v>
      </c>
      <c r="B420" s="80">
        <v>2025</v>
      </c>
      <c r="C420" s="80">
        <v>2</v>
      </c>
      <c r="D420" s="30" t="s">
        <v>37</v>
      </c>
      <c r="E420" s="30" t="s">
        <v>71</v>
      </c>
      <c r="F420" s="30" t="s">
        <v>39</v>
      </c>
      <c r="G420" s="33">
        <v>7.8978000000000002</v>
      </c>
      <c r="H420" s="83" t="s">
        <v>89</v>
      </c>
    </row>
    <row r="421" spans="1:8" ht="16.5" customHeight="1" x14ac:dyDescent="0.25">
      <c r="A421" s="27">
        <v>45707</v>
      </c>
      <c r="B421" s="80">
        <v>2025</v>
      </c>
      <c r="C421" s="80">
        <v>2</v>
      </c>
      <c r="D421" s="30" t="s">
        <v>37</v>
      </c>
      <c r="E421" s="30" t="s">
        <v>38</v>
      </c>
      <c r="F421" s="30" t="s">
        <v>43</v>
      </c>
      <c r="G421" s="33">
        <v>2.38</v>
      </c>
      <c r="H421" s="83" t="s">
        <v>88</v>
      </c>
    </row>
    <row r="422" spans="1:8" ht="16.5" customHeight="1" x14ac:dyDescent="0.25">
      <c r="A422" s="27">
        <v>45707</v>
      </c>
      <c r="B422" s="80">
        <v>2025</v>
      </c>
      <c r="C422" s="80">
        <v>2</v>
      </c>
      <c r="D422" s="30" t="s">
        <v>37</v>
      </c>
      <c r="E422" s="30" t="s">
        <v>42</v>
      </c>
      <c r="F422" s="30" t="s">
        <v>43</v>
      </c>
      <c r="G422" s="33">
        <v>4.7430000000000003</v>
      </c>
      <c r="H422" s="83" t="s">
        <v>88</v>
      </c>
    </row>
    <row r="423" spans="1:8" ht="16.5" customHeight="1" x14ac:dyDescent="0.25">
      <c r="A423" s="27">
        <v>45707</v>
      </c>
      <c r="B423" s="80">
        <v>2025</v>
      </c>
      <c r="C423" s="80">
        <v>2</v>
      </c>
      <c r="D423" s="30" t="s">
        <v>37</v>
      </c>
      <c r="E423" s="30" t="s">
        <v>42</v>
      </c>
      <c r="F423" s="30" t="s">
        <v>55</v>
      </c>
      <c r="G423" s="33">
        <v>6.3</v>
      </c>
      <c r="H423" s="83" t="s">
        <v>88</v>
      </c>
    </row>
    <row r="424" spans="1:8" ht="16.5" customHeight="1" x14ac:dyDescent="0.25">
      <c r="A424" s="27">
        <v>45707</v>
      </c>
      <c r="B424" s="80">
        <v>2025</v>
      </c>
      <c r="C424" s="80">
        <v>2</v>
      </c>
      <c r="D424" s="30" t="s">
        <v>37</v>
      </c>
      <c r="E424" s="30" t="s">
        <v>46</v>
      </c>
      <c r="F424" s="30" t="s">
        <v>43</v>
      </c>
      <c r="G424" s="33">
        <v>2.3283054999999999</v>
      </c>
      <c r="H424" s="83" t="s">
        <v>88</v>
      </c>
    </row>
    <row r="425" spans="1:8" ht="16.5" customHeight="1" x14ac:dyDescent="0.25">
      <c r="A425" s="27">
        <v>45707</v>
      </c>
      <c r="B425" s="80">
        <v>2025</v>
      </c>
      <c r="C425" s="80">
        <v>2</v>
      </c>
      <c r="D425" s="30" t="s">
        <v>37</v>
      </c>
      <c r="E425" s="30" t="s">
        <v>54</v>
      </c>
      <c r="F425" s="30" t="s">
        <v>43</v>
      </c>
      <c r="G425" s="33">
        <v>0.6</v>
      </c>
      <c r="H425" s="83" t="s">
        <v>88</v>
      </c>
    </row>
    <row r="426" spans="1:8" ht="16.5" customHeight="1" x14ac:dyDescent="0.25">
      <c r="A426" s="27">
        <v>45707</v>
      </c>
      <c r="B426" s="80">
        <v>2025</v>
      </c>
      <c r="C426" s="80">
        <v>2</v>
      </c>
      <c r="D426" s="30" t="s">
        <v>37</v>
      </c>
      <c r="E426" s="30" t="s">
        <v>66</v>
      </c>
      <c r="F426" s="30" t="s">
        <v>43</v>
      </c>
      <c r="G426" s="33">
        <v>10.1257</v>
      </c>
      <c r="H426" s="83" t="s">
        <v>89</v>
      </c>
    </row>
    <row r="427" spans="1:8" ht="16.5" customHeight="1" x14ac:dyDescent="0.25">
      <c r="A427" s="27">
        <v>45707</v>
      </c>
      <c r="B427" s="80">
        <v>2025</v>
      </c>
      <c r="C427" s="80">
        <v>2</v>
      </c>
      <c r="D427" s="30" t="s">
        <v>37</v>
      </c>
      <c r="E427" s="30" t="s">
        <v>71</v>
      </c>
      <c r="F427" s="30" t="s">
        <v>39</v>
      </c>
      <c r="G427" s="33">
        <v>40.107365999999999</v>
      </c>
      <c r="H427" s="83" t="s">
        <v>89</v>
      </c>
    </row>
    <row r="428" spans="1:8" ht="16.5" customHeight="1" x14ac:dyDescent="0.25">
      <c r="A428" s="27">
        <v>45707</v>
      </c>
      <c r="B428" s="80">
        <v>2025</v>
      </c>
      <c r="C428" s="80">
        <v>2</v>
      </c>
      <c r="D428" s="30" t="s">
        <v>37</v>
      </c>
      <c r="E428" s="30" t="s">
        <v>75</v>
      </c>
      <c r="F428" s="30" t="s">
        <v>43</v>
      </c>
      <c r="G428" s="33">
        <v>23.091967499999999</v>
      </c>
      <c r="H428" s="83" t="s">
        <v>48</v>
      </c>
    </row>
    <row r="429" spans="1:8" ht="16.5" customHeight="1" x14ac:dyDescent="0.25">
      <c r="A429" s="27">
        <v>45707</v>
      </c>
      <c r="B429" s="80">
        <v>2025</v>
      </c>
      <c r="C429" s="80">
        <v>2</v>
      </c>
      <c r="D429" s="30" t="s">
        <v>37</v>
      </c>
      <c r="E429" s="30" t="s">
        <v>76</v>
      </c>
      <c r="F429" s="30" t="s">
        <v>43</v>
      </c>
      <c r="G429" s="33">
        <v>45.163649999999997</v>
      </c>
      <c r="H429" s="83" t="s">
        <v>48</v>
      </c>
    </row>
    <row r="430" spans="1:8" ht="16.5" customHeight="1" x14ac:dyDescent="0.25">
      <c r="A430" s="27">
        <v>45708</v>
      </c>
      <c r="B430" s="80">
        <v>2025</v>
      </c>
      <c r="C430" s="80">
        <v>2</v>
      </c>
      <c r="D430" s="30" t="s">
        <v>37</v>
      </c>
      <c r="E430" s="30" t="s">
        <v>38</v>
      </c>
      <c r="F430" s="30" t="s">
        <v>43</v>
      </c>
      <c r="G430" s="33">
        <v>1.485576</v>
      </c>
      <c r="H430" s="83" t="s">
        <v>88</v>
      </c>
    </row>
    <row r="431" spans="1:8" ht="16.5" customHeight="1" x14ac:dyDescent="0.25">
      <c r="A431" s="27">
        <v>45708</v>
      </c>
      <c r="B431" s="80">
        <v>2025</v>
      </c>
      <c r="C431" s="80">
        <v>2</v>
      </c>
      <c r="D431" s="30" t="s">
        <v>37</v>
      </c>
      <c r="E431" s="30" t="s">
        <v>42</v>
      </c>
      <c r="F431" s="30" t="s">
        <v>43</v>
      </c>
      <c r="G431" s="33">
        <v>4.6170460000000002</v>
      </c>
      <c r="H431" s="83" t="s">
        <v>88</v>
      </c>
    </row>
    <row r="432" spans="1:8" ht="16.5" customHeight="1" x14ac:dyDescent="0.25">
      <c r="A432" s="27">
        <v>45708</v>
      </c>
      <c r="B432" s="80">
        <v>2025</v>
      </c>
      <c r="C432" s="80">
        <v>2</v>
      </c>
      <c r="D432" s="30" t="s">
        <v>37</v>
      </c>
      <c r="E432" s="30" t="s">
        <v>46</v>
      </c>
      <c r="F432" s="30" t="s">
        <v>43</v>
      </c>
      <c r="G432" s="33">
        <v>1.0709354</v>
      </c>
      <c r="H432" s="83" t="s">
        <v>88</v>
      </c>
    </row>
    <row r="433" spans="1:8" ht="16.5" customHeight="1" x14ac:dyDescent="0.25">
      <c r="A433" s="27">
        <v>45708</v>
      </c>
      <c r="B433" s="80">
        <v>2025</v>
      </c>
      <c r="C433" s="80">
        <v>2</v>
      </c>
      <c r="D433" s="30" t="s">
        <v>37</v>
      </c>
      <c r="E433" s="30" t="s">
        <v>50</v>
      </c>
      <c r="F433" s="30" t="s">
        <v>39</v>
      </c>
      <c r="G433" s="33">
        <v>3.472915</v>
      </c>
      <c r="H433" s="83" t="s">
        <v>88</v>
      </c>
    </row>
    <row r="434" spans="1:8" ht="16.5" customHeight="1" x14ac:dyDescent="0.25">
      <c r="A434" s="27">
        <v>45708</v>
      </c>
      <c r="B434" s="80">
        <v>2025</v>
      </c>
      <c r="C434" s="80">
        <v>2</v>
      </c>
      <c r="D434" s="30" t="s">
        <v>37</v>
      </c>
      <c r="E434" s="30" t="s">
        <v>50</v>
      </c>
      <c r="F434" s="30" t="s">
        <v>43</v>
      </c>
      <c r="G434" s="33">
        <v>4.8944099999999997</v>
      </c>
      <c r="H434" s="83" t="s">
        <v>88</v>
      </c>
    </row>
    <row r="435" spans="1:8" ht="16.5" customHeight="1" x14ac:dyDescent="0.25">
      <c r="A435" s="27">
        <v>45708</v>
      </c>
      <c r="B435" s="80">
        <v>2025</v>
      </c>
      <c r="C435" s="80">
        <v>2</v>
      </c>
      <c r="D435" s="30" t="s">
        <v>37</v>
      </c>
      <c r="E435" s="30" t="s">
        <v>50</v>
      </c>
      <c r="F435" s="30" t="s">
        <v>55</v>
      </c>
      <c r="G435" s="33">
        <v>0.32568000000000003</v>
      </c>
      <c r="H435" s="83" t="s">
        <v>88</v>
      </c>
    </row>
    <row r="436" spans="1:8" ht="16.5" customHeight="1" x14ac:dyDescent="0.25">
      <c r="A436" s="27">
        <v>45708</v>
      </c>
      <c r="B436" s="80">
        <v>2025</v>
      </c>
      <c r="C436" s="80">
        <v>2</v>
      </c>
      <c r="D436" s="30" t="s">
        <v>37</v>
      </c>
      <c r="E436" s="30" t="s">
        <v>50</v>
      </c>
      <c r="F436" s="30" t="s">
        <v>58</v>
      </c>
      <c r="G436" s="33">
        <v>0.82655285000000001</v>
      </c>
      <c r="H436" s="83" t="s">
        <v>88</v>
      </c>
    </row>
    <row r="437" spans="1:8" ht="16.5" customHeight="1" x14ac:dyDescent="0.25">
      <c r="A437" s="27">
        <v>45708</v>
      </c>
      <c r="B437" s="80">
        <v>2025</v>
      </c>
      <c r="C437" s="80">
        <v>2</v>
      </c>
      <c r="D437" s="30" t="s">
        <v>37</v>
      </c>
      <c r="E437" s="30" t="s">
        <v>54</v>
      </c>
      <c r="F437" s="30" t="s">
        <v>43</v>
      </c>
      <c r="G437" s="33">
        <v>1.92</v>
      </c>
      <c r="H437" s="83" t="s">
        <v>88</v>
      </c>
    </row>
    <row r="438" spans="1:8" ht="16.5" customHeight="1" x14ac:dyDescent="0.25">
      <c r="A438" s="27">
        <v>45708</v>
      </c>
      <c r="B438" s="80">
        <v>2025</v>
      </c>
      <c r="C438" s="80">
        <v>2</v>
      </c>
      <c r="D438" s="30" t="s">
        <v>37</v>
      </c>
      <c r="E438" s="30" t="s">
        <v>57</v>
      </c>
      <c r="F438" s="30" t="s">
        <v>43</v>
      </c>
      <c r="G438" s="33">
        <v>7.7348499999999998</v>
      </c>
      <c r="H438" s="83" t="s">
        <v>89</v>
      </c>
    </row>
    <row r="439" spans="1:8" ht="16.5" customHeight="1" x14ac:dyDescent="0.25">
      <c r="A439" s="27">
        <v>45708</v>
      </c>
      <c r="B439" s="80">
        <v>2025</v>
      </c>
      <c r="C439" s="80">
        <v>2</v>
      </c>
      <c r="D439" s="30" t="s">
        <v>37</v>
      </c>
      <c r="E439" s="30" t="s">
        <v>66</v>
      </c>
      <c r="F439" s="30" t="s">
        <v>51</v>
      </c>
      <c r="G439" s="33">
        <v>2.4</v>
      </c>
      <c r="H439" s="83" t="s">
        <v>89</v>
      </c>
    </row>
    <row r="440" spans="1:8" ht="16.5" customHeight="1" x14ac:dyDescent="0.25">
      <c r="A440" s="27">
        <v>45708</v>
      </c>
      <c r="B440" s="80">
        <v>2025</v>
      </c>
      <c r="C440" s="80">
        <v>2</v>
      </c>
      <c r="D440" s="30" t="s">
        <v>37</v>
      </c>
      <c r="E440" s="30" t="s">
        <v>71</v>
      </c>
      <c r="F440" s="30" t="s">
        <v>39</v>
      </c>
      <c r="G440" s="33">
        <v>56.058750000000003</v>
      </c>
      <c r="H440" s="83" t="s">
        <v>89</v>
      </c>
    </row>
    <row r="441" spans="1:8" ht="16.5" customHeight="1" x14ac:dyDescent="0.25">
      <c r="A441" s="27">
        <v>45708</v>
      </c>
      <c r="B441" s="80">
        <v>2025</v>
      </c>
      <c r="C441" s="80">
        <v>2</v>
      </c>
      <c r="D441" s="30" t="s">
        <v>37</v>
      </c>
      <c r="E441" s="30" t="s">
        <v>71</v>
      </c>
      <c r="F441" s="30" t="s">
        <v>43</v>
      </c>
      <c r="G441" s="33">
        <v>11.33</v>
      </c>
      <c r="H441" s="83" t="s">
        <v>89</v>
      </c>
    </row>
    <row r="442" spans="1:8" ht="16.5" customHeight="1" x14ac:dyDescent="0.25">
      <c r="A442" s="27">
        <v>45708</v>
      </c>
      <c r="B442" s="80">
        <v>2025</v>
      </c>
      <c r="C442" s="80">
        <v>2</v>
      </c>
      <c r="D442" s="30" t="s">
        <v>37</v>
      </c>
      <c r="E442" s="30" t="s">
        <v>75</v>
      </c>
      <c r="F442" s="30" t="s">
        <v>43</v>
      </c>
      <c r="G442" s="33">
        <v>4.44672</v>
      </c>
      <c r="H442" s="83" t="s">
        <v>48</v>
      </c>
    </row>
    <row r="443" spans="1:8" ht="16.5" customHeight="1" x14ac:dyDescent="0.25">
      <c r="A443" s="27">
        <v>45709</v>
      </c>
      <c r="B443" s="80">
        <v>2025</v>
      </c>
      <c r="C443" s="80">
        <v>2</v>
      </c>
      <c r="D443" s="30" t="s">
        <v>37</v>
      </c>
      <c r="E443" s="30" t="s">
        <v>38</v>
      </c>
      <c r="F443" s="30" t="s">
        <v>43</v>
      </c>
      <c r="G443" s="33">
        <v>7.5839999999999996</v>
      </c>
      <c r="H443" s="83" t="s">
        <v>88</v>
      </c>
    </row>
    <row r="444" spans="1:8" ht="16.5" customHeight="1" x14ac:dyDescent="0.25">
      <c r="A444" s="27">
        <v>45709</v>
      </c>
      <c r="B444" s="80">
        <v>2025</v>
      </c>
      <c r="C444" s="80">
        <v>2</v>
      </c>
      <c r="D444" s="30" t="s">
        <v>37</v>
      </c>
      <c r="E444" s="30" t="s">
        <v>42</v>
      </c>
      <c r="F444" s="30" t="s">
        <v>43</v>
      </c>
      <c r="G444" s="33">
        <v>30.898</v>
      </c>
      <c r="H444" s="83" t="s">
        <v>88</v>
      </c>
    </row>
    <row r="445" spans="1:8" ht="16.5" customHeight="1" x14ac:dyDescent="0.25">
      <c r="A445" s="27">
        <v>45709</v>
      </c>
      <c r="B445" s="80">
        <v>2025</v>
      </c>
      <c r="C445" s="80">
        <v>2</v>
      </c>
      <c r="D445" s="30" t="s">
        <v>37</v>
      </c>
      <c r="E445" s="30" t="s">
        <v>46</v>
      </c>
      <c r="F445" s="30" t="s">
        <v>43</v>
      </c>
      <c r="G445" s="33">
        <v>0.31660199999999999</v>
      </c>
      <c r="H445" s="83" t="s">
        <v>88</v>
      </c>
    </row>
    <row r="446" spans="1:8" ht="16.5" customHeight="1" x14ac:dyDescent="0.25">
      <c r="A446" s="27">
        <v>45709</v>
      </c>
      <c r="B446" s="80">
        <v>2025</v>
      </c>
      <c r="C446" s="80">
        <v>2</v>
      </c>
      <c r="D446" s="30" t="s">
        <v>37</v>
      </c>
      <c r="E446" s="30" t="s">
        <v>46</v>
      </c>
      <c r="F446" s="30" t="s">
        <v>58</v>
      </c>
      <c r="G446" s="33">
        <v>1.8970272210000001</v>
      </c>
      <c r="H446" s="83" t="s">
        <v>88</v>
      </c>
    </row>
    <row r="447" spans="1:8" ht="16.5" customHeight="1" x14ac:dyDescent="0.25">
      <c r="A447" s="27">
        <v>45709</v>
      </c>
      <c r="B447" s="80">
        <v>2025</v>
      </c>
      <c r="C447" s="80">
        <v>2</v>
      </c>
      <c r="D447" s="30" t="s">
        <v>37</v>
      </c>
      <c r="E447" s="30" t="s">
        <v>50</v>
      </c>
      <c r="F447" s="30" t="s">
        <v>43</v>
      </c>
      <c r="G447" s="33">
        <v>0</v>
      </c>
      <c r="H447" s="83" t="s">
        <v>88</v>
      </c>
    </row>
    <row r="448" spans="1:8" ht="16.5" customHeight="1" x14ac:dyDescent="0.25">
      <c r="A448" s="27">
        <v>45709</v>
      </c>
      <c r="B448" s="80">
        <v>2025</v>
      </c>
      <c r="C448" s="80">
        <v>2</v>
      </c>
      <c r="D448" s="30" t="s">
        <v>37</v>
      </c>
      <c r="E448" s="30" t="s">
        <v>50</v>
      </c>
      <c r="F448" s="30" t="s">
        <v>47</v>
      </c>
      <c r="G448" s="33">
        <v>0.62160000000000004</v>
      </c>
      <c r="H448" s="83" t="s">
        <v>88</v>
      </c>
    </row>
    <row r="449" spans="1:8" ht="16.5" customHeight="1" x14ac:dyDescent="0.25">
      <c r="A449" s="27">
        <v>45709</v>
      </c>
      <c r="B449" s="80">
        <v>2025</v>
      </c>
      <c r="C449" s="80">
        <v>2</v>
      </c>
      <c r="D449" s="30" t="s">
        <v>37</v>
      </c>
      <c r="E449" s="30" t="s">
        <v>50</v>
      </c>
      <c r="F449" s="30" t="s">
        <v>51</v>
      </c>
      <c r="G449" s="33">
        <v>0.51</v>
      </c>
      <c r="H449" s="83" t="s">
        <v>88</v>
      </c>
    </row>
    <row r="450" spans="1:8" ht="16.5" customHeight="1" x14ac:dyDescent="0.25">
      <c r="A450" s="27">
        <v>45709</v>
      </c>
      <c r="B450" s="80">
        <v>2025</v>
      </c>
      <c r="C450" s="80">
        <v>2</v>
      </c>
      <c r="D450" s="30" t="s">
        <v>37</v>
      </c>
      <c r="E450" s="30" t="s">
        <v>50</v>
      </c>
      <c r="F450" s="30" t="s">
        <v>55</v>
      </c>
      <c r="G450" s="33">
        <v>1.218</v>
      </c>
      <c r="H450" s="83" t="s">
        <v>88</v>
      </c>
    </row>
    <row r="451" spans="1:8" ht="16.5" customHeight="1" x14ac:dyDescent="0.25">
      <c r="A451" s="27">
        <v>45709</v>
      </c>
      <c r="B451" s="80">
        <v>2025</v>
      </c>
      <c r="C451" s="80">
        <v>2</v>
      </c>
      <c r="D451" s="30" t="s">
        <v>37</v>
      </c>
      <c r="E451" s="30" t="s">
        <v>50</v>
      </c>
      <c r="F451" s="30" t="s">
        <v>58</v>
      </c>
      <c r="G451" s="33">
        <v>2.2434423200000002</v>
      </c>
      <c r="H451" s="83" t="s">
        <v>88</v>
      </c>
    </row>
    <row r="452" spans="1:8" ht="16.5" customHeight="1" x14ac:dyDescent="0.25">
      <c r="A452" s="27">
        <v>45709</v>
      </c>
      <c r="B452" s="80">
        <v>2025</v>
      </c>
      <c r="C452" s="80">
        <v>2</v>
      </c>
      <c r="D452" s="30" t="s">
        <v>37</v>
      </c>
      <c r="E452" s="30" t="s">
        <v>54</v>
      </c>
      <c r="F452" s="30" t="s">
        <v>43</v>
      </c>
      <c r="G452" s="33">
        <v>8.3740000000000006</v>
      </c>
      <c r="H452" s="83" t="s">
        <v>88</v>
      </c>
    </row>
    <row r="453" spans="1:8" ht="16.5" customHeight="1" x14ac:dyDescent="0.25">
      <c r="A453" s="27">
        <v>45709</v>
      </c>
      <c r="B453" s="80">
        <v>2025</v>
      </c>
      <c r="C453" s="80">
        <v>2</v>
      </c>
      <c r="D453" s="30" t="s">
        <v>37</v>
      </c>
      <c r="E453" s="30" t="s">
        <v>57</v>
      </c>
      <c r="F453" s="30" t="s">
        <v>43</v>
      </c>
      <c r="G453" s="33">
        <v>66.616079999999997</v>
      </c>
      <c r="H453" s="83" t="s">
        <v>89</v>
      </c>
    </row>
    <row r="454" spans="1:8" ht="16.5" customHeight="1" x14ac:dyDescent="0.25">
      <c r="A454" s="27">
        <v>45709</v>
      </c>
      <c r="B454" s="80">
        <v>2025</v>
      </c>
      <c r="C454" s="80">
        <v>2</v>
      </c>
      <c r="D454" s="30" t="s">
        <v>37</v>
      </c>
      <c r="E454" s="30" t="s">
        <v>61</v>
      </c>
      <c r="F454" s="30" t="s">
        <v>43</v>
      </c>
      <c r="G454" s="33">
        <v>6.2160000000000002</v>
      </c>
      <c r="H454" s="83" t="s">
        <v>89</v>
      </c>
    </row>
    <row r="455" spans="1:8" ht="16.5" customHeight="1" x14ac:dyDescent="0.25">
      <c r="A455" s="27">
        <v>45709</v>
      </c>
      <c r="B455" s="80">
        <v>2025</v>
      </c>
      <c r="C455" s="80">
        <v>2</v>
      </c>
      <c r="D455" s="30" t="s">
        <v>37</v>
      </c>
      <c r="E455" s="30" t="s">
        <v>75</v>
      </c>
      <c r="F455" s="30" t="s">
        <v>43</v>
      </c>
      <c r="G455" s="33">
        <v>17.350507</v>
      </c>
      <c r="H455" s="83" t="s">
        <v>48</v>
      </c>
    </row>
    <row r="456" spans="1:8" ht="16.5" customHeight="1" x14ac:dyDescent="0.25">
      <c r="A456" s="27">
        <v>45709</v>
      </c>
      <c r="B456" s="80">
        <v>2025</v>
      </c>
      <c r="C456" s="80">
        <v>2</v>
      </c>
      <c r="D456" s="30" t="s">
        <v>37</v>
      </c>
      <c r="E456" s="30" t="s">
        <v>76</v>
      </c>
      <c r="F456" s="30" t="s">
        <v>43</v>
      </c>
      <c r="G456" s="33">
        <v>45.175600000000003</v>
      </c>
      <c r="H456" s="83" t="s">
        <v>48</v>
      </c>
    </row>
    <row r="457" spans="1:8" ht="16.5" customHeight="1" x14ac:dyDescent="0.25">
      <c r="A457" s="27">
        <v>45710</v>
      </c>
      <c r="B457" s="80">
        <v>2025</v>
      </c>
      <c r="C457" s="80">
        <v>2</v>
      </c>
      <c r="D457" s="30" t="s">
        <v>37</v>
      </c>
      <c r="E457" s="30" t="s">
        <v>50</v>
      </c>
      <c r="F457" s="30" t="s">
        <v>43</v>
      </c>
      <c r="G457" s="33">
        <v>1.0518749999999999</v>
      </c>
      <c r="H457" s="83" t="s">
        <v>88</v>
      </c>
    </row>
    <row r="458" spans="1:8" ht="16.5" customHeight="1" x14ac:dyDescent="0.25">
      <c r="A458" s="27">
        <v>45710</v>
      </c>
      <c r="B458" s="80">
        <v>2025</v>
      </c>
      <c r="C458" s="80">
        <v>2</v>
      </c>
      <c r="D458" s="30" t="s">
        <v>37</v>
      </c>
      <c r="E458" s="30" t="s">
        <v>50</v>
      </c>
      <c r="F458" s="30" t="s">
        <v>51</v>
      </c>
      <c r="G458" s="33">
        <v>0.2465</v>
      </c>
      <c r="H458" s="83" t="s">
        <v>88</v>
      </c>
    </row>
    <row r="459" spans="1:8" ht="16.5" customHeight="1" x14ac:dyDescent="0.25">
      <c r="A459" s="27">
        <v>45712</v>
      </c>
      <c r="B459" s="80">
        <v>2025</v>
      </c>
      <c r="C459" s="80">
        <v>2</v>
      </c>
      <c r="D459" s="30" t="s">
        <v>37</v>
      </c>
      <c r="E459" s="30" t="s">
        <v>38</v>
      </c>
      <c r="F459" s="30" t="s">
        <v>43</v>
      </c>
      <c r="G459" s="33">
        <v>2.4319999999999999</v>
      </c>
      <c r="H459" s="83" t="s">
        <v>88</v>
      </c>
    </row>
    <row r="460" spans="1:8" ht="16.5" customHeight="1" x14ac:dyDescent="0.25">
      <c r="A460" s="27">
        <v>45712</v>
      </c>
      <c r="B460" s="80">
        <v>2025</v>
      </c>
      <c r="C460" s="80">
        <v>2</v>
      </c>
      <c r="D460" s="30" t="s">
        <v>37</v>
      </c>
      <c r="E460" s="30" t="s">
        <v>46</v>
      </c>
      <c r="F460" s="30" t="s">
        <v>43</v>
      </c>
      <c r="G460" s="33">
        <v>4.4599200000000003</v>
      </c>
      <c r="H460" s="83" t="s">
        <v>88</v>
      </c>
    </row>
    <row r="461" spans="1:8" ht="16.5" customHeight="1" x14ac:dyDescent="0.25">
      <c r="A461" s="27">
        <v>45712</v>
      </c>
      <c r="B461" s="80">
        <v>2025</v>
      </c>
      <c r="C461" s="80">
        <v>2</v>
      </c>
      <c r="D461" s="30" t="s">
        <v>37</v>
      </c>
      <c r="E461" s="30" t="s">
        <v>46</v>
      </c>
      <c r="F461" s="30" t="s">
        <v>58</v>
      </c>
      <c r="G461" s="33">
        <v>0.4771416</v>
      </c>
      <c r="H461" s="83" t="s">
        <v>88</v>
      </c>
    </row>
    <row r="462" spans="1:8" ht="16.5" customHeight="1" x14ac:dyDescent="0.25">
      <c r="A462" s="27">
        <v>45712</v>
      </c>
      <c r="B462" s="80">
        <v>2025</v>
      </c>
      <c r="C462" s="80">
        <v>2</v>
      </c>
      <c r="D462" s="30" t="s">
        <v>37</v>
      </c>
      <c r="E462" s="30" t="s">
        <v>50</v>
      </c>
      <c r="F462" s="30" t="s">
        <v>43</v>
      </c>
      <c r="G462" s="33">
        <v>1.0385115</v>
      </c>
      <c r="H462" s="83" t="s">
        <v>88</v>
      </c>
    </row>
    <row r="463" spans="1:8" ht="16.5" customHeight="1" x14ac:dyDescent="0.25">
      <c r="A463" s="27">
        <v>45712</v>
      </c>
      <c r="B463" s="80">
        <v>2025</v>
      </c>
      <c r="C463" s="80">
        <v>2</v>
      </c>
      <c r="D463" s="30" t="s">
        <v>37</v>
      </c>
      <c r="E463" s="30" t="s">
        <v>50</v>
      </c>
      <c r="F463" s="30" t="s">
        <v>47</v>
      </c>
      <c r="G463" s="33">
        <v>0.22831000000000001</v>
      </c>
      <c r="H463" s="83" t="s">
        <v>88</v>
      </c>
    </row>
    <row r="464" spans="1:8" ht="16.5" customHeight="1" x14ac:dyDescent="0.25">
      <c r="A464" s="27">
        <v>45712</v>
      </c>
      <c r="B464" s="80">
        <v>2025</v>
      </c>
      <c r="C464" s="80">
        <v>2</v>
      </c>
      <c r="D464" s="30" t="s">
        <v>37</v>
      </c>
      <c r="E464" s="30" t="s">
        <v>50</v>
      </c>
      <c r="F464" s="30" t="s">
        <v>51</v>
      </c>
      <c r="G464" s="33">
        <v>0.73950000000000005</v>
      </c>
      <c r="H464" s="83" t="s">
        <v>88</v>
      </c>
    </row>
    <row r="465" spans="1:8" ht="16.5" customHeight="1" x14ac:dyDescent="0.25">
      <c r="A465" s="27">
        <v>45712</v>
      </c>
      <c r="B465" s="80">
        <v>2025</v>
      </c>
      <c r="C465" s="80">
        <v>2</v>
      </c>
      <c r="D465" s="30" t="s">
        <v>37</v>
      </c>
      <c r="E465" s="30" t="s">
        <v>50</v>
      </c>
      <c r="F465" s="30" t="s">
        <v>58</v>
      </c>
      <c r="G465" s="33">
        <v>0.46750000000000003</v>
      </c>
      <c r="H465" s="83" t="s">
        <v>88</v>
      </c>
    </row>
    <row r="466" spans="1:8" ht="16.5" customHeight="1" x14ac:dyDescent="0.25">
      <c r="A466" s="27">
        <v>45712</v>
      </c>
      <c r="B466" s="80">
        <v>2025</v>
      </c>
      <c r="C466" s="80">
        <v>2</v>
      </c>
      <c r="D466" s="30" t="s">
        <v>37</v>
      </c>
      <c r="E466" s="30" t="s">
        <v>64</v>
      </c>
      <c r="F466" s="30" t="s">
        <v>43</v>
      </c>
      <c r="G466" s="33">
        <v>39.8352</v>
      </c>
      <c r="H466" s="83" t="s">
        <v>89</v>
      </c>
    </row>
    <row r="467" spans="1:8" ht="16.5" customHeight="1" x14ac:dyDescent="0.25">
      <c r="A467" s="27">
        <v>45712</v>
      </c>
      <c r="B467" s="80">
        <v>2025</v>
      </c>
      <c r="C467" s="80">
        <v>2</v>
      </c>
      <c r="D467" s="30" t="s">
        <v>37</v>
      </c>
      <c r="E467" s="30" t="s">
        <v>66</v>
      </c>
      <c r="F467" s="30" t="s">
        <v>43</v>
      </c>
      <c r="G467" s="33">
        <v>4.17</v>
      </c>
      <c r="H467" s="83" t="s">
        <v>89</v>
      </c>
    </row>
    <row r="468" spans="1:8" ht="16.5" customHeight="1" x14ac:dyDescent="0.25">
      <c r="A468" s="27">
        <v>45712</v>
      </c>
      <c r="B468" s="80">
        <v>2025</v>
      </c>
      <c r="C468" s="80">
        <v>2</v>
      </c>
      <c r="D468" s="30" t="s">
        <v>37</v>
      </c>
      <c r="E468" s="30" t="s">
        <v>68</v>
      </c>
      <c r="F468" s="30" t="s">
        <v>43</v>
      </c>
      <c r="G468" s="33">
        <v>2.3344999999999998</v>
      </c>
      <c r="H468" s="83" t="s">
        <v>89</v>
      </c>
    </row>
    <row r="469" spans="1:8" ht="16.5" customHeight="1" x14ac:dyDescent="0.25">
      <c r="A469" s="27">
        <v>45712</v>
      </c>
      <c r="B469" s="80">
        <v>2025</v>
      </c>
      <c r="C469" s="80">
        <v>2</v>
      </c>
      <c r="D469" s="30" t="s">
        <v>37</v>
      </c>
      <c r="E469" s="30" t="s">
        <v>71</v>
      </c>
      <c r="F469" s="30" t="s">
        <v>55</v>
      </c>
      <c r="G469" s="33">
        <v>0.74951999999999996</v>
      </c>
      <c r="H469" s="83" t="s">
        <v>89</v>
      </c>
    </row>
    <row r="470" spans="1:8" ht="16.5" customHeight="1" x14ac:dyDescent="0.25">
      <c r="A470" s="27">
        <v>45712</v>
      </c>
      <c r="B470" s="80">
        <v>2025</v>
      </c>
      <c r="C470" s="80">
        <v>2</v>
      </c>
      <c r="D470" s="30" t="s">
        <v>37</v>
      </c>
      <c r="E470" s="30" t="s">
        <v>75</v>
      </c>
      <c r="F470" s="30" t="s">
        <v>43</v>
      </c>
      <c r="G470" s="33">
        <v>13.78125</v>
      </c>
      <c r="H470" s="83" t="s">
        <v>48</v>
      </c>
    </row>
    <row r="471" spans="1:8" ht="16.5" customHeight="1" x14ac:dyDescent="0.25">
      <c r="A471" s="27">
        <v>45713</v>
      </c>
      <c r="B471" s="80">
        <v>2025</v>
      </c>
      <c r="C471" s="80">
        <v>2</v>
      </c>
      <c r="D471" s="30" t="s">
        <v>37</v>
      </c>
      <c r="E471" s="30" t="s">
        <v>38</v>
      </c>
      <c r="F471" s="30" t="s">
        <v>43</v>
      </c>
      <c r="G471" s="33">
        <v>6.6870000000000003</v>
      </c>
      <c r="H471" s="83" t="s">
        <v>88</v>
      </c>
    </row>
    <row r="472" spans="1:8" ht="16.5" customHeight="1" x14ac:dyDescent="0.25">
      <c r="A472" s="27">
        <v>45713</v>
      </c>
      <c r="B472" s="80">
        <v>2025</v>
      </c>
      <c r="C472" s="80">
        <v>2</v>
      </c>
      <c r="D472" s="30" t="s">
        <v>37</v>
      </c>
      <c r="E472" s="30" t="s">
        <v>38</v>
      </c>
      <c r="F472" s="30" t="s">
        <v>55</v>
      </c>
      <c r="G472" s="33">
        <v>0.33</v>
      </c>
      <c r="H472" s="83" t="s">
        <v>88</v>
      </c>
    </row>
    <row r="473" spans="1:8" ht="16.5" customHeight="1" x14ac:dyDescent="0.25">
      <c r="A473" s="27">
        <v>45713</v>
      </c>
      <c r="B473" s="80">
        <v>2025</v>
      </c>
      <c r="C473" s="80">
        <v>2</v>
      </c>
      <c r="D473" s="30" t="s">
        <v>37</v>
      </c>
      <c r="E473" s="30" t="s">
        <v>42</v>
      </c>
      <c r="F473" s="30" t="s">
        <v>43</v>
      </c>
      <c r="G473" s="33">
        <v>2.0499999999999998</v>
      </c>
      <c r="H473" s="83" t="s">
        <v>88</v>
      </c>
    </row>
    <row r="474" spans="1:8" ht="16.5" customHeight="1" x14ac:dyDescent="0.25">
      <c r="A474" s="27">
        <v>45713</v>
      </c>
      <c r="B474" s="80">
        <v>2025</v>
      </c>
      <c r="C474" s="80">
        <v>2</v>
      </c>
      <c r="D474" s="30" t="s">
        <v>37</v>
      </c>
      <c r="E474" s="30" t="s">
        <v>46</v>
      </c>
      <c r="F474" s="30" t="s">
        <v>43</v>
      </c>
      <c r="G474" s="33">
        <v>0.90199589999999996</v>
      </c>
      <c r="H474" s="83" t="s">
        <v>88</v>
      </c>
    </row>
    <row r="475" spans="1:8" ht="16.5" customHeight="1" x14ac:dyDescent="0.25">
      <c r="A475" s="27">
        <v>45713</v>
      </c>
      <c r="B475" s="80">
        <v>2025</v>
      </c>
      <c r="C475" s="80">
        <v>2</v>
      </c>
      <c r="D475" s="30" t="s">
        <v>37</v>
      </c>
      <c r="E475" s="30" t="s">
        <v>46</v>
      </c>
      <c r="F475" s="30" t="s">
        <v>47</v>
      </c>
      <c r="G475" s="33">
        <v>2.35089777</v>
      </c>
      <c r="H475" s="83" t="s">
        <v>88</v>
      </c>
    </row>
    <row r="476" spans="1:8" ht="16.5" customHeight="1" x14ac:dyDescent="0.25">
      <c r="A476" s="27">
        <v>45713</v>
      </c>
      <c r="B476" s="80">
        <v>2025</v>
      </c>
      <c r="C476" s="80">
        <v>2</v>
      </c>
      <c r="D476" s="30" t="s">
        <v>37</v>
      </c>
      <c r="E476" s="30" t="s">
        <v>46</v>
      </c>
      <c r="F476" s="30" t="s">
        <v>58</v>
      </c>
      <c r="G476" s="33">
        <v>0.13477171499999999</v>
      </c>
      <c r="H476" s="83" t="s">
        <v>88</v>
      </c>
    </row>
    <row r="477" spans="1:8" ht="16.5" customHeight="1" x14ac:dyDescent="0.25">
      <c r="A477" s="27">
        <v>45713</v>
      </c>
      <c r="B477" s="80">
        <v>2025</v>
      </c>
      <c r="C477" s="80">
        <v>2</v>
      </c>
      <c r="D477" s="30" t="s">
        <v>37</v>
      </c>
      <c r="E477" s="30" t="s">
        <v>50</v>
      </c>
      <c r="F477" s="30" t="s">
        <v>43</v>
      </c>
      <c r="G477" s="33">
        <v>2.3108939999999998</v>
      </c>
      <c r="H477" s="83" t="s">
        <v>88</v>
      </c>
    </row>
    <row r="478" spans="1:8" ht="16.5" customHeight="1" x14ac:dyDescent="0.25">
      <c r="A478" s="27">
        <v>45713</v>
      </c>
      <c r="B478" s="80">
        <v>2025</v>
      </c>
      <c r="C478" s="80">
        <v>2</v>
      </c>
      <c r="D478" s="30" t="s">
        <v>37</v>
      </c>
      <c r="E478" s="30" t="s">
        <v>50</v>
      </c>
      <c r="F478" s="30" t="s">
        <v>47</v>
      </c>
      <c r="G478" s="33">
        <v>0.4304</v>
      </c>
      <c r="H478" s="83" t="s">
        <v>88</v>
      </c>
    </row>
    <row r="479" spans="1:8" ht="16.5" customHeight="1" x14ac:dyDescent="0.25">
      <c r="A479" s="27">
        <v>45713</v>
      </c>
      <c r="B479" s="80">
        <v>2025</v>
      </c>
      <c r="C479" s="80">
        <v>2</v>
      </c>
      <c r="D479" s="30" t="s">
        <v>37</v>
      </c>
      <c r="E479" s="30" t="s">
        <v>50</v>
      </c>
      <c r="F479" s="30" t="s">
        <v>55</v>
      </c>
      <c r="G479" s="33">
        <v>0.32568000000000003</v>
      </c>
      <c r="H479" s="83" t="s">
        <v>88</v>
      </c>
    </row>
    <row r="480" spans="1:8" ht="16.5" customHeight="1" x14ac:dyDescent="0.25">
      <c r="A480" s="27">
        <v>45713</v>
      </c>
      <c r="B480" s="80">
        <v>2025</v>
      </c>
      <c r="C480" s="80">
        <v>2</v>
      </c>
      <c r="D480" s="30" t="s">
        <v>37</v>
      </c>
      <c r="E480" s="30" t="s">
        <v>50</v>
      </c>
      <c r="F480" s="30" t="s">
        <v>58</v>
      </c>
      <c r="G480" s="33">
        <v>3.5279056</v>
      </c>
      <c r="H480" s="83" t="s">
        <v>88</v>
      </c>
    </row>
    <row r="481" spans="1:8" ht="16.5" customHeight="1" x14ac:dyDescent="0.25">
      <c r="A481" s="27">
        <v>45713</v>
      </c>
      <c r="B481" s="80">
        <v>2025</v>
      </c>
      <c r="C481" s="80">
        <v>2</v>
      </c>
      <c r="D481" s="30" t="s">
        <v>37</v>
      </c>
      <c r="E481" s="30" t="s">
        <v>54</v>
      </c>
      <c r="F481" s="30" t="s">
        <v>43</v>
      </c>
      <c r="G481" s="33">
        <v>3.66</v>
      </c>
      <c r="H481" s="83" t="s">
        <v>88</v>
      </c>
    </row>
    <row r="482" spans="1:8" ht="16.5" customHeight="1" x14ac:dyDescent="0.25">
      <c r="A482" s="27">
        <v>45713</v>
      </c>
      <c r="B482" s="80">
        <v>2025</v>
      </c>
      <c r="C482" s="80">
        <v>2</v>
      </c>
      <c r="D482" s="30" t="s">
        <v>37</v>
      </c>
      <c r="E482" s="30" t="s">
        <v>66</v>
      </c>
      <c r="F482" s="30" t="s">
        <v>43</v>
      </c>
      <c r="G482" s="33">
        <v>20.872150000000001</v>
      </c>
      <c r="H482" s="83" t="s">
        <v>89</v>
      </c>
    </row>
    <row r="483" spans="1:8" ht="16.5" customHeight="1" x14ac:dyDescent="0.25">
      <c r="A483" s="27">
        <v>45714</v>
      </c>
      <c r="B483" s="80">
        <v>2025</v>
      </c>
      <c r="C483" s="80">
        <v>2</v>
      </c>
      <c r="D483" s="30" t="s">
        <v>37</v>
      </c>
      <c r="E483" s="30" t="s">
        <v>42</v>
      </c>
      <c r="F483" s="30" t="s">
        <v>43</v>
      </c>
      <c r="G483" s="33">
        <v>3.67</v>
      </c>
      <c r="H483" s="83" t="s">
        <v>88</v>
      </c>
    </row>
    <row r="484" spans="1:8" ht="16.5" customHeight="1" x14ac:dyDescent="0.25">
      <c r="A484" s="27">
        <v>45714</v>
      </c>
      <c r="B484" s="80">
        <v>2025</v>
      </c>
      <c r="C484" s="80">
        <v>2</v>
      </c>
      <c r="D484" s="30" t="s">
        <v>37</v>
      </c>
      <c r="E484" s="30" t="s">
        <v>46</v>
      </c>
      <c r="F484" s="30" t="s">
        <v>43</v>
      </c>
      <c r="G484" s="33">
        <v>5.4680633749999998</v>
      </c>
      <c r="H484" s="83" t="s">
        <v>88</v>
      </c>
    </row>
    <row r="485" spans="1:8" ht="16.5" customHeight="1" x14ac:dyDescent="0.25">
      <c r="A485" s="27">
        <v>45714</v>
      </c>
      <c r="B485" s="80">
        <v>2025</v>
      </c>
      <c r="C485" s="80">
        <v>2</v>
      </c>
      <c r="D485" s="30" t="s">
        <v>37</v>
      </c>
      <c r="E485" s="30" t="s">
        <v>46</v>
      </c>
      <c r="F485" s="30" t="s">
        <v>47</v>
      </c>
      <c r="G485" s="33">
        <v>0.14486940000000001</v>
      </c>
      <c r="H485" s="83" t="s">
        <v>88</v>
      </c>
    </row>
    <row r="486" spans="1:8" ht="16.5" customHeight="1" x14ac:dyDescent="0.25">
      <c r="A486" s="27">
        <v>45714</v>
      </c>
      <c r="B486" s="80">
        <v>2025</v>
      </c>
      <c r="C486" s="80">
        <v>2</v>
      </c>
      <c r="D486" s="30" t="s">
        <v>37</v>
      </c>
      <c r="E486" s="30" t="s">
        <v>46</v>
      </c>
      <c r="F486" s="30" t="s">
        <v>58</v>
      </c>
      <c r="G486" s="33">
        <v>1.171895058</v>
      </c>
      <c r="H486" s="83" t="s">
        <v>88</v>
      </c>
    </row>
    <row r="487" spans="1:8" ht="16.5" customHeight="1" x14ac:dyDescent="0.25">
      <c r="A487" s="27">
        <v>45714</v>
      </c>
      <c r="B487" s="80">
        <v>2025</v>
      </c>
      <c r="C487" s="80">
        <v>2</v>
      </c>
      <c r="D487" s="30" t="s">
        <v>37</v>
      </c>
      <c r="E487" s="30" t="s">
        <v>50</v>
      </c>
      <c r="F487" s="30" t="s">
        <v>39</v>
      </c>
      <c r="G487" s="33">
        <v>12.3262375</v>
      </c>
      <c r="H487" s="83" t="s">
        <v>88</v>
      </c>
    </row>
    <row r="488" spans="1:8" ht="16.5" customHeight="1" x14ac:dyDescent="0.25">
      <c r="A488" s="27">
        <v>45714</v>
      </c>
      <c r="B488" s="80">
        <v>2025</v>
      </c>
      <c r="C488" s="80">
        <v>2</v>
      </c>
      <c r="D488" s="30" t="s">
        <v>37</v>
      </c>
      <c r="E488" s="30" t="s">
        <v>50</v>
      </c>
      <c r="F488" s="30" t="s">
        <v>43</v>
      </c>
      <c r="G488" s="33">
        <v>46.480946299999999</v>
      </c>
      <c r="H488" s="83" t="s">
        <v>88</v>
      </c>
    </row>
    <row r="489" spans="1:8" ht="16.5" customHeight="1" x14ac:dyDescent="0.25">
      <c r="A489" s="27">
        <v>45714</v>
      </c>
      <c r="B489" s="80">
        <v>2025</v>
      </c>
      <c r="C489" s="80">
        <v>2</v>
      </c>
      <c r="D489" s="30" t="s">
        <v>37</v>
      </c>
      <c r="E489" s="30" t="s">
        <v>50</v>
      </c>
      <c r="F489" s="30" t="s">
        <v>47</v>
      </c>
      <c r="G489" s="33">
        <v>1.7103999999999999</v>
      </c>
      <c r="H489" s="83" t="s">
        <v>88</v>
      </c>
    </row>
    <row r="490" spans="1:8" ht="16.5" customHeight="1" x14ac:dyDescent="0.25">
      <c r="A490" s="27">
        <v>45714</v>
      </c>
      <c r="B490" s="80">
        <v>2025</v>
      </c>
      <c r="C490" s="80">
        <v>2</v>
      </c>
      <c r="D490" s="30" t="s">
        <v>37</v>
      </c>
      <c r="E490" s="30" t="s">
        <v>50</v>
      </c>
      <c r="F490" s="30" t="s">
        <v>55</v>
      </c>
      <c r="G490" s="33">
        <v>1.2012</v>
      </c>
      <c r="H490" s="83" t="s">
        <v>88</v>
      </c>
    </row>
    <row r="491" spans="1:8" ht="16.5" customHeight="1" x14ac:dyDescent="0.25">
      <c r="A491" s="27">
        <v>45714</v>
      </c>
      <c r="B491" s="80">
        <v>2025</v>
      </c>
      <c r="C491" s="80">
        <v>2</v>
      </c>
      <c r="D491" s="30" t="s">
        <v>37</v>
      </c>
      <c r="E491" s="30" t="s">
        <v>50</v>
      </c>
      <c r="F491" s="30" t="s">
        <v>58</v>
      </c>
      <c r="G491" s="33">
        <v>4.2549355999999996</v>
      </c>
      <c r="H491" s="83" t="s">
        <v>88</v>
      </c>
    </row>
    <row r="492" spans="1:8" ht="16.5" customHeight="1" x14ac:dyDescent="0.25">
      <c r="A492" s="27">
        <v>45714</v>
      </c>
      <c r="B492" s="80">
        <v>2025</v>
      </c>
      <c r="C492" s="80">
        <v>2</v>
      </c>
      <c r="D492" s="30" t="s">
        <v>37</v>
      </c>
      <c r="E492" s="30" t="s">
        <v>54</v>
      </c>
      <c r="F492" s="30" t="s">
        <v>43</v>
      </c>
      <c r="G492" s="33">
        <v>1.01475</v>
      </c>
      <c r="H492" s="83" t="s">
        <v>88</v>
      </c>
    </row>
    <row r="493" spans="1:8" ht="16.5" customHeight="1" x14ac:dyDescent="0.25">
      <c r="A493" s="27">
        <v>45714</v>
      </c>
      <c r="B493" s="80">
        <v>2025</v>
      </c>
      <c r="C493" s="80">
        <v>2</v>
      </c>
      <c r="D493" s="30" t="s">
        <v>37</v>
      </c>
      <c r="E493" s="30" t="s">
        <v>68</v>
      </c>
      <c r="F493" s="30" t="s">
        <v>43</v>
      </c>
      <c r="G493" s="33">
        <v>2.9039999999999999</v>
      </c>
      <c r="H493" s="83" t="s">
        <v>89</v>
      </c>
    </row>
    <row r="494" spans="1:8" ht="16.5" customHeight="1" x14ac:dyDescent="0.25">
      <c r="A494" s="27">
        <v>45714</v>
      </c>
      <c r="B494" s="80">
        <v>2025</v>
      </c>
      <c r="C494" s="80">
        <v>2</v>
      </c>
      <c r="D494" s="30" t="s">
        <v>37</v>
      </c>
      <c r="E494" s="30" t="s">
        <v>71</v>
      </c>
      <c r="F494" s="30" t="s">
        <v>43</v>
      </c>
      <c r="G494" s="33">
        <v>5.3087499999999999</v>
      </c>
      <c r="H494" s="83" t="s">
        <v>89</v>
      </c>
    </row>
    <row r="495" spans="1:8" ht="16.5" customHeight="1" x14ac:dyDescent="0.25">
      <c r="A495" s="27">
        <v>45714</v>
      </c>
      <c r="B495" s="80">
        <v>2025</v>
      </c>
      <c r="C495" s="80">
        <v>2</v>
      </c>
      <c r="D495" s="30" t="s">
        <v>37</v>
      </c>
      <c r="E495" s="30" t="s">
        <v>75</v>
      </c>
      <c r="F495" s="30" t="s">
        <v>43</v>
      </c>
      <c r="G495" s="33">
        <v>1.433025</v>
      </c>
      <c r="H495" s="83" t="s">
        <v>48</v>
      </c>
    </row>
    <row r="496" spans="1:8" ht="16.5" customHeight="1" x14ac:dyDescent="0.25">
      <c r="A496" s="27">
        <v>45715</v>
      </c>
      <c r="B496" s="80">
        <v>2025</v>
      </c>
      <c r="C496" s="80">
        <v>2</v>
      </c>
      <c r="D496" s="30" t="s">
        <v>37</v>
      </c>
      <c r="E496" s="30" t="s">
        <v>38</v>
      </c>
      <c r="F496" s="30" t="s">
        <v>58</v>
      </c>
      <c r="G496" s="33">
        <v>3.25</v>
      </c>
      <c r="H496" s="83" t="s">
        <v>88</v>
      </c>
    </row>
    <row r="497" spans="1:8" ht="16.5" customHeight="1" x14ac:dyDescent="0.25">
      <c r="A497" s="27">
        <v>45715</v>
      </c>
      <c r="B497" s="80">
        <v>2025</v>
      </c>
      <c r="C497" s="80">
        <v>2</v>
      </c>
      <c r="D497" s="30" t="s">
        <v>37</v>
      </c>
      <c r="E497" s="30" t="s">
        <v>42</v>
      </c>
      <c r="F497" s="30" t="s">
        <v>43</v>
      </c>
      <c r="G497" s="33">
        <v>8.2567500000000003</v>
      </c>
      <c r="H497" s="83" t="s">
        <v>88</v>
      </c>
    </row>
    <row r="498" spans="1:8" ht="16.5" customHeight="1" x14ac:dyDescent="0.25">
      <c r="A498" s="27">
        <v>45715</v>
      </c>
      <c r="B498" s="80">
        <v>2025</v>
      </c>
      <c r="C498" s="80">
        <v>2</v>
      </c>
      <c r="D498" s="30" t="s">
        <v>37</v>
      </c>
      <c r="E498" s="30" t="s">
        <v>46</v>
      </c>
      <c r="F498" s="30" t="s">
        <v>58</v>
      </c>
      <c r="G498" s="33">
        <v>0.61053817499999996</v>
      </c>
      <c r="H498" s="83" t="s">
        <v>88</v>
      </c>
    </row>
    <row r="499" spans="1:8" ht="16.5" customHeight="1" x14ac:dyDescent="0.25">
      <c r="A499" s="27">
        <v>45715</v>
      </c>
      <c r="B499" s="80">
        <v>2025</v>
      </c>
      <c r="C499" s="80">
        <v>2</v>
      </c>
      <c r="D499" s="30" t="s">
        <v>37</v>
      </c>
      <c r="E499" s="30" t="s">
        <v>50</v>
      </c>
      <c r="F499" s="30" t="s">
        <v>43</v>
      </c>
      <c r="G499" s="33">
        <v>10.441398</v>
      </c>
      <c r="H499" s="83" t="s">
        <v>88</v>
      </c>
    </row>
    <row r="500" spans="1:8" ht="16.5" customHeight="1" x14ac:dyDescent="0.25">
      <c r="A500" s="27">
        <v>45715</v>
      </c>
      <c r="B500" s="80">
        <v>2025</v>
      </c>
      <c r="C500" s="80">
        <v>2</v>
      </c>
      <c r="D500" s="30" t="s">
        <v>37</v>
      </c>
      <c r="E500" s="30" t="s">
        <v>50</v>
      </c>
      <c r="F500" s="30" t="s">
        <v>47</v>
      </c>
      <c r="G500" s="33">
        <v>0.62160000000000004</v>
      </c>
      <c r="H500" s="83" t="s">
        <v>88</v>
      </c>
    </row>
    <row r="501" spans="1:8" ht="16.5" customHeight="1" x14ac:dyDescent="0.25">
      <c r="A501" s="27">
        <v>45715</v>
      </c>
      <c r="B501" s="80">
        <v>2025</v>
      </c>
      <c r="C501" s="80">
        <v>2</v>
      </c>
      <c r="D501" s="30" t="s">
        <v>37</v>
      </c>
      <c r="E501" s="30" t="s">
        <v>50</v>
      </c>
      <c r="F501" s="30" t="s">
        <v>55</v>
      </c>
      <c r="G501" s="33">
        <v>0.621</v>
      </c>
      <c r="H501" s="83" t="s">
        <v>88</v>
      </c>
    </row>
    <row r="502" spans="1:8" ht="16.5" customHeight="1" x14ac:dyDescent="0.25">
      <c r="A502" s="27">
        <v>45715</v>
      </c>
      <c r="B502" s="80">
        <v>2025</v>
      </c>
      <c r="C502" s="80">
        <v>2</v>
      </c>
      <c r="D502" s="30" t="s">
        <v>37</v>
      </c>
      <c r="E502" s="30" t="s">
        <v>54</v>
      </c>
      <c r="F502" s="30" t="s">
        <v>43</v>
      </c>
      <c r="G502" s="33">
        <v>5.2022500000000003</v>
      </c>
      <c r="H502" s="83" t="s">
        <v>88</v>
      </c>
    </row>
    <row r="503" spans="1:8" ht="16.5" customHeight="1" x14ac:dyDescent="0.25">
      <c r="A503" s="27">
        <v>45715</v>
      </c>
      <c r="B503" s="80">
        <v>2025</v>
      </c>
      <c r="C503" s="80">
        <v>2</v>
      </c>
      <c r="D503" s="30" t="s">
        <v>37</v>
      </c>
      <c r="E503" s="30" t="s">
        <v>54</v>
      </c>
      <c r="F503" s="30" t="s">
        <v>47</v>
      </c>
      <c r="G503" s="33">
        <v>0.56999999999999995</v>
      </c>
      <c r="H503" s="83" t="s">
        <v>88</v>
      </c>
    </row>
    <row r="504" spans="1:8" ht="16.5" customHeight="1" x14ac:dyDescent="0.25">
      <c r="A504" s="27">
        <v>45715</v>
      </c>
      <c r="B504" s="80">
        <v>2025</v>
      </c>
      <c r="C504" s="80">
        <v>2</v>
      </c>
      <c r="D504" s="30" t="s">
        <v>37</v>
      </c>
      <c r="E504" s="30" t="s">
        <v>61</v>
      </c>
      <c r="F504" s="30" t="s">
        <v>43</v>
      </c>
      <c r="G504" s="33">
        <v>2.0299999999999998</v>
      </c>
      <c r="H504" s="83" t="s">
        <v>89</v>
      </c>
    </row>
    <row r="505" spans="1:8" ht="16.5" customHeight="1" x14ac:dyDescent="0.25">
      <c r="A505" s="27">
        <v>45715</v>
      </c>
      <c r="B505" s="80">
        <v>2025</v>
      </c>
      <c r="C505" s="80">
        <v>2</v>
      </c>
      <c r="D505" s="30" t="s">
        <v>37</v>
      </c>
      <c r="E505" s="30" t="s">
        <v>64</v>
      </c>
      <c r="F505" s="30" t="s">
        <v>43</v>
      </c>
      <c r="G505" s="33">
        <v>5.7149999999999999</v>
      </c>
      <c r="H505" s="83" t="s">
        <v>89</v>
      </c>
    </row>
    <row r="506" spans="1:8" ht="16.5" customHeight="1" x14ac:dyDescent="0.25">
      <c r="A506" s="27">
        <v>45715</v>
      </c>
      <c r="B506" s="80">
        <v>2025</v>
      </c>
      <c r="C506" s="80">
        <v>2</v>
      </c>
      <c r="D506" s="30" t="s">
        <v>37</v>
      </c>
      <c r="E506" s="30" t="s">
        <v>66</v>
      </c>
      <c r="F506" s="30" t="s">
        <v>43</v>
      </c>
      <c r="G506" s="33">
        <v>2.9180000000000001</v>
      </c>
      <c r="H506" s="83" t="s">
        <v>89</v>
      </c>
    </row>
    <row r="507" spans="1:8" ht="16.5" customHeight="1" x14ac:dyDescent="0.25">
      <c r="A507" s="27">
        <v>45715</v>
      </c>
      <c r="B507" s="80">
        <v>2025</v>
      </c>
      <c r="C507" s="80">
        <v>2</v>
      </c>
      <c r="D507" s="30" t="s">
        <v>37</v>
      </c>
      <c r="E507" s="30" t="s">
        <v>76</v>
      </c>
      <c r="F507" s="30" t="s">
        <v>39</v>
      </c>
      <c r="G507" s="33">
        <v>54.621279999999999</v>
      </c>
      <c r="H507" s="83" t="s">
        <v>48</v>
      </c>
    </row>
    <row r="508" spans="1:8" ht="16.5" customHeight="1" x14ac:dyDescent="0.25">
      <c r="A508" s="27">
        <v>45716</v>
      </c>
      <c r="B508" s="80">
        <v>2025</v>
      </c>
      <c r="C508" s="80">
        <v>2</v>
      </c>
      <c r="D508" s="30" t="s">
        <v>37</v>
      </c>
      <c r="E508" s="30" t="s">
        <v>38</v>
      </c>
      <c r="F508" s="30" t="s">
        <v>43</v>
      </c>
      <c r="G508" s="33">
        <v>10.555999999999999</v>
      </c>
      <c r="H508" s="83" t="s">
        <v>88</v>
      </c>
    </row>
    <row r="509" spans="1:8" ht="16.5" customHeight="1" x14ac:dyDescent="0.25">
      <c r="A509" s="27">
        <v>45716</v>
      </c>
      <c r="B509" s="80">
        <v>2025</v>
      </c>
      <c r="C509" s="80">
        <v>2</v>
      </c>
      <c r="D509" s="30" t="s">
        <v>37</v>
      </c>
      <c r="E509" s="30" t="s">
        <v>38</v>
      </c>
      <c r="F509" s="30" t="s">
        <v>47</v>
      </c>
      <c r="G509" s="33">
        <v>1.1850000000000001</v>
      </c>
      <c r="H509" s="83" t="s">
        <v>88</v>
      </c>
    </row>
    <row r="510" spans="1:8" ht="16.5" customHeight="1" x14ac:dyDescent="0.25">
      <c r="A510" s="27">
        <v>45716</v>
      </c>
      <c r="B510" s="80">
        <v>2025</v>
      </c>
      <c r="C510" s="80">
        <v>2</v>
      </c>
      <c r="D510" s="30" t="s">
        <v>37</v>
      </c>
      <c r="E510" s="30" t="s">
        <v>42</v>
      </c>
      <c r="F510" s="30" t="s">
        <v>43</v>
      </c>
      <c r="G510" s="33">
        <v>30.292400000000001</v>
      </c>
      <c r="H510" s="83" t="s">
        <v>88</v>
      </c>
    </row>
    <row r="511" spans="1:8" ht="16.5" customHeight="1" x14ac:dyDescent="0.25">
      <c r="A511" s="27">
        <v>45716</v>
      </c>
      <c r="B511" s="80">
        <v>2025</v>
      </c>
      <c r="C511" s="80">
        <v>2</v>
      </c>
      <c r="D511" s="30" t="s">
        <v>37</v>
      </c>
      <c r="E511" s="30" t="s">
        <v>42</v>
      </c>
      <c r="F511" s="30" t="s">
        <v>47</v>
      </c>
      <c r="G511" s="33">
        <v>0.64</v>
      </c>
      <c r="H511" s="83" t="s">
        <v>88</v>
      </c>
    </row>
    <row r="512" spans="1:8" ht="16.5" customHeight="1" x14ac:dyDescent="0.25">
      <c r="A512" s="27">
        <v>45716</v>
      </c>
      <c r="B512" s="80">
        <v>2025</v>
      </c>
      <c r="C512" s="80">
        <v>2</v>
      </c>
      <c r="D512" s="30" t="s">
        <v>37</v>
      </c>
      <c r="E512" s="30" t="s">
        <v>46</v>
      </c>
      <c r="F512" s="30" t="s">
        <v>58</v>
      </c>
      <c r="G512" s="33">
        <v>0.33185100000000001</v>
      </c>
      <c r="H512" s="83" t="s">
        <v>88</v>
      </c>
    </row>
    <row r="513" spans="1:8" ht="16.5" customHeight="1" x14ac:dyDescent="0.25">
      <c r="A513" s="27">
        <v>45716</v>
      </c>
      <c r="B513" s="80">
        <v>2025</v>
      </c>
      <c r="C513" s="80">
        <v>2</v>
      </c>
      <c r="D513" s="30" t="s">
        <v>37</v>
      </c>
      <c r="E513" s="30" t="s">
        <v>50</v>
      </c>
      <c r="F513" s="30" t="s">
        <v>43</v>
      </c>
      <c r="G513" s="33">
        <v>7.0209999999999999</v>
      </c>
      <c r="H513" s="83" t="s">
        <v>88</v>
      </c>
    </row>
    <row r="514" spans="1:8" ht="16.5" customHeight="1" x14ac:dyDescent="0.25">
      <c r="A514" s="27">
        <v>45716</v>
      </c>
      <c r="B514" s="80">
        <v>2025</v>
      </c>
      <c r="C514" s="80">
        <v>2</v>
      </c>
      <c r="D514" s="30" t="s">
        <v>37</v>
      </c>
      <c r="E514" s="30" t="s">
        <v>50</v>
      </c>
      <c r="F514" s="30" t="s">
        <v>47</v>
      </c>
      <c r="G514" s="33">
        <v>0.62160000000000004</v>
      </c>
      <c r="H514" s="83" t="s">
        <v>88</v>
      </c>
    </row>
    <row r="515" spans="1:8" ht="16.5" customHeight="1" x14ac:dyDescent="0.25">
      <c r="A515" s="27">
        <v>45716</v>
      </c>
      <c r="B515" s="80">
        <v>2025</v>
      </c>
      <c r="C515" s="80">
        <v>2</v>
      </c>
      <c r="D515" s="30" t="s">
        <v>37</v>
      </c>
      <c r="E515" s="30" t="s">
        <v>50</v>
      </c>
      <c r="F515" s="30" t="s">
        <v>51</v>
      </c>
      <c r="G515" s="33">
        <v>0.61624999999999996</v>
      </c>
      <c r="H515" s="83" t="s">
        <v>88</v>
      </c>
    </row>
    <row r="516" spans="1:8" ht="16.5" customHeight="1" x14ac:dyDescent="0.25">
      <c r="A516" s="27">
        <v>45716</v>
      </c>
      <c r="B516" s="80">
        <v>2025</v>
      </c>
      <c r="C516" s="80">
        <v>2</v>
      </c>
      <c r="D516" s="30" t="s">
        <v>37</v>
      </c>
      <c r="E516" s="30" t="s">
        <v>54</v>
      </c>
      <c r="F516" s="30" t="s">
        <v>43</v>
      </c>
      <c r="G516" s="33">
        <v>0.7</v>
      </c>
      <c r="H516" s="83" t="s">
        <v>88</v>
      </c>
    </row>
    <row r="517" spans="1:8" ht="16.5" customHeight="1" x14ac:dyDescent="0.25">
      <c r="A517" s="27">
        <v>45716</v>
      </c>
      <c r="B517" s="80">
        <v>2025</v>
      </c>
      <c r="C517" s="80">
        <v>2</v>
      </c>
      <c r="D517" s="30" t="s">
        <v>37</v>
      </c>
      <c r="E517" s="30" t="s">
        <v>57</v>
      </c>
      <c r="F517" s="30" t="s">
        <v>43</v>
      </c>
      <c r="G517" s="33">
        <v>1.5980000000000001</v>
      </c>
      <c r="H517" s="83" t="s">
        <v>89</v>
      </c>
    </row>
    <row r="518" spans="1:8" ht="16.5" customHeight="1" x14ac:dyDescent="0.25">
      <c r="A518" s="27">
        <v>45716</v>
      </c>
      <c r="B518" s="80">
        <v>2025</v>
      </c>
      <c r="C518" s="80">
        <v>2</v>
      </c>
      <c r="D518" s="30" t="s">
        <v>37</v>
      </c>
      <c r="E518" s="30" t="s">
        <v>61</v>
      </c>
      <c r="F518" s="30" t="s">
        <v>43</v>
      </c>
      <c r="G518" s="33">
        <v>2.8923000000000001</v>
      </c>
      <c r="H518" s="83" t="s">
        <v>89</v>
      </c>
    </row>
    <row r="519" spans="1:8" ht="16.5" customHeight="1" x14ac:dyDescent="0.25">
      <c r="A519" s="27">
        <v>45719</v>
      </c>
      <c r="B519" s="80">
        <v>2025</v>
      </c>
      <c r="C519" s="80">
        <v>3</v>
      </c>
      <c r="D519" s="30" t="s">
        <v>41</v>
      </c>
      <c r="E519" s="30" t="s">
        <v>38</v>
      </c>
      <c r="F519" s="30" t="s">
        <v>43</v>
      </c>
      <c r="G519" s="33">
        <v>2.3638699999999999</v>
      </c>
      <c r="H519" s="83" t="s">
        <v>88</v>
      </c>
    </row>
    <row r="520" spans="1:8" ht="16.5" customHeight="1" x14ac:dyDescent="0.25">
      <c r="A520" s="27">
        <v>45719</v>
      </c>
      <c r="B520" s="80">
        <v>2025</v>
      </c>
      <c r="C520" s="80">
        <v>3</v>
      </c>
      <c r="D520" s="30" t="s">
        <v>41</v>
      </c>
      <c r="E520" s="30" t="s">
        <v>46</v>
      </c>
      <c r="F520" s="30" t="s">
        <v>43</v>
      </c>
      <c r="G520" s="33">
        <v>12.07852304</v>
      </c>
      <c r="H520" s="83" t="s">
        <v>88</v>
      </c>
    </row>
    <row r="521" spans="1:8" ht="16.5" customHeight="1" x14ac:dyDescent="0.25">
      <c r="A521" s="27">
        <v>45719</v>
      </c>
      <c r="B521" s="80">
        <v>2025</v>
      </c>
      <c r="C521" s="80">
        <v>3</v>
      </c>
      <c r="D521" s="30" t="s">
        <v>41</v>
      </c>
      <c r="E521" s="30" t="s">
        <v>46</v>
      </c>
      <c r="F521" s="30" t="s">
        <v>51</v>
      </c>
      <c r="G521" s="33">
        <v>1.0847610000000001</v>
      </c>
      <c r="H521" s="83" t="s">
        <v>88</v>
      </c>
    </row>
    <row r="522" spans="1:8" ht="16.5" customHeight="1" x14ac:dyDescent="0.25">
      <c r="A522" s="27">
        <v>45719</v>
      </c>
      <c r="B522" s="80">
        <v>2025</v>
      </c>
      <c r="C522" s="80">
        <v>3</v>
      </c>
      <c r="D522" s="30" t="s">
        <v>41</v>
      </c>
      <c r="E522" s="30" t="s">
        <v>46</v>
      </c>
      <c r="F522" s="30" t="s">
        <v>58</v>
      </c>
      <c r="G522" s="33">
        <v>0.73394099999999995</v>
      </c>
      <c r="H522" s="83" t="s">
        <v>88</v>
      </c>
    </row>
    <row r="523" spans="1:8" ht="16.5" customHeight="1" x14ac:dyDescent="0.25">
      <c r="A523" s="27">
        <v>45719</v>
      </c>
      <c r="B523" s="80">
        <v>2025</v>
      </c>
      <c r="C523" s="80">
        <v>3</v>
      </c>
      <c r="D523" s="30" t="s">
        <v>41</v>
      </c>
      <c r="E523" s="30" t="s">
        <v>50</v>
      </c>
      <c r="F523" s="30" t="s">
        <v>43</v>
      </c>
      <c r="G523" s="33">
        <v>7.8425250000000002</v>
      </c>
      <c r="H523" s="83" t="s">
        <v>88</v>
      </c>
    </row>
    <row r="524" spans="1:8" ht="16.5" customHeight="1" x14ac:dyDescent="0.25">
      <c r="A524" s="27">
        <v>45719</v>
      </c>
      <c r="B524" s="80">
        <v>2025</v>
      </c>
      <c r="C524" s="80">
        <v>3</v>
      </c>
      <c r="D524" s="30" t="s">
        <v>41</v>
      </c>
      <c r="E524" s="30" t="s">
        <v>50</v>
      </c>
      <c r="F524" s="30" t="s">
        <v>47</v>
      </c>
      <c r="G524" s="33">
        <v>0.31080000000000002</v>
      </c>
      <c r="H524" s="83" t="s">
        <v>88</v>
      </c>
    </row>
    <row r="525" spans="1:8" ht="16.5" customHeight="1" x14ac:dyDescent="0.25">
      <c r="A525" s="27">
        <v>45719</v>
      </c>
      <c r="B525" s="80">
        <v>2025</v>
      </c>
      <c r="C525" s="80">
        <v>3</v>
      </c>
      <c r="D525" s="30" t="s">
        <v>41</v>
      </c>
      <c r="E525" s="30" t="s">
        <v>50</v>
      </c>
      <c r="F525" s="30" t="s">
        <v>55</v>
      </c>
      <c r="G525" s="33">
        <v>3.7618800000000001</v>
      </c>
      <c r="H525" s="83" t="s">
        <v>88</v>
      </c>
    </row>
    <row r="526" spans="1:8" ht="16.5" customHeight="1" x14ac:dyDescent="0.25">
      <c r="A526" s="27">
        <v>45719</v>
      </c>
      <c r="B526" s="80">
        <v>2025</v>
      </c>
      <c r="C526" s="80">
        <v>3</v>
      </c>
      <c r="D526" s="30" t="s">
        <v>41</v>
      </c>
      <c r="E526" s="30" t="s">
        <v>50</v>
      </c>
      <c r="F526" s="30" t="s">
        <v>58</v>
      </c>
      <c r="G526" s="33">
        <v>21.581955239999999</v>
      </c>
      <c r="H526" s="83" t="s">
        <v>88</v>
      </c>
    </row>
    <row r="527" spans="1:8" ht="16.5" customHeight="1" x14ac:dyDescent="0.25">
      <c r="A527" s="27">
        <v>45719</v>
      </c>
      <c r="B527" s="80">
        <v>2025</v>
      </c>
      <c r="C527" s="80">
        <v>3</v>
      </c>
      <c r="D527" s="30" t="s">
        <v>41</v>
      </c>
      <c r="E527" s="30" t="s">
        <v>54</v>
      </c>
      <c r="F527" s="30" t="s">
        <v>43</v>
      </c>
      <c r="G527" s="33">
        <v>7.3593000000000002</v>
      </c>
      <c r="H527" s="83" t="s">
        <v>88</v>
      </c>
    </row>
    <row r="528" spans="1:8" ht="16.5" customHeight="1" x14ac:dyDescent="0.25">
      <c r="A528" s="27">
        <v>45719</v>
      </c>
      <c r="B528" s="80">
        <v>2025</v>
      </c>
      <c r="C528" s="80">
        <v>3</v>
      </c>
      <c r="D528" s="30" t="s">
        <v>41</v>
      </c>
      <c r="E528" s="30" t="s">
        <v>54</v>
      </c>
      <c r="F528" s="30" t="s">
        <v>47</v>
      </c>
      <c r="G528" s="33">
        <v>1.4</v>
      </c>
      <c r="H528" s="83" t="s">
        <v>88</v>
      </c>
    </row>
    <row r="529" spans="1:8" ht="16.5" customHeight="1" x14ac:dyDescent="0.25">
      <c r="A529" s="27">
        <v>45719</v>
      </c>
      <c r="B529" s="80">
        <v>2025</v>
      </c>
      <c r="C529" s="80">
        <v>3</v>
      </c>
      <c r="D529" s="30" t="s">
        <v>41</v>
      </c>
      <c r="E529" s="30" t="s">
        <v>54</v>
      </c>
      <c r="F529" s="30" t="s">
        <v>55</v>
      </c>
      <c r="G529" s="33">
        <v>0.72</v>
      </c>
      <c r="H529" s="83" t="s">
        <v>88</v>
      </c>
    </row>
    <row r="530" spans="1:8" ht="16.5" customHeight="1" x14ac:dyDescent="0.25">
      <c r="A530" s="27">
        <v>45719</v>
      </c>
      <c r="B530" s="80">
        <v>2025</v>
      </c>
      <c r="C530" s="80">
        <v>3</v>
      </c>
      <c r="D530" s="30" t="s">
        <v>41</v>
      </c>
      <c r="E530" s="30" t="s">
        <v>66</v>
      </c>
      <c r="F530" s="30" t="s">
        <v>43</v>
      </c>
      <c r="G530" s="33">
        <v>2.8725000000000001</v>
      </c>
      <c r="H530" s="83" t="s">
        <v>89</v>
      </c>
    </row>
    <row r="531" spans="1:8" ht="16.5" customHeight="1" x14ac:dyDescent="0.25">
      <c r="A531" s="27">
        <v>45719</v>
      </c>
      <c r="B531" s="80">
        <v>2025</v>
      </c>
      <c r="C531" s="80">
        <v>3</v>
      </c>
      <c r="D531" s="30" t="s">
        <v>41</v>
      </c>
      <c r="E531" s="30" t="s">
        <v>68</v>
      </c>
      <c r="F531" s="30" t="s">
        <v>43</v>
      </c>
      <c r="G531" s="33">
        <v>3.2004000000000001</v>
      </c>
      <c r="H531" s="83" t="s">
        <v>89</v>
      </c>
    </row>
    <row r="532" spans="1:8" ht="16.5" customHeight="1" x14ac:dyDescent="0.25">
      <c r="A532" s="27">
        <v>45719</v>
      </c>
      <c r="B532" s="80">
        <v>2025</v>
      </c>
      <c r="C532" s="80">
        <v>3</v>
      </c>
      <c r="D532" s="30" t="s">
        <v>41</v>
      </c>
      <c r="E532" s="30" t="s">
        <v>71</v>
      </c>
      <c r="F532" s="30" t="s">
        <v>43</v>
      </c>
      <c r="G532" s="33">
        <v>36.835349999999998</v>
      </c>
      <c r="H532" s="83" t="s">
        <v>89</v>
      </c>
    </row>
    <row r="533" spans="1:8" ht="16.5" customHeight="1" x14ac:dyDescent="0.25">
      <c r="A533" s="27">
        <v>45719</v>
      </c>
      <c r="B533" s="80">
        <v>2025</v>
      </c>
      <c r="C533" s="80">
        <v>3</v>
      </c>
      <c r="D533" s="30" t="s">
        <v>41</v>
      </c>
      <c r="E533" s="30" t="s">
        <v>75</v>
      </c>
      <c r="F533" s="30" t="s">
        <v>47</v>
      </c>
      <c r="G533" s="33">
        <v>0.47199999999999998</v>
      </c>
      <c r="H533" s="83" t="s">
        <v>48</v>
      </c>
    </row>
    <row r="534" spans="1:8" ht="16.5" customHeight="1" x14ac:dyDescent="0.25">
      <c r="A534" s="27">
        <v>45720</v>
      </c>
      <c r="B534" s="80">
        <v>2025</v>
      </c>
      <c r="C534" s="80">
        <v>3</v>
      </c>
      <c r="D534" s="30" t="s">
        <v>41</v>
      </c>
      <c r="E534" s="30" t="s">
        <v>38</v>
      </c>
      <c r="F534" s="30" t="s">
        <v>43</v>
      </c>
      <c r="G534" s="33">
        <v>1.7350000000000001</v>
      </c>
      <c r="H534" s="83" t="s">
        <v>88</v>
      </c>
    </row>
    <row r="535" spans="1:8" ht="16.5" customHeight="1" x14ac:dyDescent="0.25">
      <c r="A535" s="27">
        <v>45720</v>
      </c>
      <c r="B535" s="80">
        <v>2025</v>
      </c>
      <c r="C535" s="80">
        <v>3</v>
      </c>
      <c r="D535" s="30" t="s">
        <v>41</v>
      </c>
      <c r="E535" s="30" t="s">
        <v>42</v>
      </c>
      <c r="F535" s="30" t="s">
        <v>43</v>
      </c>
      <c r="G535" s="33">
        <v>12.28374</v>
      </c>
      <c r="H535" s="83" t="s">
        <v>88</v>
      </c>
    </row>
    <row r="536" spans="1:8" ht="16.5" customHeight="1" x14ac:dyDescent="0.25">
      <c r="A536" s="27">
        <v>45720</v>
      </c>
      <c r="B536" s="80">
        <v>2025</v>
      </c>
      <c r="C536" s="80">
        <v>3</v>
      </c>
      <c r="D536" s="30" t="s">
        <v>41</v>
      </c>
      <c r="E536" s="30" t="s">
        <v>46</v>
      </c>
      <c r="F536" s="30" t="s">
        <v>43</v>
      </c>
      <c r="G536" s="33">
        <v>7.9401886399999997</v>
      </c>
      <c r="H536" s="83" t="s">
        <v>88</v>
      </c>
    </row>
    <row r="537" spans="1:8" ht="16.5" customHeight="1" x14ac:dyDescent="0.25">
      <c r="A537" s="27">
        <v>45720</v>
      </c>
      <c r="B537" s="80">
        <v>2025</v>
      </c>
      <c r="C537" s="80">
        <v>3</v>
      </c>
      <c r="D537" s="30" t="s">
        <v>41</v>
      </c>
      <c r="E537" s="30" t="s">
        <v>46</v>
      </c>
      <c r="F537" s="30" t="s">
        <v>51</v>
      </c>
      <c r="G537" s="33">
        <v>3.8915999999999999E-2</v>
      </c>
      <c r="H537" s="83" t="s">
        <v>88</v>
      </c>
    </row>
    <row r="538" spans="1:8" ht="16.5" customHeight="1" x14ac:dyDescent="0.25">
      <c r="A538" s="27">
        <v>45720</v>
      </c>
      <c r="B538" s="80">
        <v>2025</v>
      </c>
      <c r="C538" s="80">
        <v>3</v>
      </c>
      <c r="D538" s="30" t="s">
        <v>41</v>
      </c>
      <c r="E538" s="30" t="s">
        <v>50</v>
      </c>
      <c r="F538" s="30" t="s">
        <v>43</v>
      </c>
      <c r="G538" s="33">
        <v>124.673812</v>
      </c>
      <c r="H538" s="83" t="s">
        <v>88</v>
      </c>
    </row>
    <row r="539" spans="1:8" ht="16.5" customHeight="1" x14ac:dyDescent="0.25">
      <c r="A539" s="27">
        <v>45720</v>
      </c>
      <c r="B539" s="80">
        <v>2025</v>
      </c>
      <c r="C539" s="80">
        <v>3</v>
      </c>
      <c r="D539" s="30" t="s">
        <v>41</v>
      </c>
      <c r="E539" s="30" t="s">
        <v>50</v>
      </c>
      <c r="F539" s="30" t="s">
        <v>47</v>
      </c>
      <c r="G539" s="33">
        <v>1.8648</v>
      </c>
      <c r="H539" s="83" t="s">
        <v>88</v>
      </c>
    </row>
    <row r="540" spans="1:8" ht="16.5" customHeight="1" x14ac:dyDescent="0.25">
      <c r="A540" s="27">
        <v>45720</v>
      </c>
      <c r="B540" s="80">
        <v>2025</v>
      </c>
      <c r="C540" s="80">
        <v>3</v>
      </c>
      <c r="D540" s="30" t="s">
        <v>41</v>
      </c>
      <c r="E540" s="30" t="s">
        <v>50</v>
      </c>
      <c r="F540" s="30" t="s">
        <v>55</v>
      </c>
      <c r="G540" s="33">
        <v>4.0773200000000003</v>
      </c>
      <c r="H540" s="83" t="s">
        <v>88</v>
      </c>
    </row>
    <row r="541" spans="1:8" ht="16.5" customHeight="1" x14ac:dyDescent="0.25">
      <c r="A541" s="27">
        <v>45720</v>
      </c>
      <c r="B541" s="80">
        <v>2025</v>
      </c>
      <c r="C541" s="80">
        <v>3</v>
      </c>
      <c r="D541" s="30" t="s">
        <v>41</v>
      </c>
      <c r="E541" s="30" t="s">
        <v>50</v>
      </c>
      <c r="F541" s="30" t="s">
        <v>58</v>
      </c>
      <c r="G541" s="33">
        <v>4.7466695999999997</v>
      </c>
      <c r="H541" s="83" t="s">
        <v>88</v>
      </c>
    </row>
    <row r="542" spans="1:8" ht="16.5" customHeight="1" x14ac:dyDescent="0.25">
      <c r="A542" s="27">
        <v>45720</v>
      </c>
      <c r="B542" s="80">
        <v>2025</v>
      </c>
      <c r="C542" s="80">
        <v>3</v>
      </c>
      <c r="D542" s="30" t="s">
        <v>41</v>
      </c>
      <c r="E542" s="30" t="s">
        <v>54</v>
      </c>
      <c r="F542" s="30" t="s">
        <v>43</v>
      </c>
      <c r="G542" s="33">
        <v>16.4895</v>
      </c>
      <c r="H542" s="83" t="s">
        <v>88</v>
      </c>
    </row>
    <row r="543" spans="1:8" ht="16.5" customHeight="1" x14ac:dyDescent="0.25">
      <c r="A543" s="27">
        <v>45720</v>
      </c>
      <c r="B543" s="80">
        <v>2025</v>
      </c>
      <c r="C543" s="80">
        <v>3</v>
      </c>
      <c r="D543" s="30" t="s">
        <v>41</v>
      </c>
      <c r="E543" s="30" t="s">
        <v>54</v>
      </c>
      <c r="F543" s="30" t="s">
        <v>47</v>
      </c>
      <c r="G543" s="33">
        <v>0.32450000000000001</v>
      </c>
      <c r="H543" s="83" t="s">
        <v>88</v>
      </c>
    </row>
    <row r="544" spans="1:8" ht="16.5" customHeight="1" x14ac:dyDescent="0.25">
      <c r="A544" s="27">
        <v>45720</v>
      </c>
      <c r="B544" s="80">
        <v>2025</v>
      </c>
      <c r="C544" s="80">
        <v>3</v>
      </c>
      <c r="D544" s="30" t="s">
        <v>41</v>
      </c>
      <c r="E544" s="30" t="s">
        <v>64</v>
      </c>
      <c r="F544" s="30" t="s">
        <v>43</v>
      </c>
      <c r="G544" s="33">
        <v>33.5426</v>
      </c>
      <c r="H544" s="83" t="s">
        <v>89</v>
      </c>
    </row>
    <row r="545" spans="1:8" ht="16.5" customHeight="1" x14ac:dyDescent="0.25">
      <c r="A545" s="27">
        <v>45720</v>
      </c>
      <c r="B545" s="80">
        <v>2025</v>
      </c>
      <c r="C545" s="80">
        <v>3</v>
      </c>
      <c r="D545" s="30" t="s">
        <v>41</v>
      </c>
      <c r="E545" s="30" t="s">
        <v>66</v>
      </c>
      <c r="F545" s="30" t="s">
        <v>43</v>
      </c>
      <c r="G545" s="33">
        <v>0.42</v>
      </c>
      <c r="H545" s="83" t="s">
        <v>89</v>
      </c>
    </row>
    <row r="546" spans="1:8" ht="16.5" customHeight="1" x14ac:dyDescent="0.25">
      <c r="A546" s="27">
        <v>45720</v>
      </c>
      <c r="B546" s="80">
        <v>2025</v>
      </c>
      <c r="C546" s="80">
        <v>3</v>
      </c>
      <c r="D546" s="30" t="s">
        <v>41</v>
      </c>
      <c r="E546" s="30" t="s">
        <v>68</v>
      </c>
      <c r="F546" s="30" t="s">
        <v>43</v>
      </c>
      <c r="G546" s="33">
        <v>0.44750000000000001</v>
      </c>
      <c r="H546" s="83" t="s">
        <v>89</v>
      </c>
    </row>
    <row r="547" spans="1:8" ht="16.5" customHeight="1" x14ac:dyDescent="0.25">
      <c r="A547" s="27">
        <v>45720</v>
      </c>
      <c r="B547" s="80">
        <v>2025</v>
      </c>
      <c r="C547" s="80">
        <v>3</v>
      </c>
      <c r="D547" s="30" t="s">
        <v>41</v>
      </c>
      <c r="E547" s="30" t="s">
        <v>71</v>
      </c>
      <c r="F547" s="30" t="s">
        <v>43</v>
      </c>
      <c r="G547" s="33">
        <v>0.3</v>
      </c>
      <c r="H547" s="83" t="s">
        <v>89</v>
      </c>
    </row>
    <row r="548" spans="1:8" ht="16.5" customHeight="1" x14ac:dyDescent="0.25">
      <c r="A548" s="27">
        <v>45720</v>
      </c>
      <c r="B548" s="80">
        <v>2025</v>
      </c>
      <c r="C548" s="80">
        <v>3</v>
      </c>
      <c r="D548" s="30" t="s">
        <v>41</v>
      </c>
      <c r="E548" s="30" t="s">
        <v>76</v>
      </c>
      <c r="F548" s="30" t="s">
        <v>43</v>
      </c>
      <c r="G548" s="33">
        <v>20.86515</v>
      </c>
      <c r="H548" s="83" t="s">
        <v>48</v>
      </c>
    </row>
    <row r="549" spans="1:8" ht="16.5" customHeight="1" x14ac:dyDescent="0.25">
      <c r="A549" s="27">
        <v>45721</v>
      </c>
      <c r="B549" s="80">
        <v>2025</v>
      </c>
      <c r="C549" s="80">
        <v>3</v>
      </c>
      <c r="D549" s="30" t="s">
        <v>41</v>
      </c>
      <c r="E549" s="30" t="s">
        <v>38</v>
      </c>
      <c r="F549" s="30" t="s">
        <v>43</v>
      </c>
      <c r="G549" s="33">
        <v>5.66</v>
      </c>
      <c r="H549" s="83" t="s">
        <v>88</v>
      </c>
    </row>
    <row r="550" spans="1:8" ht="16.5" customHeight="1" x14ac:dyDescent="0.25">
      <c r="A550" s="27">
        <v>45721</v>
      </c>
      <c r="B550" s="80">
        <v>2025</v>
      </c>
      <c r="C550" s="80">
        <v>3</v>
      </c>
      <c r="D550" s="30" t="s">
        <v>41</v>
      </c>
      <c r="E550" s="30" t="s">
        <v>42</v>
      </c>
      <c r="F550" s="30" t="s">
        <v>43</v>
      </c>
      <c r="G550" s="33">
        <v>3.9540000000000002</v>
      </c>
      <c r="H550" s="83" t="s">
        <v>88</v>
      </c>
    </row>
    <row r="551" spans="1:8" ht="16.5" customHeight="1" x14ac:dyDescent="0.25">
      <c r="A551" s="27">
        <v>45721</v>
      </c>
      <c r="B551" s="80">
        <v>2025</v>
      </c>
      <c r="C551" s="80">
        <v>3</v>
      </c>
      <c r="D551" s="30" t="s">
        <v>41</v>
      </c>
      <c r="E551" s="30" t="s">
        <v>46</v>
      </c>
      <c r="F551" s="30" t="s">
        <v>43</v>
      </c>
      <c r="G551" s="33">
        <v>13.48164918</v>
      </c>
      <c r="H551" s="83" t="s">
        <v>88</v>
      </c>
    </row>
    <row r="552" spans="1:8" ht="16.5" customHeight="1" x14ac:dyDescent="0.25">
      <c r="A552" s="27">
        <v>45721</v>
      </c>
      <c r="B552" s="80">
        <v>2025</v>
      </c>
      <c r="C552" s="80">
        <v>3</v>
      </c>
      <c r="D552" s="30" t="s">
        <v>41</v>
      </c>
      <c r="E552" s="30" t="s">
        <v>50</v>
      </c>
      <c r="F552" s="30" t="s">
        <v>43</v>
      </c>
      <c r="G552" s="33">
        <v>9.2151899999999998</v>
      </c>
      <c r="H552" s="83" t="s">
        <v>88</v>
      </c>
    </row>
    <row r="553" spans="1:8" ht="16.5" customHeight="1" x14ac:dyDescent="0.25">
      <c r="A553" s="27">
        <v>45721</v>
      </c>
      <c r="B553" s="80">
        <v>2025</v>
      </c>
      <c r="C553" s="80">
        <v>3</v>
      </c>
      <c r="D553" s="30" t="s">
        <v>41</v>
      </c>
      <c r="E553" s="30" t="s">
        <v>50</v>
      </c>
      <c r="F553" s="30" t="s">
        <v>47</v>
      </c>
      <c r="G553" s="33">
        <v>0.62160000000000004</v>
      </c>
      <c r="H553" s="83" t="s">
        <v>88</v>
      </c>
    </row>
    <row r="554" spans="1:8" ht="16.5" customHeight="1" x14ac:dyDescent="0.25">
      <c r="A554" s="27">
        <v>45721</v>
      </c>
      <c r="B554" s="80">
        <v>2025</v>
      </c>
      <c r="C554" s="80">
        <v>3</v>
      </c>
      <c r="D554" s="30" t="s">
        <v>41</v>
      </c>
      <c r="E554" s="30" t="s">
        <v>54</v>
      </c>
      <c r="F554" s="30" t="s">
        <v>43</v>
      </c>
      <c r="G554" s="33">
        <v>2.875</v>
      </c>
      <c r="H554" s="83" t="s">
        <v>88</v>
      </c>
    </row>
    <row r="555" spans="1:8" ht="16.5" customHeight="1" x14ac:dyDescent="0.25">
      <c r="A555" s="27">
        <v>45721</v>
      </c>
      <c r="B555" s="80">
        <v>2025</v>
      </c>
      <c r="C555" s="80">
        <v>3</v>
      </c>
      <c r="D555" s="30" t="s">
        <v>41</v>
      </c>
      <c r="E555" s="30" t="s">
        <v>57</v>
      </c>
      <c r="F555" s="30" t="s">
        <v>43</v>
      </c>
      <c r="G555" s="33">
        <v>1.6858900000000001</v>
      </c>
      <c r="H555" s="83" t="s">
        <v>89</v>
      </c>
    </row>
    <row r="556" spans="1:8" ht="16.5" customHeight="1" x14ac:dyDescent="0.25">
      <c r="A556" s="27">
        <v>45721</v>
      </c>
      <c r="B556" s="80">
        <v>2025</v>
      </c>
      <c r="C556" s="80">
        <v>3</v>
      </c>
      <c r="D556" s="30" t="s">
        <v>41</v>
      </c>
      <c r="E556" s="30" t="s">
        <v>64</v>
      </c>
      <c r="F556" s="30" t="s">
        <v>43</v>
      </c>
      <c r="G556" s="33">
        <v>2.3250000000000002</v>
      </c>
      <c r="H556" s="83" t="s">
        <v>89</v>
      </c>
    </row>
    <row r="557" spans="1:8" ht="16.5" customHeight="1" x14ac:dyDescent="0.25">
      <c r="A557" s="27">
        <v>45721</v>
      </c>
      <c r="B557" s="80">
        <v>2025</v>
      </c>
      <c r="C557" s="80">
        <v>3</v>
      </c>
      <c r="D557" s="30" t="s">
        <v>41</v>
      </c>
      <c r="E557" s="30" t="s">
        <v>66</v>
      </c>
      <c r="F557" s="30" t="s">
        <v>43</v>
      </c>
      <c r="G557" s="33">
        <v>2.8925000000000001</v>
      </c>
      <c r="H557" s="83" t="s">
        <v>89</v>
      </c>
    </row>
    <row r="558" spans="1:8" ht="16.5" customHeight="1" x14ac:dyDescent="0.25">
      <c r="A558" s="27">
        <v>45721</v>
      </c>
      <c r="B558" s="80">
        <v>2025</v>
      </c>
      <c r="C558" s="80">
        <v>3</v>
      </c>
      <c r="D558" s="30" t="s">
        <v>41</v>
      </c>
      <c r="E558" s="30" t="s">
        <v>71</v>
      </c>
      <c r="F558" s="30" t="s">
        <v>39</v>
      </c>
      <c r="G558" s="33">
        <v>1.3630925</v>
      </c>
      <c r="H558" s="83" t="s">
        <v>89</v>
      </c>
    </row>
    <row r="559" spans="1:8" ht="16.5" customHeight="1" x14ac:dyDescent="0.25">
      <c r="A559" s="27">
        <v>45721</v>
      </c>
      <c r="B559" s="80">
        <v>2025</v>
      </c>
      <c r="C559" s="80">
        <v>3</v>
      </c>
      <c r="D559" s="30" t="s">
        <v>41</v>
      </c>
      <c r="E559" s="30" t="s">
        <v>71</v>
      </c>
      <c r="F559" s="30" t="s">
        <v>43</v>
      </c>
      <c r="G559" s="33">
        <v>4.5587499999999999</v>
      </c>
      <c r="H559" s="83" t="s">
        <v>89</v>
      </c>
    </row>
    <row r="560" spans="1:8" ht="16.5" customHeight="1" x14ac:dyDescent="0.25">
      <c r="A560" s="27">
        <v>45721</v>
      </c>
      <c r="B560" s="80">
        <v>2025</v>
      </c>
      <c r="C560" s="80">
        <v>3</v>
      </c>
      <c r="D560" s="30" t="s">
        <v>41</v>
      </c>
      <c r="E560" s="30" t="s">
        <v>71</v>
      </c>
      <c r="F560" s="30" t="s">
        <v>51</v>
      </c>
      <c r="G560" s="33">
        <v>2.1800000000000002</v>
      </c>
      <c r="H560" s="83" t="s">
        <v>89</v>
      </c>
    </row>
    <row r="561" spans="1:8" ht="16.5" customHeight="1" x14ac:dyDescent="0.25">
      <c r="A561" s="27">
        <v>45721</v>
      </c>
      <c r="B561" s="80">
        <v>2025</v>
      </c>
      <c r="C561" s="80">
        <v>3</v>
      </c>
      <c r="D561" s="30" t="s">
        <v>41</v>
      </c>
      <c r="E561" s="30" t="s">
        <v>73</v>
      </c>
      <c r="F561" s="30" t="s">
        <v>43</v>
      </c>
      <c r="G561" s="33">
        <v>3.1102500000000002</v>
      </c>
      <c r="H561" s="83" t="s">
        <v>89</v>
      </c>
    </row>
    <row r="562" spans="1:8" ht="16.5" customHeight="1" x14ac:dyDescent="0.25">
      <c r="A562" s="27">
        <v>45722</v>
      </c>
      <c r="B562" s="80">
        <v>2025</v>
      </c>
      <c r="C562" s="80">
        <v>3</v>
      </c>
      <c r="D562" s="30" t="s">
        <v>41</v>
      </c>
      <c r="E562" s="30" t="s">
        <v>38</v>
      </c>
      <c r="F562" s="30" t="s">
        <v>43</v>
      </c>
      <c r="G562" s="33">
        <v>5.4960000000000004</v>
      </c>
      <c r="H562" s="83" t="s">
        <v>88</v>
      </c>
    </row>
    <row r="563" spans="1:8" ht="16.5" customHeight="1" x14ac:dyDescent="0.25">
      <c r="A563" s="27">
        <v>45722</v>
      </c>
      <c r="B563" s="80">
        <v>2025</v>
      </c>
      <c r="C563" s="80">
        <v>3</v>
      </c>
      <c r="D563" s="30" t="s">
        <v>41</v>
      </c>
      <c r="E563" s="30" t="s">
        <v>42</v>
      </c>
      <c r="F563" s="30" t="s">
        <v>47</v>
      </c>
      <c r="G563" s="33">
        <v>1.2</v>
      </c>
      <c r="H563" s="83" t="s">
        <v>88</v>
      </c>
    </row>
    <row r="564" spans="1:8" ht="16.5" customHeight="1" x14ac:dyDescent="0.25">
      <c r="A564" s="27">
        <v>45722</v>
      </c>
      <c r="B564" s="80">
        <v>2025</v>
      </c>
      <c r="C564" s="80">
        <v>3</v>
      </c>
      <c r="D564" s="30" t="s">
        <v>41</v>
      </c>
      <c r="E564" s="30" t="s">
        <v>42</v>
      </c>
      <c r="F564" s="30" t="s">
        <v>55</v>
      </c>
      <c r="G564" s="33">
        <v>7</v>
      </c>
      <c r="H564" s="83" t="s">
        <v>88</v>
      </c>
    </row>
    <row r="565" spans="1:8" ht="16.5" customHeight="1" x14ac:dyDescent="0.25">
      <c r="A565" s="27">
        <v>45722</v>
      </c>
      <c r="B565" s="80">
        <v>2025</v>
      </c>
      <c r="C565" s="80">
        <v>3</v>
      </c>
      <c r="D565" s="30" t="s">
        <v>41</v>
      </c>
      <c r="E565" s="30" t="s">
        <v>46</v>
      </c>
      <c r="F565" s="30" t="s">
        <v>43</v>
      </c>
      <c r="G565" s="33">
        <v>7.5635230399999998</v>
      </c>
      <c r="H565" s="83" t="s">
        <v>88</v>
      </c>
    </row>
    <row r="566" spans="1:8" ht="16.5" customHeight="1" x14ac:dyDescent="0.25">
      <c r="A566" s="27">
        <v>45722</v>
      </c>
      <c r="B566" s="80">
        <v>2025</v>
      </c>
      <c r="C566" s="80">
        <v>3</v>
      </c>
      <c r="D566" s="30" t="s">
        <v>41</v>
      </c>
      <c r="E566" s="30" t="s">
        <v>50</v>
      </c>
      <c r="F566" s="30" t="s">
        <v>47</v>
      </c>
      <c r="G566" s="33">
        <v>1.2432000000000001</v>
      </c>
      <c r="H566" s="83" t="s">
        <v>88</v>
      </c>
    </row>
    <row r="567" spans="1:8" ht="16.5" customHeight="1" x14ac:dyDescent="0.25">
      <c r="A567" s="27">
        <v>45722</v>
      </c>
      <c r="B567" s="80">
        <v>2025</v>
      </c>
      <c r="C567" s="80">
        <v>3</v>
      </c>
      <c r="D567" s="30" t="s">
        <v>41</v>
      </c>
      <c r="E567" s="30" t="s">
        <v>50</v>
      </c>
      <c r="F567" s="30" t="s">
        <v>55</v>
      </c>
      <c r="G567" s="33">
        <v>1.3174999999999999</v>
      </c>
      <c r="H567" s="83" t="s">
        <v>88</v>
      </c>
    </row>
    <row r="568" spans="1:8" ht="16.5" customHeight="1" x14ac:dyDescent="0.25">
      <c r="A568" s="27">
        <v>45722</v>
      </c>
      <c r="B568" s="80">
        <v>2025</v>
      </c>
      <c r="C568" s="80">
        <v>3</v>
      </c>
      <c r="D568" s="30" t="s">
        <v>41</v>
      </c>
      <c r="E568" s="30" t="s">
        <v>50</v>
      </c>
      <c r="F568" s="30" t="s">
        <v>58</v>
      </c>
      <c r="G568" s="33">
        <v>7.8434939999999997</v>
      </c>
      <c r="H568" s="83" t="s">
        <v>88</v>
      </c>
    </row>
    <row r="569" spans="1:8" ht="16.5" customHeight="1" x14ac:dyDescent="0.25">
      <c r="A569" s="27">
        <v>45722</v>
      </c>
      <c r="B569" s="80">
        <v>2025</v>
      </c>
      <c r="C569" s="80">
        <v>3</v>
      </c>
      <c r="D569" s="30" t="s">
        <v>41</v>
      </c>
      <c r="E569" s="30" t="s">
        <v>54</v>
      </c>
      <c r="F569" s="30" t="s">
        <v>43</v>
      </c>
      <c r="G569" s="33">
        <v>0.48499999999999999</v>
      </c>
      <c r="H569" s="83" t="s">
        <v>88</v>
      </c>
    </row>
    <row r="570" spans="1:8" ht="16.5" customHeight="1" x14ac:dyDescent="0.25">
      <c r="A570" s="27">
        <v>45722</v>
      </c>
      <c r="B570" s="80">
        <v>2025</v>
      </c>
      <c r="C570" s="80">
        <v>3</v>
      </c>
      <c r="D570" s="30" t="s">
        <v>41</v>
      </c>
      <c r="E570" s="30" t="s">
        <v>57</v>
      </c>
      <c r="F570" s="30" t="s">
        <v>43</v>
      </c>
      <c r="G570" s="33">
        <v>1.5980000000000001</v>
      </c>
      <c r="H570" s="83" t="s">
        <v>89</v>
      </c>
    </row>
    <row r="571" spans="1:8" ht="16.5" customHeight="1" x14ac:dyDescent="0.25">
      <c r="A571" s="27">
        <v>45722</v>
      </c>
      <c r="B571" s="80">
        <v>2025</v>
      </c>
      <c r="C571" s="80">
        <v>3</v>
      </c>
      <c r="D571" s="30" t="s">
        <v>41</v>
      </c>
      <c r="E571" s="30" t="s">
        <v>61</v>
      </c>
      <c r="F571" s="30" t="s">
        <v>43</v>
      </c>
      <c r="G571" s="33">
        <v>2.6234999999999999</v>
      </c>
      <c r="H571" s="83" t="s">
        <v>89</v>
      </c>
    </row>
    <row r="572" spans="1:8" ht="16.5" customHeight="1" x14ac:dyDescent="0.25">
      <c r="A572" s="27">
        <v>45722</v>
      </c>
      <c r="B572" s="80">
        <v>2025</v>
      </c>
      <c r="C572" s="80">
        <v>3</v>
      </c>
      <c r="D572" s="30" t="s">
        <v>41</v>
      </c>
      <c r="E572" s="30" t="s">
        <v>64</v>
      </c>
      <c r="F572" s="30" t="s">
        <v>43</v>
      </c>
      <c r="G572" s="33">
        <v>12.94584</v>
      </c>
      <c r="H572" s="83" t="s">
        <v>89</v>
      </c>
    </row>
    <row r="573" spans="1:8" ht="16.5" customHeight="1" x14ac:dyDescent="0.25">
      <c r="A573" s="27">
        <v>45722</v>
      </c>
      <c r="B573" s="80">
        <v>2025</v>
      </c>
      <c r="C573" s="80">
        <v>3</v>
      </c>
      <c r="D573" s="30" t="s">
        <v>41</v>
      </c>
      <c r="E573" s="30" t="s">
        <v>66</v>
      </c>
      <c r="F573" s="30" t="s">
        <v>43</v>
      </c>
      <c r="G573" s="33">
        <v>1.8225</v>
      </c>
      <c r="H573" s="83" t="s">
        <v>89</v>
      </c>
    </row>
    <row r="574" spans="1:8" ht="16.5" customHeight="1" x14ac:dyDescent="0.25">
      <c r="A574" s="27">
        <v>45722</v>
      </c>
      <c r="B574" s="80">
        <v>2025</v>
      </c>
      <c r="C574" s="80">
        <v>3</v>
      </c>
      <c r="D574" s="30" t="s">
        <v>41</v>
      </c>
      <c r="E574" s="30" t="s">
        <v>68</v>
      </c>
      <c r="F574" s="30" t="s">
        <v>39</v>
      </c>
      <c r="G574" s="33">
        <v>1.8095000000000001</v>
      </c>
      <c r="H574" s="83" t="s">
        <v>89</v>
      </c>
    </row>
    <row r="575" spans="1:8" ht="16.5" customHeight="1" x14ac:dyDescent="0.25">
      <c r="A575" s="27">
        <v>45722</v>
      </c>
      <c r="B575" s="80">
        <v>2025</v>
      </c>
      <c r="C575" s="80">
        <v>3</v>
      </c>
      <c r="D575" s="30" t="s">
        <v>41</v>
      </c>
      <c r="E575" s="30" t="s">
        <v>71</v>
      </c>
      <c r="F575" s="30" t="s">
        <v>43</v>
      </c>
      <c r="G575" s="33">
        <v>6.1559999999999997</v>
      </c>
      <c r="H575" s="83" t="s">
        <v>89</v>
      </c>
    </row>
    <row r="576" spans="1:8" ht="16.5" customHeight="1" x14ac:dyDescent="0.25">
      <c r="A576" s="27">
        <v>45722</v>
      </c>
      <c r="B576" s="80">
        <v>2025</v>
      </c>
      <c r="C576" s="80">
        <v>3</v>
      </c>
      <c r="D576" s="30" t="s">
        <v>41</v>
      </c>
      <c r="E576" s="30" t="s">
        <v>73</v>
      </c>
      <c r="F576" s="30" t="s">
        <v>43</v>
      </c>
      <c r="G576" s="33">
        <v>1.5673999999999999</v>
      </c>
      <c r="H576" s="83" t="s">
        <v>89</v>
      </c>
    </row>
    <row r="577" spans="1:8" ht="16.5" customHeight="1" x14ac:dyDescent="0.25">
      <c r="A577" s="27">
        <v>45722</v>
      </c>
      <c r="B577" s="80">
        <v>2025</v>
      </c>
      <c r="C577" s="80">
        <v>3</v>
      </c>
      <c r="D577" s="30" t="s">
        <v>41</v>
      </c>
      <c r="E577" s="30" t="s">
        <v>75</v>
      </c>
      <c r="F577" s="30" t="s">
        <v>43</v>
      </c>
      <c r="G577" s="33">
        <v>19.965843750000001</v>
      </c>
      <c r="H577" s="83" t="s">
        <v>48</v>
      </c>
    </row>
    <row r="578" spans="1:8" ht="16.5" customHeight="1" x14ac:dyDescent="0.25">
      <c r="A578" s="27">
        <v>45722</v>
      </c>
      <c r="B578" s="80">
        <v>2025</v>
      </c>
      <c r="C578" s="80">
        <v>3</v>
      </c>
      <c r="D578" s="30" t="s">
        <v>41</v>
      </c>
      <c r="E578" s="30" t="s">
        <v>75</v>
      </c>
      <c r="F578" s="30" t="s">
        <v>47</v>
      </c>
      <c r="G578" s="33">
        <v>0.27357749999999997</v>
      </c>
      <c r="H578" s="83" t="s">
        <v>48</v>
      </c>
    </row>
    <row r="579" spans="1:8" ht="16.5" customHeight="1" x14ac:dyDescent="0.25">
      <c r="A579" s="27">
        <v>45723</v>
      </c>
      <c r="B579" s="80">
        <v>2025</v>
      </c>
      <c r="C579" s="80">
        <v>3</v>
      </c>
      <c r="D579" s="30" t="s">
        <v>41</v>
      </c>
      <c r="E579" s="30" t="s">
        <v>38</v>
      </c>
      <c r="F579" s="30" t="s">
        <v>43</v>
      </c>
      <c r="G579" s="33">
        <v>7.4227499999999997</v>
      </c>
      <c r="H579" s="83" t="s">
        <v>88</v>
      </c>
    </row>
    <row r="580" spans="1:8" ht="16.5" customHeight="1" x14ac:dyDescent="0.25">
      <c r="A580" s="27">
        <v>45723</v>
      </c>
      <c r="B580" s="80">
        <v>2025</v>
      </c>
      <c r="C580" s="80">
        <v>3</v>
      </c>
      <c r="D580" s="30" t="s">
        <v>41</v>
      </c>
      <c r="E580" s="30" t="s">
        <v>46</v>
      </c>
      <c r="F580" s="30" t="s">
        <v>43</v>
      </c>
      <c r="G580" s="33">
        <v>1.5373600000000001</v>
      </c>
      <c r="H580" s="83" t="s">
        <v>88</v>
      </c>
    </row>
    <row r="581" spans="1:8" ht="16.5" customHeight="1" x14ac:dyDescent="0.25">
      <c r="A581" s="27">
        <v>45723</v>
      </c>
      <c r="B581" s="80">
        <v>2025</v>
      </c>
      <c r="C581" s="80">
        <v>3</v>
      </c>
      <c r="D581" s="30" t="s">
        <v>41</v>
      </c>
      <c r="E581" s="30" t="s">
        <v>46</v>
      </c>
      <c r="F581" s="30" t="s">
        <v>55</v>
      </c>
      <c r="G581" s="33">
        <v>0.74419650000000004</v>
      </c>
      <c r="H581" s="83" t="s">
        <v>88</v>
      </c>
    </row>
    <row r="582" spans="1:8" ht="16.5" customHeight="1" x14ac:dyDescent="0.25">
      <c r="A582" s="27">
        <v>45723</v>
      </c>
      <c r="B582" s="80">
        <v>2025</v>
      </c>
      <c r="C582" s="80">
        <v>3</v>
      </c>
      <c r="D582" s="30" t="s">
        <v>41</v>
      </c>
      <c r="E582" s="30" t="s">
        <v>50</v>
      </c>
      <c r="F582" s="30" t="s">
        <v>43</v>
      </c>
      <c r="G582" s="33">
        <v>4.3460432000000004</v>
      </c>
      <c r="H582" s="83" t="s">
        <v>88</v>
      </c>
    </row>
    <row r="583" spans="1:8" ht="16.5" customHeight="1" x14ac:dyDescent="0.25">
      <c r="A583" s="27">
        <v>45723</v>
      </c>
      <c r="B583" s="80">
        <v>2025</v>
      </c>
      <c r="C583" s="80">
        <v>3</v>
      </c>
      <c r="D583" s="30" t="s">
        <v>41</v>
      </c>
      <c r="E583" s="30" t="s">
        <v>54</v>
      </c>
      <c r="F583" s="30" t="s">
        <v>43</v>
      </c>
      <c r="G583" s="33">
        <v>2.0009999999999999</v>
      </c>
      <c r="H583" s="83" t="s">
        <v>88</v>
      </c>
    </row>
    <row r="584" spans="1:8" ht="16.5" customHeight="1" x14ac:dyDescent="0.25">
      <c r="A584" s="27">
        <v>45723</v>
      </c>
      <c r="B584" s="80">
        <v>2025</v>
      </c>
      <c r="C584" s="80">
        <v>3</v>
      </c>
      <c r="D584" s="30" t="s">
        <v>41</v>
      </c>
      <c r="E584" s="30" t="s">
        <v>61</v>
      </c>
      <c r="F584" s="30" t="s">
        <v>47</v>
      </c>
      <c r="G584" s="33">
        <v>1.2423</v>
      </c>
      <c r="H584" s="83" t="s">
        <v>89</v>
      </c>
    </row>
    <row r="585" spans="1:8" ht="16.5" customHeight="1" x14ac:dyDescent="0.25">
      <c r="A585" s="27">
        <v>45723</v>
      </c>
      <c r="B585" s="80">
        <v>2025</v>
      </c>
      <c r="C585" s="80">
        <v>3</v>
      </c>
      <c r="D585" s="30" t="s">
        <v>41</v>
      </c>
      <c r="E585" s="30" t="s">
        <v>75</v>
      </c>
      <c r="F585" s="30" t="s">
        <v>43</v>
      </c>
      <c r="G585" s="33">
        <v>156.78385</v>
      </c>
      <c r="H585" s="83" t="s">
        <v>48</v>
      </c>
    </row>
    <row r="586" spans="1:8" ht="16.5" customHeight="1" x14ac:dyDescent="0.25">
      <c r="A586" s="27">
        <v>45726</v>
      </c>
      <c r="B586" s="80">
        <v>2025</v>
      </c>
      <c r="C586" s="80">
        <v>3</v>
      </c>
      <c r="D586" s="30" t="s">
        <v>41</v>
      </c>
      <c r="E586" s="30" t="s">
        <v>38</v>
      </c>
      <c r="F586" s="30" t="s">
        <v>43</v>
      </c>
      <c r="G586" s="33">
        <v>0.77500000000000002</v>
      </c>
      <c r="H586" s="83" t="s">
        <v>88</v>
      </c>
    </row>
    <row r="587" spans="1:8" ht="16.5" customHeight="1" x14ac:dyDescent="0.25">
      <c r="A587" s="27">
        <v>45726</v>
      </c>
      <c r="B587" s="80">
        <v>2025</v>
      </c>
      <c r="C587" s="80">
        <v>3</v>
      </c>
      <c r="D587" s="30" t="s">
        <v>41</v>
      </c>
      <c r="E587" s="30" t="s">
        <v>42</v>
      </c>
      <c r="F587" s="30" t="s">
        <v>43</v>
      </c>
      <c r="G587" s="33">
        <v>4.5720000000000001</v>
      </c>
      <c r="H587" s="83" t="s">
        <v>88</v>
      </c>
    </row>
    <row r="588" spans="1:8" ht="16.5" customHeight="1" x14ac:dyDescent="0.25">
      <c r="A588" s="27">
        <v>45726</v>
      </c>
      <c r="B588" s="80">
        <v>2025</v>
      </c>
      <c r="C588" s="80">
        <v>3</v>
      </c>
      <c r="D588" s="30" t="s">
        <v>41</v>
      </c>
      <c r="E588" s="30" t="s">
        <v>46</v>
      </c>
      <c r="F588" s="30" t="s">
        <v>43</v>
      </c>
      <c r="G588" s="33">
        <v>12.416219959999999</v>
      </c>
      <c r="H588" s="83" t="s">
        <v>88</v>
      </c>
    </row>
    <row r="589" spans="1:8" ht="16.5" customHeight="1" x14ac:dyDescent="0.25">
      <c r="A589" s="27">
        <v>45726</v>
      </c>
      <c r="B589" s="80">
        <v>2025</v>
      </c>
      <c r="C589" s="80">
        <v>3</v>
      </c>
      <c r="D589" s="30" t="s">
        <v>41</v>
      </c>
      <c r="E589" s="30" t="s">
        <v>46</v>
      </c>
      <c r="F589" s="30" t="s">
        <v>58</v>
      </c>
      <c r="G589" s="33">
        <v>0.55460515499999996</v>
      </c>
      <c r="H589" s="83" t="s">
        <v>88</v>
      </c>
    </row>
    <row r="590" spans="1:8" ht="16.5" customHeight="1" x14ac:dyDescent="0.25">
      <c r="A590" s="27">
        <v>45726</v>
      </c>
      <c r="B590" s="80">
        <v>2025</v>
      </c>
      <c r="C590" s="80">
        <v>3</v>
      </c>
      <c r="D590" s="30" t="s">
        <v>41</v>
      </c>
      <c r="E590" s="30" t="s">
        <v>50</v>
      </c>
      <c r="F590" s="30" t="s">
        <v>43</v>
      </c>
      <c r="G590" s="33">
        <v>2.4857399999999998</v>
      </c>
      <c r="H590" s="83" t="s">
        <v>88</v>
      </c>
    </row>
    <row r="591" spans="1:8" ht="16.5" customHeight="1" x14ac:dyDescent="0.25">
      <c r="A591" s="27">
        <v>45726</v>
      </c>
      <c r="B591" s="80">
        <v>2025</v>
      </c>
      <c r="C591" s="80">
        <v>3</v>
      </c>
      <c r="D591" s="30" t="s">
        <v>41</v>
      </c>
      <c r="E591" s="30" t="s">
        <v>50</v>
      </c>
      <c r="F591" s="30" t="s">
        <v>47</v>
      </c>
      <c r="G591" s="33">
        <v>0.73209999999999997</v>
      </c>
      <c r="H591" s="83" t="s">
        <v>88</v>
      </c>
    </row>
    <row r="592" spans="1:8" ht="16.5" customHeight="1" x14ac:dyDescent="0.25">
      <c r="A592" s="27">
        <v>45726</v>
      </c>
      <c r="B592" s="80">
        <v>2025</v>
      </c>
      <c r="C592" s="80">
        <v>3</v>
      </c>
      <c r="D592" s="30" t="s">
        <v>41</v>
      </c>
      <c r="E592" s="30" t="s">
        <v>50</v>
      </c>
      <c r="F592" s="30" t="s">
        <v>51</v>
      </c>
      <c r="G592" s="33">
        <v>0.87975000000000003</v>
      </c>
      <c r="H592" s="83" t="s">
        <v>88</v>
      </c>
    </row>
    <row r="593" spans="1:8" ht="16.5" customHeight="1" x14ac:dyDescent="0.25">
      <c r="A593" s="27">
        <v>45726</v>
      </c>
      <c r="B593" s="80">
        <v>2025</v>
      </c>
      <c r="C593" s="80">
        <v>3</v>
      </c>
      <c r="D593" s="30" t="s">
        <v>41</v>
      </c>
      <c r="E593" s="30" t="s">
        <v>50</v>
      </c>
      <c r="F593" s="30" t="s">
        <v>55</v>
      </c>
      <c r="G593" s="33">
        <v>0.89249999999999996</v>
      </c>
      <c r="H593" s="83" t="s">
        <v>88</v>
      </c>
    </row>
    <row r="594" spans="1:8" ht="16.5" customHeight="1" x14ac:dyDescent="0.25">
      <c r="A594" s="27">
        <v>45726</v>
      </c>
      <c r="B594" s="80">
        <v>2025</v>
      </c>
      <c r="C594" s="80">
        <v>3</v>
      </c>
      <c r="D594" s="30" t="s">
        <v>41</v>
      </c>
      <c r="E594" s="30" t="s">
        <v>50</v>
      </c>
      <c r="F594" s="30" t="s">
        <v>58</v>
      </c>
      <c r="G594" s="33">
        <v>0.56491000000000002</v>
      </c>
      <c r="H594" s="83" t="s">
        <v>88</v>
      </c>
    </row>
    <row r="595" spans="1:8" ht="16.5" customHeight="1" x14ac:dyDescent="0.25">
      <c r="A595" s="27">
        <v>45726</v>
      </c>
      <c r="B595" s="80">
        <v>2025</v>
      </c>
      <c r="C595" s="80">
        <v>3</v>
      </c>
      <c r="D595" s="30" t="s">
        <v>41</v>
      </c>
      <c r="E595" s="30" t="s">
        <v>54</v>
      </c>
      <c r="F595" s="30" t="s">
        <v>43</v>
      </c>
      <c r="G595" s="33">
        <v>4.7370000000000001</v>
      </c>
      <c r="H595" s="83" t="s">
        <v>88</v>
      </c>
    </row>
    <row r="596" spans="1:8" ht="16.5" customHeight="1" x14ac:dyDescent="0.25">
      <c r="A596" s="27">
        <v>45726</v>
      </c>
      <c r="B596" s="80">
        <v>2025</v>
      </c>
      <c r="C596" s="80">
        <v>3</v>
      </c>
      <c r="D596" s="30" t="s">
        <v>41</v>
      </c>
      <c r="E596" s="30" t="s">
        <v>57</v>
      </c>
      <c r="F596" s="30" t="s">
        <v>43</v>
      </c>
      <c r="G596" s="33">
        <v>6.39</v>
      </c>
      <c r="H596" s="83" t="s">
        <v>89</v>
      </c>
    </row>
    <row r="597" spans="1:8" ht="16.5" customHeight="1" x14ac:dyDescent="0.25">
      <c r="A597" s="27">
        <v>45726</v>
      </c>
      <c r="B597" s="80">
        <v>2025</v>
      </c>
      <c r="C597" s="80">
        <v>3</v>
      </c>
      <c r="D597" s="30" t="s">
        <v>41</v>
      </c>
      <c r="E597" s="30" t="s">
        <v>66</v>
      </c>
      <c r="F597" s="30" t="s">
        <v>43</v>
      </c>
      <c r="G597" s="33">
        <v>1.1812499999999999</v>
      </c>
      <c r="H597" s="83" t="s">
        <v>89</v>
      </c>
    </row>
    <row r="598" spans="1:8" ht="16.5" customHeight="1" x14ac:dyDescent="0.25">
      <c r="A598" s="27">
        <v>45726</v>
      </c>
      <c r="B598" s="80">
        <v>2025</v>
      </c>
      <c r="C598" s="80">
        <v>3</v>
      </c>
      <c r="D598" s="30" t="s">
        <v>41</v>
      </c>
      <c r="E598" s="30" t="s">
        <v>68</v>
      </c>
      <c r="F598" s="30" t="s">
        <v>43</v>
      </c>
      <c r="G598" s="33">
        <v>1.7324999999999999</v>
      </c>
      <c r="H598" s="83" t="s">
        <v>89</v>
      </c>
    </row>
    <row r="599" spans="1:8" ht="16.5" customHeight="1" x14ac:dyDescent="0.25">
      <c r="A599" s="27">
        <v>45726</v>
      </c>
      <c r="B599" s="80">
        <v>2025</v>
      </c>
      <c r="C599" s="80">
        <v>3</v>
      </c>
      <c r="D599" s="30" t="s">
        <v>41</v>
      </c>
      <c r="E599" s="30" t="s">
        <v>68</v>
      </c>
      <c r="F599" s="30" t="s">
        <v>55</v>
      </c>
      <c r="G599" s="33">
        <v>1.2</v>
      </c>
      <c r="H599" s="83" t="s">
        <v>89</v>
      </c>
    </row>
    <row r="600" spans="1:8" ht="16.5" customHeight="1" x14ac:dyDescent="0.25">
      <c r="A600" s="27">
        <v>45726</v>
      </c>
      <c r="B600" s="80">
        <v>2025</v>
      </c>
      <c r="C600" s="80">
        <v>3</v>
      </c>
      <c r="D600" s="30" t="s">
        <v>41</v>
      </c>
      <c r="E600" s="30" t="s">
        <v>75</v>
      </c>
      <c r="F600" s="30" t="s">
        <v>43</v>
      </c>
      <c r="G600" s="33">
        <v>64.915099999999995</v>
      </c>
      <c r="H600" s="83" t="s">
        <v>48</v>
      </c>
    </row>
    <row r="601" spans="1:8" ht="16.5" customHeight="1" x14ac:dyDescent="0.25">
      <c r="A601" s="27">
        <v>45727</v>
      </c>
      <c r="B601" s="80">
        <v>2025</v>
      </c>
      <c r="C601" s="80">
        <v>3</v>
      </c>
      <c r="D601" s="30" t="s">
        <v>41</v>
      </c>
      <c r="E601" s="30" t="s">
        <v>38</v>
      </c>
      <c r="F601" s="30" t="s">
        <v>43</v>
      </c>
      <c r="G601" s="33">
        <v>5.13687</v>
      </c>
      <c r="H601" s="83" t="s">
        <v>88</v>
      </c>
    </row>
    <row r="602" spans="1:8" ht="16.5" customHeight="1" x14ac:dyDescent="0.25">
      <c r="A602" s="27">
        <v>45727</v>
      </c>
      <c r="B602" s="80">
        <v>2025</v>
      </c>
      <c r="C602" s="80">
        <v>3</v>
      </c>
      <c r="D602" s="30" t="s">
        <v>41</v>
      </c>
      <c r="E602" s="30" t="s">
        <v>38</v>
      </c>
      <c r="F602" s="30" t="s">
        <v>55</v>
      </c>
      <c r="G602" s="33">
        <v>0.28555999999999998</v>
      </c>
      <c r="H602" s="83" t="s">
        <v>88</v>
      </c>
    </row>
    <row r="603" spans="1:8" ht="16.5" customHeight="1" x14ac:dyDescent="0.25">
      <c r="A603" s="27">
        <v>45727</v>
      </c>
      <c r="B603" s="80">
        <v>2025</v>
      </c>
      <c r="C603" s="80">
        <v>3</v>
      </c>
      <c r="D603" s="30" t="s">
        <v>41</v>
      </c>
      <c r="E603" s="30" t="s">
        <v>42</v>
      </c>
      <c r="F603" s="30" t="s">
        <v>43</v>
      </c>
      <c r="G603" s="33">
        <v>1.0029999999999999</v>
      </c>
      <c r="H603" s="83" t="s">
        <v>88</v>
      </c>
    </row>
    <row r="604" spans="1:8" ht="16.5" customHeight="1" x14ac:dyDescent="0.25">
      <c r="A604" s="27">
        <v>45727</v>
      </c>
      <c r="B604" s="80">
        <v>2025</v>
      </c>
      <c r="C604" s="80">
        <v>3</v>
      </c>
      <c r="D604" s="30" t="s">
        <v>41</v>
      </c>
      <c r="E604" s="30" t="s">
        <v>46</v>
      </c>
      <c r="F604" s="30" t="s">
        <v>43</v>
      </c>
      <c r="G604" s="33">
        <v>8.9029578800000007</v>
      </c>
      <c r="H604" s="83" t="s">
        <v>88</v>
      </c>
    </row>
    <row r="605" spans="1:8" ht="16.5" customHeight="1" x14ac:dyDescent="0.25">
      <c r="A605" s="27">
        <v>45727</v>
      </c>
      <c r="B605" s="80">
        <v>2025</v>
      </c>
      <c r="C605" s="80">
        <v>3</v>
      </c>
      <c r="D605" s="30" t="s">
        <v>41</v>
      </c>
      <c r="E605" s="30" t="s">
        <v>46</v>
      </c>
      <c r="F605" s="30" t="s">
        <v>51</v>
      </c>
      <c r="G605" s="33">
        <v>0.86780880000000005</v>
      </c>
      <c r="H605" s="83" t="s">
        <v>88</v>
      </c>
    </row>
    <row r="606" spans="1:8" ht="16.5" customHeight="1" x14ac:dyDescent="0.25">
      <c r="A606" s="27">
        <v>45727</v>
      </c>
      <c r="B606" s="80">
        <v>2025</v>
      </c>
      <c r="C606" s="80">
        <v>3</v>
      </c>
      <c r="D606" s="30" t="s">
        <v>41</v>
      </c>
      <c r="E606" s="30" t="s">
        <v>50</v>
      </c>
      <c r="F606" s="30" t="s">
        <v>43</v>
      </c>
      <c r="G606" s="33">
        <v>26.004508999999999</v>
      </c>
      <c r="H606" s="83" t="s">
        <v>88</v>
      </c>
    </row>
    <row r="607" spans="1:8" ht="16.5" customHeight="1" x14ac:dyDescent="0.25">
      <c r="A607" s="27">
        <v>45727</v>
      </c>
      <c r="B607" s="80">
        <v>2025</v>
      </c>
      <c r="C607" s="80">
        <v>3</v>
      </c>
      <c r="D607" s="30" t="s">
        <v>41</v>
      </c>
      <c r="E607" s="30" t="s">
        <v>50</v>
      </c>
      <c r="F607" s="30" t="s">
        <v>47</v>
      </c>
      <c r="G607" s="33">
        <v>0.31080000000000002</v>
      </c>
      <c r="H607" s="83" t="s">
        <v>88</v>
      </c>
    </row>
    <row r="608" spans="1:8" ht="16.5" customHeight="1" x14ac:dyDescent="0.25">
      <c r="A608" s="27">
        <v>45727</v>
      </c>
      <c r="B608" s="80">
        <v>2025</v>
      </c>
      <c r="C608" s="80">
        <v>3</v>
      </c>
      <c r="D608" s="30" t="s">
        <v>41</v>
      </c>
      <c r="E608" s="30" t="s">
        <v>50</v>
      </c>
      <c r="F608" s="30" t="s">
        <v>55</v>
      </c>
      <c r="G608" s="33">
        <v>0.17849999999999999</v>
      </c>
      <c r="H608" s="83" t="s">
        <v>88</v>
      </c>
    </row>
    <row r="609" spans="1:8" ht="16.5" customHeight="1" x14ac:dyDescent="0.25">
      <c r="A609" s="27">
        <v>45727</v>
      </c>
      <c r="B609" s="80">
        <v>2025</v>
      </c>
      <c r="C609" s="80">
        <v>3</v>
      </c>
      <c r="D609" s="30" t="s">
        <v>41</v>
      </c>
      <c r="E609" s="30" t="s">
        <v>54</v>
      </c>
      <c r="F609" s="30" t="s">
        <v>43</v>
      </c>
      <c r="G609" s="33">
        <v>5.05</v>
      </c>
      <c r="H609" s="83" t="s">
        <v>88</v>
      </c>
    </row>
    <row r="610" spans="1:8" ht="16.5" customHeight="1" x14ac:dyDescent="0.25">
      <c r="A610" s="27">
        <v>45727</v>
      </c>
      <c r="B610" s="80">
        <v>2025</v>
      </c>
      <c r="C610" s="80">
        <v>3</v>
      </c>
      <c r="D610" s="30" t="s">
        <v>41</v>
      </c>
      <c r="E610" s="30" t="s">
        <v>66</v>
      </c>
      <c r="F610" s="30" t="s">
        <v>43</v>
      </c>
      <c r="G610" s="33">
        <v>8.1174999999999997</v>
      </c>
      <c r="H610" s="83" t="s">
        <v>89</v>
      </c>
    </row>
    <row r="611" spans="1:8" ht="16.5" customHeight="1" x14ac:dyDescent="0.25">
      <c r="A611" s="27">
        <v>45727</v>
      </c>
      <c r="B611" s="80">
        <v>2025</v>
      </c>
      <c r="C611" s="80">
        <v>3</v>
      </c>
      <c r="D611" s="30" t="s">
        <v>41</v>
      </c>
      <c r="E611" s="30" t="s">
        <v>75</v>
      </c>
      <c r="F611" s="30" t="s">
        <v>43</v>
      </c>
      <c r="G611" s="33">
        <v>6.9020659999999996</v>
      </c>
      <c r="H611" s="83" t="s">
        <v>48</v>
      </c>
    </row>
    <row r="612" spans="1:8" ht="16.5" customHeight="1" x14ac:dyDescent="0.25">
      <c r="A612" s="27">
        <v>45728</v>
      </c>
      <c r="B612" s="80">
        <v>2025</v>
      </c>
      <c r="C612" s="80">
        <v>3</v>
      </c>
      <c r="D612" s="30" t="s">
        <v>41</v>
      </c>
      <c r="E612" s="30" t="s">
        <v>38</v>
      </c>
      <c r="F612" s="30" t="s">
        <v>43</v>
      </c>
      <c r="G612" s="33">
        <v>5.1415759999999997</v>
      </c>
      <c r="H612" s="83" t="s">
        <v>88</v>
      </c>
    </row>
    <row r="613" spans="1:8" ht="16.5" customHeight="1" x14ac:dyDescent="0.25">
      <c r="A613" s="27">
        <v>45728</v>
      </c>
      <c r="B613" s="80">
        <v>2025</v>
      </c>
      <c r="C613" s="80">
        <v>3</v>
      </c>
      <c r="D613" s="30" t="s">
        <v>41</v>
      </c>
      <c r="E613" s="30" t="s">
        <v>38</v>
      </c>
      <c r="F613" s="30" t="s">
        <v>47</v>
      </c>
      <c r="G613" s="33">
        <v>1.1025</v>
      </c>
      <c r="H613" s="83" t="s">
        <v>88</v>
      </c>
    </row>
    <row r="614" spans="1:8" ht="16.5" customHeight="1" x14ac:dyDescent="0.25">
      <c r="A614" s="27">
        <v>45728</v>
      </c>
      <c r="B614" s="80">
        <v>2025</v>
      </c>
      <c r="C614" s="80">
        <v>3</v>
      </c>
      <c r="D614" s="30" t="s">
        <v>41</v>
      </c>
      <c r="E614" s="30" t="s">
        <v>42</v>
      </c>
      <c r="F614" s="30" t="s">
        <v>43</v>
      </c>
      <c r="G614" s="33">
        <v>3.774</v>
      </c>
      <c r="H614" s="83" t="s">
        <v>88</v>
      </c>
    </row>
    <row r="615" spans="1:8" ht="16.5" customHeight="1" x14ac:dyDescent="0.25">
      <c r="A615" s="27">
        <v>45728</v>
      </c>
      <c r="B615" s="80">
        <v>2025</v>
      </c>
      <c r="C615" s="80">
        <v>3</v>
      </c>
      <c r="D615" s="30" t="s">
        <v>41</v>
      </c>
      <c r="E615" s="30" t="s">
        <v>46</v>
      </c>
      <c r="F615" s="30" t="s">
        <v>43</v>
      </c>
      <c r="G615" s="33">
        <v>28.460608090000001</v>
      </c>
      <c r="H615" s="83" t="s">
        <v>88</v>
      </c>
    </row>
    <row r="616" spans="1:8" ht="16.5" customHeight="1" x14ac:dyDescent="0.25">
      <c r="A616" s="27">
        <v>45728</v>
      </c>
      <c r="B616" s="80">
        <v>2025</v>
      </c>
      <c r="C616" s="80">
        <v>3</v>
      </c>
      <c r="D616" s="30" t="s">
        <v>41</v>
      </c>
      <c r="E616" s="30" t="s">
        <v>46</v>
      </c>
      <c r="F616" s="30" t="s">
        <v>51</v>
      </c>
      <c r="G616" s="33">
        <v>1.2512592</v>
      </c>
      <c r="H616" s="83" t="s">
        <v>88</v>
      </c>
    </row>
    <row r="617" spans="1:8" ht="16.5" customHeight="1" x14ac:dyDescent="0.25">
      <c r="A617" s="27">
        <v>45728</v>
      </c>
      <c r="B617" s="80">
        <v>2025</v>
      </c>
      <c r="C617" s="80">
        <v>3</v>
      </c>
      <c r="D617" s="30" t="s">
        <v>41</v>
      </c>
      <c r="E617" s="30" t="s">
        <v>46</v>
      </c>
      <c r="F617" s="30" t="s">
        <v>58</v>
      </c>
      <c r="G617" s="33">
        <v>0.87233662499999998</v>
      </c>
      <c r="H617" s="83" t="s">
        <v>88</v>
      </c>
    </row>
    <row r="618" spans="1:8" ht="16.5" customHeight="1" x14ac:dyDescent="0.25">
      <c r="A618" s="27">
        <v>45728</v>
      </c>
      <c r="B618" s="80">
        <v>2025</v>
      </c>
      <c r="C618" s="80">
        <v>3</v>
      </c>
      <c r="D618" s="30" t="s">
        <v>41</v>
      </c>
      <c r="E618" s="30" t="s">
        <v>50</v>
      </c>
      <c r="F618" s="30" t="s">
        <v>43</v>
      </c>
      <c r="G618" s="33">
        <v>1.0577399999999999</v>
      </c>
      <c r="H618" s="83" t="s">
        <v>88</v>
      </c>
    </row>
    <row r="619" spans="1:8" ht="16.5" customHeight="1" x14ac:dyDescent="0.25">
      <c r="A619" s="27">
        <v>45728</v>
      </c>
      <c r="B619" s="80">
        <v>2025</v>
      </c>
      <c r="C619" s="80">
        <v>3</v>
      </c>
      <c r="D619" s="30" t="s">
        <v>41</v>
      </c>
      <c r="E619" s="30" t="s">
        <v>50</v>
      </c>
      <c r="F619" s="30" t="s">
        <v>47</v>
      </c>
      <c r="G619" s="33">
        <v>0.62160000000000004</v>
      </c>
      <c r="H619" s="83" t="s">
        <v>88</v>
      </c>
    </row>
    <row r="620" spans="1:8" ht="16.5" customHeight="1" x14ac:dyDescent="0.25">
      <c r="A620" s="27">
        <v>45728</v>
      </c>
      <c r="B620" s="80">
        <v>2025</v>
      </c>
      <c r="C620" s="80">
        <v>3</v>
      </c>
      <c r="D620" s="30" t="s">
        <v>41</v>
      </c>
      <c r="E620" s="30" t="s">
        <v>50</v>
      </c>
      <c r="F620" s="30" t="s">
        <v>51</v>
      </c>
      <c r="G620" s="33">
        <v>0.54900000000000004</v>
      </c>
      <c r="H620" s="83" t="s">
        <v>88</v>
      </c>
    </row>
    <row r="621" spans="1:8" ht="16.5" customHeight="1" x14ac:dyDescent="0.25">
      <c r="A621" s="27">
        <v>45728</v>
      </c>
      <c r="B621" s="80">
        <v>2025</v>
      </c>
      <c r="C621" s="80">
        <v>3</v>
      </c>
      <c r="D621" s="30" t="s">
        <v>41</v>
      </c>
      <c r="E621" s="30" t="s">
        <v>50</v>
      </c>
      <c r="F621" s="30" t="s">
        <v>58</v>
      </c>
      <c r="G621" s="33">
        <v>0.94507529999999995</v>
      </c>
      <c r="H621" s="83" t="s">
        <v>88</v>
      </c>
    </row>
    <row r="622" spans="1:8" ht="16.5" customHeight="1" x14ac:dyDescent="0.25">
      <c r="A622" s="27">
        <v>45728</v>
      </c>
      <c r="B622" s="80">
        <v>2025</v>
      </c>
      <c r="C622" s="80">
        <v>3</v>
      </c>
      <c r="D622" s="30" t="s">
        <v>41</v>
      </c>
      <c r="E622" s="30" t="s">
        <v>54</v>
      </c>
      <c r="F622" s="30" t="s">
        <v>43</v>
      </c>
      <c r="G622" s="33">
        <v>2.2109999999999999</v>
      </c>
      <c r="H622" s="83" t="s">
        <v>88</v>
      </c>
    </row>
    <row r="623" spans="1:8" ht="16.5" customHeight="1" x14ac:dyDescent="0.25">
      <c r="A623" s="27">
        <v>45728</v>
      </c>
      <c r="B623" s="80">
        <v>2025</v>
      </c>
      <c r="C623" s="80">
        <v>3</v>
      </c>
      <c r="D623" s="30" t="s">
        <v>41</v>
      </c>
      <c r="E623" s="30" t="s">
        <v>57</v>
      </c>
      <c r="F623" s="30" t="s">
        <v>39</v>
      </c>
      <c r="G623" s="33">
        <v>3.2663000000000002</v>
      </c>
      <c r="H623" s="83" t="s">
        <v>89</v>
      </c>
    </row>
    <row r="624" spans="1:8" ht="16.5" customHeight="1" x14ac:dyDescent="0.25">
      <c r="A624" s="27">
        <v>45728</v>
      </c>
      <c r="B624" s="80">
        <v>2025</v>
      </c>
      <c r="C624" s="80">
        <v>3</v>
      </c>
      <c r="D624" s="30" t="s">
        <v>41</v>
      </c>
      <c r="E624" s="30" t="s">
        <v>57</v>
      </c>
      <c r="F624" s="30" t="s">
        <v>43</v>
      </c>
      <c r="G624" s="33">
        <v>4.8526999999999996</v>
      </c>
      <c r="H624" s="83" t="s">
        <v>89</v>
      </c>
    </row>
    <row r="625" spans="1:8" ht="16.5" customHeight="1" x14ac:dyDescent="0.25">
      <c r="A625" s="27">
        <v>45728</v>
      </c>
      <c r="B625" s="80">
        <v>2025</v>
      </c>
      <c r="C625" s="80">
        <v>3</v>
      </c>
      <c r="D625" s="30" t="s">
        <v>41</v>
      </c>
      <c r="E625" s="30" t="s">
        <v>64</v>
      </c>
      <c r="F625" s="30" t="s">
        <v>43</v>
      </c>
      <c r="G625" s="33">
        <v>8.1585000000000001</v>
      </c>
      <c r="H625" s="83" t="s">
        <v>89</v>
      </c>
    </row>
    <row r="626" spans="1:8" ht="16.5" customHeight="1" x14ac:dyDescent="0.25">
      <c r="A626" s="27">
        <v>45729</v>
      </c>
      <c r="B626" s="80">
        <v>2025</v>
      </c>
      <c r="C626" s="80">
        <v>3</v>
      </c>
      <c r="D626" s="30" t="s">
        <v>41</v>
      </c>
      <c r="E626" s="30" t="s">
        <v>38</v>
      </c>
      <c r="F626" s="30" t="s">
        <v>43</v>
      </c>
      <c r="G626" s="33">
        <v>2.33087</v>
      </c>
      <c r="H626" s="83" t="s">
        <v>88</v>
      </c>
    </row>
    <row r="627" spans="1:8" ht="16.5" customHeight="1" x14ac:dyDescent="0.25">
      <c r="A627" s="27">
        <v>45729</v>
      </c>
      <c r="B627" s="80">
        <v>2025</v>
      </c>
      <c r="C627" s="80">
        <v>3</v>
      </c>
      <c r="D627" s="30" t="s">
        <v>41</v>
      </c>
      <c r="E627" s="30" t="s">
        <v>46</v>
      </c>
      <c r="F627" s="30" t="s">
        <v>43</v>
      </c>
      <c r="G627" s="33">
        <v>3.717002125</v>
      </c>
      <c r="H627" s="83" t="s">
        <v>88</v>
      </c>
    </row>
    <row r="628" spans="1:8" ht="16.5" customHeight="1" x14ac:dyDescent="0.25">
      <c r="A628" s="27">
        <v>45729</v>
      </c>
      <c r="B628" s="80">
        <v>2025</v>
      </c>
      <c r="C628" s="80">
        <v>3</v>
      </c>
      <c r="D628" s="30" t="s">
        <v>41</v>
      </c>
      <c r="E628" s="30" t="s">
        <v>46</v>
      </c>
      <c r="F628" s="30" t="s">
        <v>51</v>
      </c>
      <c r="G628" s="33">
        <v>0.20854320000000001</v>
      </c>
      <c r="H628" s="83" t="s">
        <v>88</v>
      </c>
    </row>
    <row r="629" spans="1:8" ht="16.5" customHeight="1" x14ac:dyDescent="0.25">
      <c r="A629" s="27">
        <v>45729</v>
      </c>
      <c r="B629" s="80">
        <v>2025</v>
      </c>
      <c r="C629" s="80">
        <v>3</v>
      </c>
      <c r="D629" s="30" t="s">
        <v>41</v>
      </c>
      <c r="E629" s="30" t="s">
        <v>50</v>
      </c>
      <c r="F629" s="30" t="s">
        <v>43</v>
      </c>
      <c r="G629" s="33">
        <v>36.332850000000001</v>
      </c>
      <c r="H629" s="83" t="s">
        <v>88</v>
      </c>
    </row>
    <row r="630" spans="1:8" ht="16.5" customHeight="1" x14ac:dyDescent="0.25">
      <c r="A630" s="27">
        <v>45729</v>
      </c>
      <c r="B630" s="80">
        <v>2025</v>
      </c>
      <c r="C630" s="80">
        <v>3</v>
      </c>
      <c r="D630" s="30" t="s">
        <v>41</v>
      </c>
      <c r="E630" s="30" t="s">
        <v>54</v>
      </c>
      <c r="F630" s="30" t="s">
        <v>43</v>
      </c>
      <c r="G630" s="33">
        <v>28.091699999999999</v>
      </c>
      <c r="H630" s="83" t="s">
        <v>88</v>
      </c>
    </row>
    <row r="631" spans="1:8" ht="16.5" customHeight="1" x14ac:dyDescent="0.25">
      <c r="A631" s="27">
        <v>45729</v>
      </c>
      <c r="B631" s="80">
        <v>2025</v>
      </c>
      <c r="C631" s="80">
        <v>3</v>
      </c>
      <c r="D631" s="30" t="s">
        <v>41</v>
      </c>
      <c r="E631" s="30" t="s">
        <v>54</v>
      </c>
      <c r="F631" s="30" t="s">
        <v>47</v>
      </c>
      <c r="G631" s="33">
        <v>2.0699999999999998</v>
      </c>
      <c r="H631" s="83" t="s">
        <v>88</v>
      </c>
    </row>
    <row r="632" spans="1:8" ht="16.5" customHeight="1" x14ac:dyDescent="0.25">
      <c r="A632" s="27">
        <v>45729</v>
      </c>
      <c r="B632" s="80">
        <v>2025</v>
      </c>
      <c r="C632" s="80">
        <v>3</v>
      </c>
      <c r="D632" s="30" t="s">
        <v>41</v>
      </c>
      <c r="E632" s="30" t="s">
        <v>57</v>
      </c>
      <c r="F632" s="30" t="s">
        <v>43</v>
      </c>
      <c r="G632" s="33">
        <v>20.663499999999999</v>
      </c>
      <c r="H632" s="83" t="s">
        <v>89</v>
      </c>
    </row>
    <row r="633" spans="1:8" ht="16.5" customHeight="1" x14ac:dyDescent="0.25">
      <c r="A633" s="27">
        <v>45729</v>
      </c>
      <c r="B633" s="80">
        <v>2025</v>
      </c>
      <c r="C633" s="80">
        <v>3</v>
      </c>
      <c r="D633" s="30" t="s">
        <v>41</v>
      </c>
      <c r="E633" s="30" t="s">
        <v>64</v>
      </c>
      <c r="F633" s="30" t="s">
        <v>43</v>
      </c>
      <c r="G633" s="33">
        <v>26.766359999999999</v>
      </c>
      <c r="H633" s="83" t="s">
        <v>89</v>
      </c>
    </row>
    <row r="634" spans="1:8" ht="16.5" customHeight="1" x14ac:dyDescent="0.25">
      <c r="A634" s="27">
        <v>45729</v>
      </c>
      <c r="B634" s="80">
        <v>2025</v>
      </c>
      <c r="C634" s="80">
        <v>3</v>
      </c>
      <c r="D634" s="30" t="s">
        <v>41</v>
      </c>
      <c r="E634" s="30" t="s">
        <v>68</v>
      </c>
      <c r="F634" s="30" t="s">
        <v>43</v>
      </c>
      <c r="G634" s="33">
        <v>0.51500000000000001</v>
      </c>
      <c r="H634" s="83" t="s">
        <v>89</v>
      </c>
    </row>
    <row r="635" spans="1:8" ht="16.5" customHeight="1" x14ac:dyDescent="0.25">
      <c r="A635" s="27">
        <v>45729</v>
      </c>
      <c r="B635" s="80">
        <v>2025</v>
      </c>
      <c r="C635" s="80">
        <v>3</v>
      </c>
      <c r="D635" s="30" t="s">
        <v>41</v>
      </c>
      <c r="E635" s="30" t="s">
        <v>68</v>
      </c>
      <c r="F635" s="30" t="s">
        <v>55</v>
      </c>
      <c r="G635" s="33">
        <v>0.44</v>
      </c>
      <c r="H635" s="83" t="s">
        <v>89</v>
      </c>
    </row>
    <row r="636" spans="1:8" ht="16.5" customHeight="1" x14ac:dyDescent="0.25">
      <c r="A636" s="27">
        <v>45729</v>
      </c>
      <c r="B636" s="80">
        <v>2025</v>
      </c>
      <c r="C636" s="80">
        <v>3</v>
      </c>
      <c r="D636" s="30" t="s">
        <v>41</v>
      </c>
      <c r="E636" s="30" t="s">
        <v>71</v>
      </c>
      <c r="F636" s="30" t="s">
        <v>39</v>
      </c>
      <c r="G636" s="33">
        <v>1.3332165</v>
      </c>
      <c r="H636" s="83" t="s">
        <v>89</v>
      </c>
    </row>
    <row r="637" spans="1:8" ht="16.5" customHeight="1" x14ac:dyDescent="0.25">
      <c r="A637" s="27">
        <v>45729</v>
      </c>
      <c r="B637" s="80">
        <v>2025</v>
      </c>
      <c r="C637" s="80">
        <v>3</v>
      </c>
      <c r="D637" s="30" t="s">
        <v>41</v>
      </c>
      <c r="E637" s="30" t="s">
        <v>71</v>
      </c>
      <c r="F637" s="30" t="s">
        <v>43</v>
      </c>
      <c r="G637" s="33">
        <v>15.694750000000001</v>
      </c>
      <c r="H637" s="83" t="s">
        <v>89</v>
      </c>
    </row>
    <row r="638" spans="1:8" ht="16.5" customHeight="1" x14ac:dyDescent="0.25">
      <c r="A638" s="27">
        <v>45729</v>
      </c>
      <c r="B638" s="80">
        <v>2025</v>
      </c>
      <c r="C638" s="80">
        <v>3</v>
      </c>
      <c r="D638" s="30" t="s">
        <v>41</v>
      </c>
      <c r="E638" s="30" t="s">
        <v>75</v>
      </c>
      <c r="F638" s="30" t="s">
        <v>43</v>
      </c>
      <c r="G638" s="33">
        <v>3.2139145</v>
      </c>
      <c r="H638" s="83" t="s">
        <v>48</v>
      </c>
    </row>
    <row r="639" spans="1:8" ht="16.5" customHeight="1" x14ac:dyDescent="0.25">
      <c r="A639" s="27">
        <v>45730</v>
      </c>
      <c r="B639" s="80">
        <v>2025</v>
      </c>
      <c r="C639" s="80">
        <v>3</v>
      </c>
      <c r="D639" s="30" t="s">
        <v>41</v>
      </c>
      <c r="E639" s="30" t="s">
        <v>38</v>
      </c>
      <c r="F639" s="30" t="s">
        <v>43</v>
      </c>
      <c r="G639" s="33">
        <v>18.5745</v>
      </c>
      <c r="H639" s="83" t="s">
        <v>88</v>
      </c>
    </row>
    <row r="640" spans="1:8" ht="16.5" customHeight="1" x14ac:dyDescent="0.25">
      <c r="A640" s="27">
        <v>45730</v>
      </c>
      <c r="B640" s="80">
        <v>2025</v>
      </c>
      <c r="C640" s="80">
        <v>3</v>
      </c>
      <c r="D640" s="30" t="s">
        <v>41</v>
      </c>
      <c r="E640" s="30" t="s">
        <v>38</v>
      </c>
      <c r="F640" s="30" t="s">
        <v>47</v>
      </c>
      <c r="G640" s="33">
        <v>1.8</v>
      </c>
      <c r="H640" s="83" t="s">
        <v>88</v>
      </c>
    </row>
    <row r="641" spans="1:8" ht="16.5" customHeight="1" x14ac:dyDescent="0.25">
      <c r="A641" s="27">
        <v>45730</v>
      </c>
      <c r="B641" s="80">
        <v>2025</v>
      </c>
      <c r="C641" s="80">
        <v>3</v>
      </c>
      <c r="D641" s="30" t="s">
        <v>41</v>
      </c>
      <c r="E641" s="30" t="s">
        <v>42</v>
      </c>
      <c r="F641" s="30" t="s">
        <v>43</v>
      </c>
      <c r="G641" s="33">
        <v>9.5470000000000006</v>
      </c>
      <c r="H641" s="83" t="s">
        <v>88</v>
      </c>
    </row>
    <row r="642" spans="1:8" ht="16.5" customHeight="1" x14ac:dyDescent="0.25">
      <c r="A642" s="27">
        <v>45730</v>
      </c>
      <c r="B642" s="80">
        <v>2025</v>
      </c>
      <c r="C642" s="80">
        <v>3</v>
      </c>
      <c r="D642" s="30" t="s">
        <v>41</v>
      </c>
      <c r="E642" s="30" t="s">
        <v>42</v>
      </c>
      <c r="F642" s="30" t="s">
        <v>55</v>
      </c>
      <c r="G642" s="33">
        <v>0.215</v>
      </c>
      <c r="H642" s="83" t="s">
        <v>88</v>
      </c>
    </row>
    <row r="643" spans="1:8" ht="16.5" customHeight="1" x14ac:dyDescent="0.25">
      <c r="A643" s="27">
        <v>45730</v>
      </c>
      <c r="B643" s="80">
        <v>2025</v>
      </c>
      <c r="C643" s="80">
        <v>3</v>
      </c>
      <c r="D643" s="30" t="s">
        <v>41</v>
      </c>
      <c r="E643" s="30" t="s">
        <v>42</v>
      </c>
      <c r="F643" s="30" t="s">
        <v>58</v>
      </c>
      <c r="G643" s="33">
        <v>1.9958</v>
      </c>
      <c r="H643" s="83" t="s">
        <v>88</v>
      </c>
    </row>
    <row r="644" spans="1:8" ht="16.5" customHeight="1" x14ac:dyDescent="0.25">
      <c r="A644" s="27">
        <v>45730</v>
      </c>
      <c r="B644" s="80">
        <v>2025</v>
      </c>
      <c r="C644" s="80">
        <v>3</v>
      </c>
      <c r="D644" s="30" t="s">
        <v>41</v>
      </c>
      <c r="E644" s="30" t="s">
        <v>46</v>
      </c>
      <c r="F644" s="30" t="s">
        <v>43</v>
      </c>
      <c r="G644" s="33">
        <v>1.0709354</v>
      </c>
      <c r="H644" s="83" t="s">
        <v>88</v>
      </c>
    </row>
    <row r="645" spans="1:8" ht="16.5" customHeight="1" x14ac:dyDescent="0.25">
      <c r="A645" s="27">
        <v>45730</v>
      </c>
      <c r="B645" s="80">
        <v>2025</v>
      </c>
      <c r="C645" s="80">
        <v>3</v>
      </c>
      <c r="D645" s="30" t="s">
        <v>41</v>
      </c>
      <c r="E645" s="30" t="s">
        <v>50</v>
      </c>
      <c r="F645" s="30" t="s">
        <v>43</v>
      </c>
      <c r="G645" s="33">
        <v>4.3471859999999998</v>
      </c>
      <c r="H645" s="83" t="s">
        <v>88</v>
      </c>
    </row>
    <row r="646" spans="1:8" ht="16.5" customHeight="1" x14ac:dyDescent="0.25">
      <c r="A646" s="27">
        <v>45730</v>
      </c>
      <c r="B646" s="80">
        <v>2025</v>
      </c>
      <c r="C646" s="80">
        <v>3</v>
      </c>
      <c r="D646" s="30" t="s">
        <v>41</v>
      </c>
      <c r="E646" s="30" t="s">
        <v>50</v>
      </c>
      <c r="F646" s="30" t="s">
        <v>58</v>
      </c>
      <c r="G646" s="33">
        <v>2.0466426000000002</v>
      </c>
      <c r="H646" s="83" t="s">
        <v>88</v>
      </c>
    </row>
    <row r="647" spans="1:8" ht="16.5" customHeight="1" x14ac:dyDescent="0.25">
      <c r="A647" s="27">
        <v>45730</v>
      </c>
      <c r="B647" s="80">
        <v>2025</v>
      </c>
      <c r="C647" s="80">
        <v>3</v>
      </c>
      <c r="D647" s="30" t="s">
        <v>41</v>
      </c>
      <c r="E647" s="30" t="s">
        <v>54</v>
      </c>
      <c r="F647" s="30" t="s">
        <v>43</v>
      </c>
      <c r="G647" s="33">
        <v>3.0249999999999999</v>
      </c>
      <c r="H647" s="83" t="s">
        <v>88</v>
      </c>
    </row>
    <row r="648" spans="1:8" ht="16.5" customHeight="1" x14ac:dyDescent="0.25">
      <c r="A648" s="27">
        <v>45730</v>
      </c>
      <c r="B648" s="80">
        <v>2025</v>
      </c>
      <c r="C648" s="80">
        <v>3</v>
      </c>
      <c r="D648" s="30" t="s">
        <v>41</v>
      </c>
      <c r="E648" s="30" t="s">
        <v>54</v>
      </c>
      <c r="F648" s="30" t="s">
        <v>47</v>
      </c>
      <c r="G648" s="33">
        <v>0.39</v>
      </c>
      <c r="H648" s="83" t="s">
        <v>88</v>
      </c>
    </row>
    <row r="649" spans="1:8" ht="16.5" customHeight="1" x14ac:dyDescent="0.25">
      <c r="A649" s="27">
        <v>45730</v>
      </c>
      <c r="B649" s="80">
        <v>2025</v>
      </c>
      <c r="C649" s="80">
        <v>3</v>
      </c>
      <c r="D649" s="30" t="s">
        <v>41</v>
      </c>
      <c r="E649" s="30" t="s">
        <v>57</v>
      </c>
      <c r="F649" s="30" t="s">
        <v>43</v>
      </c>
      <c r="G649" s="33">
        <v>33.910800000000002</v>
      </c>
      <c r="H649" s="83" t="s">
        <v>89</v>
      </c>
    </row>
    <row r="650" spans="1:8" ht="16.5" customHeight="1" x14ac:dyDescent="0.25">
      <c r="A650" s="27">
        <v>45730</v>
      </c>
      <c r="B650" s="80">
        <v>2025</v>
      </c>
      <c r="C650" s="80">
        <v>3</v>
      </c>
      <c r="D650" s="30" t="s">
        <v>41</v>
      </c>
      <c r="E650" s="30" t="s">
        <v>61</v>
      </c>
      <c r="F650" s="30" t="s">
        <v>43</v>
      </c>
      <c r="G650" s="33">
        <v>2.77</v>
      </c>
      <c r="H650" s="83" t="s">
        <v>89</v>
      </c>
    </row>
    <row r="651" spans="1:8" ht="16.5" customHeight="1" x14ac:dyDescent="0.25">
      <c r="A651" s="27">
        <v>45730</v>
      </c>
      <c r="B651" s="80">
        <v>2025</v>
      </c>
      <c r="C651" s="80">
        <v>3</v>
      </c>
      <c r="D651" s="30" t="s">
        <v>41</v>
      </c>
      <c r="E651" s="30" t="s">
        <v>61</v>
      </c>
      <c r="F651" s="30" t="s">
        <v>55</v>
      </c>
      <c r="G651" s="33">
        <v>4.84</v>
      </c>
      <c r="H651" s="83" t="s">
        <v>89</v>
      </c>
    </row>
    <row r="652" spans="1:8" ht="16.5" customHeight="1" x14ac:dyDescent="0.25">
      <c r="A652" s="27">
        <v>45730</v>
      </c>
      <c r="B652" s="80">
        <v>2025</v>
      </c>
      <c r="C652" s="80">
        <v>3</v>
      </c>
      <c r="D652" s="30" t="s">
        <v>41</v>
      </c>
      <c r="E652" s="30" t="s">
        <v>64</v>
      </c>
      <c r="F652" s="30" t="s">
        <v>43</v>
      </c>
      <c r="G652" s="33">
        <v>5.0490000000000004</v>
      </c>
      <c r="H652" s="83" t="s">
        <v>89</v>
      </c>
    </row>
    <row r="653" spans="1:8" ht="16.5" customHeight="1" x14ac:dyDescent="0.25">
      <c r="A653" s="27">
        <v>45730</v>
      </c>
      <c r="B653" s="80">
        <v>2025</v>
      </c>
      <c r="C653" s="80">
        <v>3</v>
      </c>
      <c r="D653" s="30" t="s">
        <v>41</v>
      </c>
      <c r="E653" s="30" t="s">
        <v>66</v>
      </c>
      <c r="F653" s="30" t="s">
        <v>43</v>
      </c>
      <c r="G653" s="33">
        <v>3.0249999999999999</v>
      </c>
      <c r="H653" s="83" t="s">
        <v>89</v>
      </c>
    </row>
    <row r="654" spans="1:8" ht="16.5" customHeight="1" x14ac:dyDescent="0.25">
      <c r="A654" s="27">
        <v>45730</v>
      </c>
      <c r="B654" s="80">
        <v>2025</v>
      </c>
      <c r="C654" s="80">
        <v>3</v>
      </c>
      <c r="D654" s="30" t="s">
        <v>41</v>
      </c>
      <c r="E654" s="30" t="s">
        <v>68</v>
      </c>
      <c r="F654" s="30" t="s">
        <v>43</v>
      </c>
      <c r="G654" s="33">
        <v>0.54</v>
      </c>
      <c r="H654" s="83" t="s">
        <v>89</v>
      </c>
    </row>
    <row r="655" spans="1:8" ht="16.5" customHeight="1" x14ac:dyDescent="0.25">
      <c r="A655" s="27">
        <v>45730</v>
      </c>
      <c r="B655" s="80">
        <v>2025</v>
      </c>
      <c r="C655" s="80">
        <v>3</v>
      </c>
      <c r="D655" s="30" t="s">
        <v>41</v>
      </c>
      <c r="E655" s="30" t="s">
        <v>68</v>
      </c>
      <c r="F655" s="30" t="s">
        <v>51</v>
      </c>
      <c r="G655" s="33">
        <v>1.8614999999999999</v>
      </c>
      <c r="H655" s="83" t="s">
        <v>89</v>
      </c>
    </row>
    <row r="656" spans="1:8" ht="16.5" customHeight="1" x14ac:dyDescent="0.25">
      <c r="A656" s="27">
        <v>45730</v>
      </c>
      <c r="B656" s="80">
        <v>2025</v>
      </c>
      <c r="C656" s="80">
        <v>3</v>
      </c>
      <c r="D656" s="30" t="s">
        <v>41</v>
      </c>
      <c r="E656" s="30" t="s">
        <v>71</v>
      </c>
      <c r="F656" s="30" t="s">
        <v>43</v>
      </c>
      <c r="G656" s="33">
        <v>39.269750000000002</v>
      </c>
      <c r="H656" s="83" t="s">
        <v>89</v>
      </c>
    </row>
    <row r="657" spans="1:8" ht="16.5" customHeight="1" x14ac:dyDescent="0.25">
      <c r="A657" s="27">
        <v>45733</v>
      </c>
      <c r="B657" s="80">
        <v>2025</v>
      </c>
      <c r="C657" s="80">
        <v>3</v>
      </c>
      <c r="D657" s="30" t="s">
        <v>41</v>
      </c>
      <c r="E657" s="30" t="s">
        <v>38</v>
      </c>
      <c r="F657" s="30" t="s">
        <v>43</v>
      </c>
      <c r="G657" s="33">
        <v>5.27</v>
      </c>
      <c r="H657" s="83" t="s">
        <v>88</v>
      </c>
    </row>
    <row r="658" spans="1:8" ht="16.5" customHeight="1" x14ac:dyDescent="0.25">
      <c r="A658" s="27">
        <v>45733</v>
      </c>
      <c r="B658" s="80">
        <v>2025</v>
      </c>
      <c r="C658" s="80">
        <v>3</v>
      </c>
      <c r="D658" s="30" t="s">
        <v>41</v>
      </c>
      <c r="E658" s="30" t="s">
        <v>42</v>
      </c>
      <c r="F658" s="30" t="s">
        <v>43</v>
      </c>
      <c r="G658" s="33">
        <v>11.442</v>
      </c>
      <c r="H658" s="83" t="s">
        <v>88</v>
      </c>
    </row>
    <row r="659" spans="1:8" ht="16.5" customHeight="1" x14ac:dyDescent="0.25">
      <c r="A659" s="27">
        <v>45733</v>
      </c>
      <c r="B659" s="80">
        <v>2025</v>
      </c>
      <c r="C659" s="80">
        <v>3</v>
      </c>
      <c r="D659" s="30" t="s">
        <v>41</v>
      </c>
      <c r="E659" s="30" t="s">
        <v>46</v>
      </c>
      <c r="F659" s="30" t="s">
        <v>43</v>
      </c>
      <c r="G659" s="33">
        <v>24.859289400000002</v>
      </c>
      <c r="H659" s="83" t="s">
        <v>88</v>
      </c>
    </row>
    <row r="660" spans="1:8" ht="16.5" customHeight="1" x14ac:dyDescent="0.25">
      <c r="A660" s="27">
        <v>45733</v>
      </c>
      <c r="B660" s="80">
        <v>2025</v>
      </c>
      <c r="C660" s="80">
        <v>3</v>
      </c>
      <c r="D660" s="30" t="s">
        <v>41</v>
      </c>
      <c r="E660" s="30" t="s">
        <v>46</v>
      </c>
      <c r="F660" s="30" t="s">
        <v>58</v>
      </c>
      <c r="G660" s="33">
        <v>2.9114277999999998</v>
      </c>
      <c r="H660" s="83" t="s">
        <v>88</v>
      </c>
    </row>
    <row r="661" spans="1:8" ht="16.5" customHeight="1" x14ac:dyDescent="0.25">
      <c r="A661" s="27">
        <v>45733</v>
      </c>
      <c r="B661" s="80">
        <v>2025</v>
      </c>
      <c r="C661" s="80">
        <v>3</v>
      </c>
      <c r="D661" s="30" t="s">
        <v>41</v>
      </c>
      <c r="E661" s="30" t="s">
        <v>50</v>
      </c>
      <c r="F661" s="30" t="s">
        <v>43</v>
      </c>
      <c r="G661" s="33">
        <v>0.75224999999999997</v>
      </c>
      <c r="H661" s="83" t="s">
        <v>88</v>
      </c>
    </row>
    <row r="662" spans="1:8" ht="16.5" customHeight="1" x14ac:dyDescent="0.25">
      <c r="A662" s="27">
        <v>45733</v>
      </c>
      <c r="B662" s="80">
        <v>2025</v>
      </c>
      <c r="C662" s="80">
        <v>3</v>
      </c>
      <c r="D662" s="30" t="s">
        <v>41</v>
      </c>
      <c r="E662" s="30" t="s">
        <v>50</v>
      </c>
      <c r="F662" s="30" t="s">
        <v>47</v>
      </c>
      <c r="G662" s="33">
        <v>0.45105000000000001</v>
      </c>
      <c r="H662" s="83" t="s">
        <v>88</v>
      </c>
    </row>
    <row r="663" spans="1:8" ht="16.5" customHeight="1" x14ac:dyDescent="0.25">
      <c r="A663" s="27">
        <v>45733</v>
      </c>
      <c r="B663" s="80">
        <v>2025</v>
      </c>
      <c r="C663" s="80">
        <v>3</v>
      </c>
      <c r="D663" s="30" t="s">
        <v>41</v>
      </c>
      <c r="E663" s="30" t="s">
        <v>50</v>
      </c>
      <c r="F663" s="30" t="s">
        <v>58</v>
      </c>
      <c r="G663" s="33">
        <v>0.3413175</v>
      </c>
      <c r="H663" s="83" t="s">
        <v>88</v>
      </c>
    </row>
    <row r="664" spans="1:8" ht="16.5" customHeight="1" x14ac:dyDescent="0.25">
      <c r="A664" s="27">
        <v>45733</v>
      </c>
      <c r="B664" s="80">
        <v>2025</v>
      </c>
      <c r="C664" s="80">
        <v>3</v>
      </c>
      <c r="D664" s="30" t="s">
        <v>41</v>
      </c>
      <c r="E664" s="30" t="s">
        <v>54</v>
      </c>
      <c r="F664" s="30" t="s">
        <v>43</v>
      </c>
      <c r="G664" s="33">
        <v>1.5449999999999999</v>
      </c>
      <c r="H664" s="83" t="s">
        <v>88</v>
      </c>
    </row>
    <row r="665" spans="1:8" ht="16.5" customHeight="1" x14ac:dyDescent="0.25">
      <c r="A665" s="27">
        <v>45733</v>
      </c>
      <c r="B665" s="80">
        <v>2025</v>
      </c>
      <c r="C665" s="80">
        <v>3</v>
      </c>
      <c r="D665" s="30" t="s">
        <v>41</v>
      </c>
      <c r="E665" s="30" t="s">
        <v>61</v>
      </c>
      <c r="F665" s="30" t="s">
        <v>43</v>
      </c>
      <c r="G665" s="33">
        <v>6.7828499999999998</v>
      </c>
      <c r="H665" s="83" t="s">
        <v>89</v>
      </c>
    </row>
    <row r="666" spans="1:8" ht="16.5" customHeight="1" x14ac:dyDescent="0.25">
      <c r="A666" s="27">
        <v>45733</v>
      </c>
      <c r="B666" s="80">
        <v>2025</v>
      </c>
      <c r="C666" s="80">
        <v>3</v>
      </c>
      <c r="D666" s="30" t="s">
        <v>41</v>
      </c>
      <c r="E666" s="30" t="s">
        <v>61</v>
      </c>
      <c r="F666" s="30" t="s">
        <v>47</v>
      </c>
      <c r="G666" s="33">
        <v>1.7</v>
      </c>
      <c r="H666" s="83" t="s">
        <v>89</v>
      </c>
    </row>
    <row r="667" spans="1:8" ht="16.5" customHeight="1" x14ac:dyDescent="0.25">
      <c r="A667" s="27">
        <v>45733</v>
      </c>
      <c r="B667" s="80">
        <v>2025</v>
      </c>
      <c r="C667" s="80">
        <v>3</v>
      </c>
      <c r="D667" s="30" t="s">
        <v>41</v>
      </c>
      <c r="E667" s="30" t="s">
        <v>66</v>
      </c>
      <c r="F667" s="30" t="s">
        <v>43</v>
      </c>
      <c r="G667" s="33">
        <v>29.924399999999999</v>
      </c>
      <c r="H667" s="83" t="s">
        <v>89</v>
      </c>
    </row>
    <row r="668" spans="1:8" ht="16.5" customHeight="1" x14ac:dyDescent="0.25">
      <c r="A668" s="27">
        <v>45733</v>
      </c>
      <c r="B668" s="80">
        <v>2025</v>
      </c>
      <c r="C668" s="80">
        <v>3</v>
      </c>
      <c r="D668" s="30" t="s">
        <v>41</v>
      </c>
      <c r="E668" s="30" t="s">
        <v>68</v>
      </c>
      <c r="F668" s="30" t="s">
        <v>43</v>
      </c>
      <c r="G668" s="33">
        <v>3.7650000000000001</v>
      </c>
      <c r="H668" s="83" t="s">
        <v>89</v>
      </c>
    </row>
    <row r="669" spans="1:8" ht="16.5" customHeight="1" x14ac:dyDescent="0.25">
      <c r="A669" s="27">
        <v>45734</v>
      </c>
      <c r="B669" s="80">
        <v>2025</v>
      </c>
      <c r="C669" s="80">
        <v>3</v>
      </c>
      <c r="D669" s="30" t="s">
        <v>41</v>
      </c>
      <c r="E669" s="30" t="s">
        <v>38</v>
      </c>
      <c r="F669" s="30" t="s">
        <v>43</v>
      </c>
      <c r="G669" s="33">
        <v>14.227600000000001</v>
      </c>
      <c r="H669" s="83" t="s">
        <v>88</v>
      </c>
    </row>
    <row r="670" spans="1:8" ht="16.5" customHeight="1" x14ac:dyDescent="0.25">
      <c r="A670" s="27">
        <v>45734</v>
      </c>
      <c r="B670" s="80">
        <v>2025</v>
      </c>
      <c r="C670" s="80">
        <v>3</v>
      </c>
      <c r="D670" s="30" t="s">
        <v>41</v>
      </c>
      <c r="E670" s="30" t="s">
        <v>38</v>
      </c>
      <c r="F670" s="30" t="s">
        <v>47</v>
      </c>
      <c r="G670" s="33">
        <v>0.20416000000000001</v>
      </c>
      <c r="H670" s="83" t="s">
        <v>88</v>
      </c>
    </row>
    <row r="671" spans="1:8" ht="16.5" customHeight="1" x14ac:dyDescent="0.25">
      <c r="A671" s="27">
        <v>45734</v>
      </c>
      <c r="B671" s="80">
        <v>2025</v>
      </c>
      <c r="C671" s="80">
        <v>3</v>
      </c>
      <c r="D671" s="30" t="s">
        <v>41</v>
      </c>
      <c r="E671" s="30" t="s">
        <v>42</v>
      </c>
      <c r="F671" s="30" t="s">
        <v>43</v>
      </c>
      <c r="G671" s="33">
        <v>11.26</v>
      </c>
      <c r="H671" s="83" t="s">
        <v>88</v>
      </c>
    </row>
    <row r="672" spans="1:8" ht="16.5" customHeight="1" x14ac:dyDescent="0.25">
      <c r="A672" s="27">
        <v>45734</v>
      </c>
      <c r="B672" s="80">
        <v>2025</v>
      </c>
      <c r="C672" s="80">
        <v>3</v>
      </c>
      <c r="D672" s="30" t="s">
        <v>41</v>
      </c>
      <c r="E672" s="30" t="s">
        <v>42</v>
      </c>
      <c r="F672" s="30" t="s">
        <v>47</v>
      </c>
      <c r="G672" s="33">
        <v>1.2</v>
      </c>
      <c r="H672" s="83" t="s">
        <v>88</v>
      </c>
    </row>
    <row r="673" spans="1:8" ht="16.5" customHeight="1" x14ac:dyDescent="0.25">
      <c r="A673" s="27">
        <v>45734</v>
      </c>
      <c r="B673" s="80">
        <v>2025</v>
      </c>
      <c r="C673" s="80">
        <v>3</v>
      </c>
      <c r="D673" s="30" t="s">
        <v>41</v>
      </c>
      <c r="E673" s="30" t="s">
        <v>50</v>
      </c>
      <c r="F673" s="30" t="s">
        <v>43</v>
      </c>
      <c r="G673" s="33">
        <v>1.11435</v>
      </c>
      <c r="H673" s="83" t="s">
        <v>88</v>
      </c>
    </row>
    <row r="674" spans="1:8" ht="16.5" customHeight="1" x14ac:dyDescent="0.25">
      <c r="A674" s="27">
        <v>45734</v>
      </c>
      <c r="B674" s="80">
        <v>2025</v>
      </c>
      <c r="C674" s="80">
        <v>3</v>
      </c>
      <c r="D674" s="30" t="s">
        <v>41</v>
      </c>
      <c r="E674" s="30" t="s">
        <v>50</v>
      </c>
      <c r="F674" s="30" t="s">
        <v>55</v>
      </c>
      <c r="G674" s="33">
        <v>0.68632000000000004</v>
      </c>
      <c r="H674" s="83" t="s">
        <v>88</v>
      </c>
    </row>
    <row r="675" spans="1:8" ht="16.5" customHeight="1" x14ac:dyDescent="0.25">
      <c r="A675" s="27">
        <v>45734</v>
      </c>
      <c r="B675" s="80">
        <v>2025</v>
      </c>
      <c r="C675" s="80">
        <v>3</v>
      </c>
      <c r="D675" s="30" t="s">
        <v>41</v>
      </c>
      <c r="E675" s="30" t="s">
        <v>50</v>
      </c>
      <c r="F675" s="30" t="s">
        <v>58</v>
      </c>
      <c r="G675" s="33">
        <v>3.8629297999999999</v>
      </c>
      <c r="H675" s="83" t="s">
        <v>88</v>
      </c>
    </row>
    <row r="676" spans="1:8" ht="16.5" customHeight="1" x14ac:dyDescent="0.25">
      <c r="A676" s="27">
        <v>45734</v>
      </c>
      <c r="B676" s="80">
        <v>2025</v>
      </c>
      <c r="C676" s="80">
        <v>3</v>
      </c>
      <c r="D676" s="30" t="s">
        <v>41</v>
      </c>
      <c r="E676" s="30" t="s">
        <v>54</v>
      </c>
      <c r="F676" s="30" t="s">
        <v>43</v>
      </c>
      <c r="G676" s="33">
        <v>5.6392499999999997</v>
      </c>
      <c r="H676" s="83" t="s">
        <v>88</v>
      </c>
    </row>
    <row r="677" spans="1:8" ht="16.5" customHeight="1" x14ac:dyDescent="0.25">
      <c r="A677" s="27">
        <v>45734</v>
      </c>
      <c r="B677" s="80">
        <v>2025</v>
      </c>
      <c r="C677" s="80">
        <v>3</v>
      </c>
      <c r="D677" s="30" t="s">
        <v>41</v>
      </c>
      <c r="E677" s="30" t="s">
        <v>57</v>
      </c>
      <c r="F677" s="30" t="s">
        <v>39</v>
      </c>
      <c r="G677" s="33">
        <v>175.23660000000001</v>
      </c>
      <c r="H677" s="83" t="s">
        <v>89</v>
      </c>
    </row>
    <row r="678" spans="1:8" ht="16.5" customHeight="1" x14ac:dyDescent="0.25">
      <c r="A678" s="27">
        <v>45734</v>
      </c>
      <c r="B678" s="80">
        <v>2025</v>
      </c>
      <c r="C678" s="80">
        <v>3</v>
      </c>
      <c r="D678" s="30" t="s">
        <v>41</v>
      </c>
      <c r="E678" s="30" t="s">
        <v>61</v>
      </c>
      <c r="F678" s="30" t="s">
        <v>43</v>
      </c>
      <c r="G678" s="33">
        <v>30.5319</v>
      </c>
      <c r="H678" s="83" t="s">
        <v>89</v>
      </c>
    </row>
    <row r="679" spans="1:8" ht="16.5" customHeight="1" x14ac:dyDescent="0.25">
      <c r="A679" s="27">
        <v>45734</v>
      </c>
      <c r="B679" s="80">
        <v>2025</v>
      </c>
      <c r="C679" s="80">
        <v>3</v>
      </c>
      <c r="D679" s="30" t="s">
        <v>41</v>
      </c>
      <c r="E679" s="30" t="s">
        <v>64</v>
      </c>
      <c r="F679" s="30" t="s">
        <v>55</v>
      </c>
      <c r="G679" s="33">
        <v>1.4</v>
      </c>
      <c r="H679" s="83" t="s">
        <v>89</v>
      </c>
    </row>
    <row r="680" spans="1:8" ht="16.5" customHeight="1" x14ac:dyDescent="0.25">
      <c r="A680" s="27">
        <v>45734</v>
      </c>
      <c r="B680" s="80">
        <v>2025</v>
      </c>
      <c r="C680" s="80">
        <v>3</v>
      </c>
      <c r="D680" s="30" t="s">
        <v>41</v>
      </c>
      <c r="E680" s="30" t="s">
        <v>66</v>
      </c>
      <c r="F680" s="30" t="s">
        <v>43</v>
      </c>
      <c r="G680" s="33">
        <v>10.751300000000001</v>
      </c>
      <c r="H680" s="83" t="s">
        <v>89</v>
      </c>
    </row>
    <row r="681" spans="1:8" ht="16.5" customHeight="1" x14ac:dyDescent="0.25">
      <c r="A681" s="27">
        <v>45734</v>
      </c>
      <c r="B681" s="80">
        <v>2025</v>
      </c>
      <c r="C681" s="80">
        <v>3</v>
      </c>
      <c r="D681" s="30" t="s">
        <v>41</v>
      </c>
      <c r="E681" s="30" t="s">
        <v>68</v>
      </c>
      <c r="F681" s="30" t="s">
        <v>43</v>
      </c>
      <c r="G681" s="33">
        <v>1.0669999999999999</v>
      </c>
      <c r="H681" s="83" t="s">
        <v>89</v>
      </c>
    </row>
    <row r="682" spans="1:8" ht="16.5" customHeight="1" x14ac:dyDescent="0.25">
      <c r="A682" s="27">
        <v>45735</v>
      </c>
      <c r="B682" s="80">
        <v>2025</v>
      </c>
      <c r="C682" s="80">
        <v>3</v>
      </c>
      <c r="D682" s="30" t="s">
        <v>41</v>
      </c>
      <c r="E682" s="30" t="s">
        <v>38</v>
      </c>
      <c r="F682" s="30" t="s">
        <v>43</v>
      </c>
      <c r="G682" s="33">
        <v>87.533000000000001</v>
      </c>
      <c r="H682" s="83" t="s">
        <v>88</v>
      </c>
    </row>
    <row r="683" spans="1:8" ht="16.5" customHeight="1" x14ac:dyDescent="0.25">
      <c r="A683" s="27">
        <v>45735</v>
      </c>
      <c r="B683" s="80">
        <v>2025</v>
      </c>
      <c r="C683" s="80">
        <v>3</v>
      </c>
      <c r="D683" s="30" t="s">
        <v>41</v>
      </c>
      <c r="E683" s="30" t="s">
        <v>42</v>
      </c>
      <c r="F683" s="30" t="s">
        <v>43</v>
      </c>
      <c r="G683" s="33">
        <v>10.334</v>
      </c>
      <c r="H683" s="83" t="s">
        <v>88</v>
      </c>
    </row>
    <row r="684" spans="1:8" ht="16.5" customHeight="1" x14ac:dyDescent="0.25">
      <c r="A684" s="27">
        <v>45735</v>
      </c>
      <c r="B684" s="80">
        <v>2025</v>
      </c>
      <c r="C684" s="80">
        <v>3</v>
      </c>
      <c r="D684" s="30" t="s">
        <v>41</v>
      </c>
      <c r="E684" s="30" t="s">
        <v>46</v>
      </c>
      <c r="F684" s="30" t="s">
        <v>43</v>
      </c>
      <c r="G684" s="33">
        <v>13.119993839999999</v>
      </c>
      <c r="H684" s="83" t="s">
        <v>88</v>
      </c>
    </row>
    <row r="685" spans="1:8" ht="16.5" customHeight="1" x14ac:dyDescent="0.25">
      <c r="A685" s="27">
        <v>45735</v>
      </c>
      <c r="B685" s="80">
        <v>2025</v>
      </c>
      <c r="C685" s="80">
        <v>3</v>
      </c>
      <c r="D685" s="30" t="s">
        <v>41</v>
      </c>
      <c r="E685" s="30" t="s">
        <v>46</v>
      </c>
      <c r="F685" s="30" t="s">
        <v>47</v>
      </c>
      <c r="G685" s="33">
        <v>0.84089999999999998</v>
      </c>
      <c r="H685" s="83" t="s">
        <v>88</v>
      </c>
    </row>
    <row r="686" spans="1:8" ht="16.5" customHeight="1" x14ac:dyDescent="0.25">
      <c r="A686" s="27">
        <v>45735</v>
      </c>
      <c r="B686" s="80">
        <v>2025</v>
      </c>
      <c r="C686" s="80">
        <v>3</v>
      </c>
      <c r="D686" s="30" t="s">
        <v>41</v>
      </c>
      <c r="E686" s="30" t="s">
        <v>50</v>
      </c>
      <c r="F686" s="30" t="s">
        <v>43</v>
      </c>
      <c r="G686" s="33">
        <v>15.5717365</v>
      </c>
      <c r="H686" s="83" t="s">
        <v>88</v>
      </c>
    </row>
    <row r="687" spans="1:8" ht="16.5" customHeight="1" x14ac:dyDescent="0.25">
      <c r="A687" s="27">
        <v>45735</v>
      </c>
      <c r="B687" s="80">
        <v>2025</v>
      </c>
      <c r="C687" s="80">
        <v>3</v>
      </c>
      <c r="D687" s="30" t="s">
        <v>41</v>
      </c>
      <c r="E687" s="30" t="s">
        <v>50</v>
      </c>
      <c r="F687" s="30" t="s">
        <v>47</v>
      </c>
      <c r="G687" s="33">
        <v>0.62160000000000004</v>
      </c>
      <c r="H687" s="83" t="s">
        <v>88</v>
      </c>
    </row>
    <row r="688" spans="1:8" ht="16.5" customHeight="1" x14ac:dyDescent="0.25">
      <c r="A688" s="27">
        <v>45735</v>
      </c>
      <c r="B688" s="80">
        <v>2025</v>
      </c>
      <c r="C688" s="80">
        <v>3</v>
      </c>
      <c r="D688" s="30" t="s">
        <v>41</v>
      </c>
      <c r="E688" s="30" t="s">
        <v>54</v>
      </c>
      <c r="F688" s="30" t="s">
        <v>43</v>
      </c>
      <c r="G688" s="33">
        <v>0.57999999999999996</v>
      </c>
      <c r="H688" s="83" t="s">
        <v>88</v>
      </c>
    </row>
    <row r="689" spans="1:8" ht="16.5" customHeight="1" x14ac:dyDescent="0.25">
      <c r="A689" s="27">
        <v>45735</v>
      </c>
      <c r="B689" s="80">
        <v>2025</v>
      </c>
      <c r="C689" s="80">
        <v>3</v>
      </c>
      <c r="D689" s="30" t="s">
        <v>41</v>
      </c>
      <c r="E689" s="30" t="s">
        <v>64</v>
      </c>
      <c r="F689" s="30" t="s">
        <v>43</v>
      </c>
      <c r="G689" s="33">
        <v>4.2882999999999996</v>
      </c>
      <c r="H689" s="83" t="s">
        <v>89</v>
      </c>
    </row>
    <row r="690" spans="1:8" ht="16.5" customHeight="1" x14ac:dyDescent="0.25">
      <c r="A690" s="27">
        <v>45735</v>
      </c>
      <c r="B690" s="80">
        <v>2025</v>
      </c>
      <c r="C690" s="80">
        <v>3</v>
      </c>
      <c r="D690" s="30" t="s">
        <v>41</v>
      </c>
      <c r="E690" s="30" t="s">
        <v>68</v>
      </c>
      <c r="F690" s="30" t="s">
        <v>43</v>
      </c>
      <c r="G690" s="33">
        <v>3.3149999999999999</v>
      </c>
      <c r="H690" s="83" t="s">
        <v>89</v>
      </c>
    </row>
    <row r="691" spans="1:8" ht="16.5" customHeight="1" x14ac:dyDescent="0.25">
      <c r="A691" s="27">
        <v>45735</v>
      </c>
      <c r="B691" s="80">
        <v>2025</v>
      </c>
      <c r="C691" s="80">
        <v>3</v>
      </c>
      <c r="D691" s="30" t="s">
        <v>41</v>
      </c>
      <c r="E691" s="30" t="s">
        <v>71</v>
      </c>
      <c r="F691" s="30" t="s">
        <v>39</v>
      </c>
      <c r="G691" s="33">
        <v>12.186888</v>
      </c>
      <c r="H691" s="83" t="s">
        <v>89</v>
      </c>
    </row>
    <row r="692" spans="1:8" ht="16.5" customHeight="1" x14ac:dyDescent="0.25">
      <c r="A692" s="27">
        <v>45735</v>
      </c>
      <c r="B692" s="80">
        <v>2025</v>
      </c>
      <c r="C692" s="80">
        <v>3</v>
      </c>
      <c r="D692" s="30" t="s">
        <v>41</v>
      </c>
      <c r="E692" s="30" t="s">
        <v>71</v>
      </c>
      <c r="F692" s="30" t="s">
        <v>43</v>
      </c>
      <c r="G692" s="33">
        <v>2.2579660000000001</v>
      </c>
      <c r="H692" s="83" t="s">
        <v>89</v>
      </c>
    </row>
    <row r="693" spans="1:8" ht="16.5" customHeight="1" x14ac:dyDescent="0.25">
      <c r="A693" s="27">
        <v>45735</v>
      </c>
      <c r="B693" s="80">
        <v>2025</v>
      </c>
      <c r="C693" s="80">
        <v>3</v>
      </c>
      <c r="D693" s="30" t="s">
        <v>41</v>
      </c>
      <c r="E693" s="30" t="s">
        <v>75</v>
      </c>
      <c r="F693" s="30" t="s">
        <v>43</v>
      </c>
      <c r="G693" s="33">
        <v>6.4283112500000001</v>
      </c>
      <c r="H693" s="83" t="s">
        <v>48</v>
      </c>
    </row>
    <row r="694" spans="1:8" ht="16.5" customHeight="1" x14ac:dyDescent="0.25">
      <c r="A694" s="27">
        <v>45736</v>
      </c>
      <c r="B694" s="80">
        <v>2025</v>
      </c>
      <c r="C694" s="80">
        <v>3</v>
      </c>
      <c r="D694" s="30" t="s">
        <v>41</v>
      </c>
      <c r="E694" s="30" t="s">
        <v>38</v>
      </c>
      <c r="F694" s="30" t="s">
        <v>43</v>
      </c>
      <c r="G694" s="33">
        <v>8.2490260000000006</v>
      </c>
      <c r="H694" s="83" t="s">
        <v>88</v>
      </c>
    </row>
    <row r="695" spans="1:8" ht="16.5" customHeight="1" x14ac:dyDescent="0.25">
      <c r="A695" s="27">
        <v>45736</v>
      </c>
      <c r="B695" s="80">
        <v>2025</v>
      </c>
      <c r="C695" s="80">
        <v>3</v>
      </c>
      <c r="D695" s="30" t="s">
        <v>41</v>
      </c>
      <c r="E695" s="30" t="s">
        <v>38</v>
      </c>
      <c r="F695" s="30" t="s">
        <v>47</v>
      </c>
      <c r="G695" s="33">
        <v>0.46800000000000003</v>
      </c>
      <c r="H695" s="83" t="s">
        <v>88</v>
      </c>
    </row>
    <row r="696" spans="1:8" ht="16.5" customHeight="1" x14ac:dyDescent="0.25">
      <c r="A696" s="27">
        <v>45736</v>
      </c>
      <c r="B696" s="80">
        <v>2025</v>
      </c>
      <c r="C696" s="80">
        <v>3</v>
      </c>
      <c r="D696" s="30" t="s">
        <v>41</v>
      </c>
      <c r="E696" s="30" t="s">
        <v>38</v>
      </c>
      <c r="F696" s="30" t="s">
        <v>58</v>
      </c>
      <c r="G696" s="33">
        <v>0.1606416</v>
      </c>
      <c r="H696" s="83" t="s">
        <v>88</v>
      </c>
    </row>
    <row r="697" spans="1:8" ht="16.5" customHeight="1" x14ac:dyDescent="0.25">
      <c r="A697" s="27">
        <v>45736</v>
      </c>
      <c r="B697" s="80">
        <v>2025</v>
      </c>
      <c r="C697" s="80">
        <v>3</v>
      </c>
      <c r="D697" s="30" t="s">
        <v>41</v>
      </c>
      <c r="E697" s="30" t="s">
        <v>42</v>
      </c>
      <c r="F697" s="30" t="s">
        <v>43</v>
      </c>
      <c r="G697" s="33">
        <v>1.3939999999999999</v>
      </c>
      <c r="H697" s="83" t="s">
        <v>88</v>
      </c>
    </row>
    <row r="698" spans="1:8" ht="16.5" customHeight="1" x14ac:dyDescent="0.25">
      <c r="A698" s="27">
        <v>45736</v>
      </c>
      <c r="B698" s="80">
        <v>2025</v>
      </c>
      <c r="C698" s="80">
        <v>3</v>
      </c>
      <c r="D698" s="30" t="s">
        <v>41</v>
      </c>
      <c r="E698" s="30" t="s">
        <v>46</v>
      </c>
      <c r="F698" s="30" t="s">
        <v>43</v>
      </c>
      <c r="G698" s="33">
        <v>0.84207337500000001</v>
      </c>
      <c r="H698" s="83" t="s">
        <v>88</v>
      </c>
    </row>
    <row r="699" spans="1:8" ht="16.5" customHeight="1" x14ac:dyDescent="0.25">
      <c r="A699" s="27">
        <v>45736</v>
      </c>
      <c r="B699" s="80">
        <v>2025</v>
      </c>
      <c r="C699" s="80">
        <v>3</v>
      </c>
      <c r="D699" s="30" t="s">
        <v>41</v>
      </c>
      <c r="E699" s="30" t="s">
        <v>46</v>
      </c>
      <c r="F699" s="30" t="s">
        <v>51</v>
      </c>
      <c r="G699" s="33">
        <v>1.1821999999999999</v>
      </c>
      <c r="H699" s="83" t="s">
        <v>88</v>
      </c>
    </row>
    <row r="700" spans="1:8" ht="16.5" customHeight="1" x14ac:dyDescent="0.25">
      <c r="A700" s="27">
        <v>45736</v>
      </c>
      <c r="B700" s="80">
        <v>2025</v>
      </c>
      <c r="C700" s="80">
        <v>3</v>
      </c>
      <c r="D700" s="30" t="s">
        <v>41</v>
      </c>
      <c r="E700" s="30" t="s">
        <v>50</v>
      </c>
      <c r="F700" s="30" t="s">
        <v>39</v>
      </c>
      <c r="G700" s="33">
        <v>4.7412599999999996</v>
      </c>
      <c r="H700" s="83" t="s">
        <v>88</v>
      </c>
    </row>
    <row r="701" spans="1:8" ht="16.5" customHeight="1" x14ac:dyDescent="0.25">
      <c r="A701" s="27">
        <v>45736</v>
      </c>
      <c r="B701" s="80">
        <v>2025</v>
      </c>
      <c r="C701" s="80">
        <v>3</v>
      </c>
      <c r="D701" s="30" t="s">
        <v>41</v>
      </c>
      <c r="E701" s="30" t="s">
        <v>50</v>
      </c>
      <c r="F701" s="30" t="s">
        <v>43</v>
      </c>
      <c r="G701" s="33">
        <v>98.222071499999998</v>
      </c>
      <c r="H701" s="83" t="s">
        <v>88</v>
      </c>
    </row>
    <row r="702" spans="1:8" ht="16.5" customHeight="1" x14ac:dyDescent="0.25">
      <c r="A702" s="27">
        <v>45736</v>
      </c>
      <c r="B702" s="80">
        <v>2025</v>
      </c>
      <c r="C702" s="80">
        <v>3</v>
      </c>
      <c r="D702" s="30" t="s">
        <v>41</v>
      </c>
      <c r="E702" s="30" t="s">
        <v>50</v>
      </c>
      <c r="F702" s="30" t="s">
        <v>47</v>
      </c>
      <c r="G702" s="33">
        <v>0.15640000000000001</v>
      </c>
      <c r="H702" s="83" t="s">
        <v>88</v>
      </c>
    </row>
    <row r="703" spans="1:8" ht="16.5" customHeight="1" x14ac:dyDescent="0.25">
      <c r="A703" s="27">
        <v>45736</v>
      </c>
      <c r="B703" s="80">
        <v>2025</v>
      </c>
      <c r="C703" s="80">
        <v>3</v>
      </c>
      <c r="D703" s="30" t="s">
        <v>41</v>
      </c>
      <c r="E703" s="30" t="s">
        <v>50</v>
      </c>
      <c r="F703" s="30" t="s">
        <v>51</v>
      </c>
      <c r="G703" s="33">
        <v>0.98599999999999999</v>
      </c>
      <c r="H703" s="83" t="s">
        <v>88</v>
      </c>
    </row>
    <row r="704" spans="1:8" ht="16.5" customHeight="1" x14ac:dyDescent="0.25">
      <c r="A704" s="27">
        <v>45736</v>
      </c>
      <c r="B704" s="80">
        <v>2025</v>
      </c>
      <c r="C704" s="80">
        <v>3</v>
      </c>
      <c r="D704" s="30" t="s">
        <v>41</v>
      </c>
      <c r="E704" s="30" t="s">
        <v>50</v>
      </c>
      <c r="F704" s="30" t="s">
        <v>58</v>
      </c>
      <c r="G704" s="33">
        <v>4.2529876800000004</v>
      </c>
      <c r="H704" s="83" t="s">
        <v>88</v>
      </c>
    </row>
    <row r="705" spans="1:8" ht="16.5" customHeight="1" x14ac:dyDescent="0.25">
      <c r="A705" s="27">
        <v>45736</v>
      </c>
      <c r="B705" s="80">
        <v>2025</v>
      </c>
      <c r="C705" s="80">
        <v>3</v>
      </c>
      <c r="D705" s="30" t="s">
        <v>41</v>
      </c>
      <c r="E705" s="30" t="s">
        <v>54</v>
      </c>
      <c r="F705" s="30" t="s">
        <v>43</v>
      </c>
      <c r="G705" s="33">
        <v>3.9605000000000001</v>
      </c>
      <c r="H705" s="83" t="s">
        <v>88</v>
      </c>
    </row>
    <row r="706" spans="1:8" ht="16.5" customHeight="1" x14ac:dyDescent="0.25">
      <c r="A706" s="27">
        <v>45736</v>
      </c>
      <c r="B706" s="80">
        <v>2025</v>
      </c>
      <c r="C706" s="80">
        <v>3</v>
      </c>
      <c r="D706" s="30" t="s">
        <v>41</v>
      </c>
      <c r="E706" s="30" t="s">
        <v>57</v>
      </c>
      <c r="F706" s="30" t="s">
        <v>39</v>
      </c>
      <c r="G706" s="33">
        <v>15.9618</v>
      </c>
      <c r="H706" s="83" t="s">
        <v>89</v>
      </c>
    </row>
    <row r="707" spans="1:8" ht="16.5" customHeight="1" x14ac:dyDescent="0.25">
      <c r="A707" s="27">
        <v>45736</v>
      </c>
      <c r="B707" s="80">
        <v>2025</v>
      </c>
      <c r="C707" s="80">
        <v>3</v>
      </c>
      <c r="D707" s="30" t="s">
        <v>41</v>
      </c>
      <c r="E707" s="30" t="s">
        <v>61</v>
      </c>
      <c r="F707" s="30" t="s">
        <v>43</v>
      </c>
      <c r="G707" s="33">
        <v>2.56</v>
      </c>
      <c r="H707" s="83" t="s">
        <v>89</v>
      </c>
    </row>
    <row r="708" spans="1:8" ht="16.5" customHeight="1" x14ac:dyDescent="0.25">
      <c r="A708" s="27">
        <v>45736</v>
      </c>
      <c r="B708" s="80">
        <v>2025</v>
      </c>
      <c r="C708" s="80">
        <v>3</v>
      </c>
      <c r="D708" s="30" t="s">
        <v>41</v>
      </c>
      <c r="E708" s="30" t="s">
        <v>68</v>
      </c>
      <c r="F708" s="30" t="s">
        <v>43</v>
      </c>
      <c r="G708" s="33">
        <v>4.7279999999999998</v>
      </c>
      <c r="H708" s="83" t="s">
        <v>89</v>
      </c>
    </row>
    <row r="709" spans="1:8" ht="16.5" customHeight="1" x14ac:dyDescent="0.25">
      <c r="A709" s="27">
        <v>45736</v>
      </c>
      <c r="B709" s="80">
        <v>2025</v>
      </c>
      <c r="C709" s="80">
        <v>3</v>
      </c>
      <c r="D709" s="30" t="s">
        <v>41</v>
      </c>
      <c r="E709" s="30" t="s">
        <v>74</v>
      </c>
      <c r="F709" s="30" t="s">
        <v>43</v>
      </c>
      <c r="G709" s="33">
        <v>9.2286000000000001</v>
      </c>
      <c r="H709" s="83" t="s">
        <v>89</v>
      </c>
    </row>
    <row r="710" spans="1:8" ht="16.5" customHeight="1" x14ac:dyDescent="0.25">
      <c r="A710" s="27">
        <v>45737</v>
      </c>
      <c r="B710" s="80">
        <v>2025</v>
      </c>
      <c r="C710" s="80">
        <v>3</v>
      </c>
      <c r="D710" s="30" t="s">
        <v>41</v>
      </c>
      <c r="E710" s="30" t="s">
        <v>38</v>
      </c>
      <c r="F710" s="30" t="s">
        <v>43</v>
      </c>
      <c r="G710" s="33">
        <v>0.71950000000000003</v>
      </c>
      <c r="H710" s="83" t="s">
        <v>88</v>
      </c>
    </row>
    <row r="711" spans="1:8" ht="16.5" customHeight="1" x14ac:dyDescent="0.25">
      <c r="A711" s="27">
        <v>45737</v>
      </c>
      <c r="B711" s="80">
        <v>2025</v>
      </c>
      <c r="C711" s="80">
        <v>3</v>
      </c>
      <c r="D711" s="30" t="s">
        <v>41</v>
      </c>
      <c r="E711" s="30" t="s">
        <v>38</v>
      </c>
      <c r="F711" s="30" t="s">
        <v>55</v>
      </c>
      <c r="G711" s="33">
        <v>0.56000000000000005</v>
      </c>
      <c r="H711" s="83" t="s">
        <v>88</v>
      </c>
    </row>
    <row r="712" spans="1:8" ht="16.5" customHeight="1" x14ac:dyDescent="0.25">
      <c r="A712" s="27">
        <v>45737</v>
      </c>
      <c r="B712" s="80">
        <v>2025</v>
      </c>
      <c r="C712" s="80">
        <v>3</v>
      </c>
      <c r="D712" s="30" t="s">
        <v>41</v>
      </c>
      <c r="E712" s="30" t="s">
        <v>42</v>
      </c>
      <c r="F712" s="30" t="s">
        <v>43</v>
      </c>
      <c r="G712" s="33">
        <v>1.1559999999999999</v>
      </c>
      <c r="H712" s="83" t="s">
        <v>88</v>
      </c>
    </row>
    <row r="713" spans="1:8" ht="16.5" customHeight="1" x14ac:dyDescent="0.25">
      <c r="A713" s="27">
        <v>45737</v>
      </c>
      <c r="B713" s="80">
        <v>2025</v>
      </c>
      <c r="C713" s="80">
        <v>3</v>
      </c>
      <c r="D713" s="30" t="s">
        <v>41</v>
      </c>
      <c r="E713" s="30" t="s">
        <v>46</v>
      </c>
      <c r="F713" s="30" t="s">
        <v>43</v>
      </c>
      <c r="G713" s="33">
        <v>0.68757000000000001</v>
      </c>
      <c r="H713" s="83" t="s">
        <v>88</v>
      </c>
    </row>
    <row r="714" spans="1:8" ht="16.5" customHeight="1" x14ac:dyDescent="0.25">
      <c r="A714" s="27">
        <v>45737</v>
      </c>
      <c r="B714" s="80">
        <v>2025</v>
      </c>
      <c r="C714" s="80">
        <v>3</v>
      </c>
      <c r="D714" s="30" t="s">
        <v>41</v>
      </c>
      <c r="E714" s="30" t="s">
        <v>50</v>
      </c>
      <c r="F714" s="30" t="s">
        <v>43</v>
      </c>
      <c r="G714" s="33">
        <v>26.67160324</v>
      </c>
      <c r="H714" s="83" t="s">
        <v>88</v>
      </c>
    </row>
    <row r="715" spans="1:8" ht="16.5" customHeight="1" x14ac:dyDescent="0.25">
      <c r="A715" s="27">
        <v>45737</v>
      </c>
      <c r="B715" s="80">
        <v>2025</v>
      </c>
      <c r="C715" s="80">
        <v>3</v>
      </c>
      <c r="D715" s="30" t="s">
        <v>41</v>
      </c>
      <c r="E715" s="30" t="s">
        <v>50</v>
      </c>
      <c r="F715" s="30" t="s">
        <v>51</v>
      </c>
      <c r="G715" s="33">
        <v>0.37824999999999998</v>
      </c>
      <c r="H715" s="83" t="s">
        <v>88</v>
      </c>
    </row>
    <row r="716" spans="1:8" ht="16.5" customHeight="1" x14ac:dyDescent="0.25">
      <c r="A716" s="27">
        <v>45737</v>
      </c>
      <c r="B716" s="80">
        <v>2025</v>
      </c>
      <c r="C716" s="80">
        <v>3</v>
      </c>
      <c r="D716" s="30" t="s">
        <v>41</v>
      </c>
      <c r="E716" s="30" t="s">
        <v>50</v>
      </c>
      <c r="F716" s="30" t="s">
        <v>55</v>
      </c>
      <c r="G716" s="33">
        <v>0.97704000000000002</v>
      </c>
      <c r="H716" s="83" t="s">
        <v>88</v>
      </c>
    </row>
    <row r="717" spans="1:8" ht="16.5" customHeight="1" x14ac:dyDescent="0.25">
      <c r="A717" s="27">
        <v>45737</v>
      </c>
      <c r="B717" s="80">
        <v>2025</v>
      </c>
      <c r="C717" s="80">
        <v>3</v>
      </c>
      <c r="D717" s="30" t="s">
        <v>41</v>
      </c>
      <c r="E717" s="30" t="s">
        <v>54</v>
      </c>
      <c r="F717" s="30" t="s">
        <v>43</v>
      </c>
      <c r="G717" s="33">
        <v>9.6660000000000004</v>
      </c>
      <c r="H717" s="83" t="s">
        <v>88</v>
      </c>
    </row>
    <row r="718" spans="1:8" ht="16.5" customHeight="1" x14ac:dyDescent="0.25">
      <c r="A718" s="27">
        <v>45737</v>
      </c>
      <c r="B718" s="80">
        <v>2025</v>
      </c>
      <c r="C718" s="80">
        <v>3</v>
      </c>
      <c r="D718" s="30" t="s">
        <v>41</v>
      </c>
      <c r="E718" s="30" t="s">
        <v>54</v>
      </c>
      <c r="F718" s="30" t="s">
        <v>47</v>
      </c>
      <c r="G718" s="33">
        <v>0.16</v>
      </c>
      <c r="H718" s="83" t="s">
        <v>88</v>
      </c>
    </row>
    <row r="719" spans="1:8" ht="16.5" customHeight="1" x14ac:dyDescent="0.25">
      <c r="A719" s="27">
        <v>45737</v>
      </c>
      <c r="B719" s="80">
        <v>2025</v>
      </c>
      <c r="C719" s="80">
        <v>3</v>
      </c>
      <c r="D719" s="30" t="s">
        <v>41</v>
      </c>
      <c r="E719" s="30" t="s">
        <v>61</v>
      </c>
      <c r="F719" s="30" t="s">
        <v>55</v>
      </c>
      <c r="G719" s="33">
        <v>6.96</v>
      </c>
      <c r="H719" s="83" t="s">
        <v>89</v>
      </c>
    </row>
    <row r="720" spans="1:8" ht="16.5" customHeight="1" x14ac:dyDescent="0.25">
      <c r="A720" s="27">
        <v>45737</v>
      </c>
      <c r="B720" s="80">
        <v>2025</v>
      </c>
      <c r="C720" s="80">
        <v>3</v>
      </c>
      <c r="D720" s="30" t="s">
        <v>41</v>
      </c>
      <c r="E720" s="30" t="s">
        <v>68</v>
      </c>
      <c r="F720" s="30" t="s">
        <v>43</v>
      </c>
      <c r="G720" s="33">
        <v>2.7719999999999998</v>
      </c>
      <c r="H720" s="83" t="s">
        <v>89</v>
      </c>
    </row>
    <row r="721" spans="1:8" ht="16.5" customHeight="1" x14ac:dyDescent="0.25">
      <c r="A721" s="27">
        <v>45737</v>
      </c>
      <c r="B721" s="80">
        <v>2025</v>
      </c>
      <c r="C721" s="80">
        <v>3</v>
      </c>
      <c r="D721" s="30" t="s">
        <v>41</v>
      </c>
      <c r="E721" s="30" t="s">
        <v>73</v>
      </c>
      <c r="F721" s="30" t="s">
        <v>43</v>
      </c>
      <c r="G721" s="33">
        <v>25.751249999999999</v>
      </c>
      <c r="H721" s="83" t="s">
        <v>89</v>
      </c>
    </row>
    <row r="722" spans="1:8" ht="16.5" customHeight="1" x14ac:dyDescent="0.25">
      <c r="A722" s="27">
        <v>45737</v>
      </c>
      <c r="B722" s="80">
        <v>2025</v>
      </c>
      <c r="C722" s="80">
        <v>3</v>
      </c>
      <c r="D722" s="30" t="s">
        <v>41</v>
      </c>
      <c r="E722" s="30" t="s">
        <v>75</v>
      </c>
      <c r="F722" s="30" t="s">
        <v>43</v>
      </c>
      <c r="G722" s="33">
        <v>23.423445000000001</v>
      </c>
      <c r="H722" s="83" t="s">
        <v>48</v>
      </c>
    </row>
    <row r="723" spans="1:8" ht="16.5" customHeight="1" x14ac:dyDescent="0.25">
      <c r="A723" s="27">
        <v>45739</v>
      </c>
      <c r="B723" s="80">
        <v>2025</v>
      </c>
      <c r="C723" s="80">
        <v>3</v>
      </c>
      <c r="D723" s="30" t="s">
        <v>41</v>
      </c>
      <c r="E723" s="30" t="s">
        <v>50</v>
      </c>
      <c r="F723" s="30" t="s">
        <v>43</v>
      </c>
      <c r="G723" s="33">
        <v>3.1556250000000001</v>
      </c>
      <c r="H723" s="83" t="s">
        <v>88</v>
      </c>
    </row>
    <row r="724" spans="1:8" ht="16.5" customHeight="1" x14ac:dyDescent="0.25">
      <c r="A724" s="27">
        <v>45739</v>
      </c>
      <c r="B724" s="80">
        <v>2025</v>
      </c>
      <c r="C724" s="80">
        <v>3</v>
      </c>
      <c r="D724" s="30" t="s">
        <v>41</v>
      </c>
      <c r="E724" s="30" t="s">
        <v>50</v>
      </c>
      <c r="F724" s="30" t="s">
        <v>51</v>
      </c>
      <c r="G724" s="33">
        <v>0.76500000000000001</v>
      </c>
      <c r="H724" s="83" t="s">
        <v>88</v>
      </c>
    </row>
    <row r="725" spans="1:8" ht="16.5" customHeight="1" x14ac:dyDescent="0.25">
      <c r="A725" s="27">
        <v>45740</v>
      </c>
      <c r="B725" s="80">
        <v>2025</v>
      </c>
      <c r="C725" s="80">
        <v>3</v>
      </c>
      <c r="D725" s="30" t="s">
        <v>41</v>
      </c>
      <c r="E725" s="30" t="s">
        <v>38</v>
      </c>
      <c r="F725" s="30" t="s">
        <v>43</v>
      </c>
      <c r="G725" s="33">
        <v>1.3260000000000001</v>
      </c>
      <c r="H725" s="83" t="s">
        <v>88</v>
      </c>
    </row>
    <row r="726" spans="1:8" ht="16.5" customHeight="1" x14ac:dyDescent="0.25">
      <c r="A726" s="27">
        <v>45740</v>
      </c>
      <c r="B726" s="80">
        <v>2025</v>
      </c>
      <c r="C726" s="80">
        <v>3</v>
      </c>
      <c r="D726" s="30" t="s">
        <v>41</v>
      </c>
      <c r="E726" s="30" t="s">
        <v>42</v>
      </c>
      <c r="F726" s="30" t="s">
        <v>43</v>
      </c>
      <c r="G726" s="33">
        <v>3.8759999999999999</v>
      </c>
      <c r="H726" s="83" t="s">
        <v>88</v>
      </c>
    </row>
    <row r="727" spans="1:8" ht="16.5" customHeight="1" x14ac:dyDescent="0.25">
      <c r="A727" s="27">
        <v>45740</v>
      </c>
      <c r="B727" s="80">
        <v>2025</v>
      </c>
      <c r="C727" s="80">
        <v>3</v>
      </c>
      <c r="D727" s="30" t="s">
        <v>41</v>
      </c>
      <c r="E727" s="30" t="s">
        <v>46</v>
      </c>
      <c r="F727" s="30" t="s">
        <v>51</v>
      </c>
      <c r="G727" s="33">
        <v>0.4002</v>
      </c>
      <c r="H727" s="83" t="s">
        <v>88</v>
      </c>
    </row>
    <row r="728" spans="1:8" ht="16.5" customHeight="1" x14ac:dyDescent="0.25">
      <c r="A728" s="27">
        <v>45740</v>
      </c>
      <c r="B728" s="80">
        <v>2025</v>
      </c>
      <c r="C728" s="80">
        <v>3</v>
      </c>
      <c r="D728" s="30" t="s">
        <v>41</v>
      </c>
      <c r="E728" s="30" t="s">
        <v>50</v>
      </c>
      <c r="F728" s="30" t="s">
        <v>43</v>
      </c>
      <c r="G728" s="33">
        <v>13.496961499999999</v>
      </c>
      <c r="H728" s="83" t="s">
        <v>88</v>
      </c>
    </row>
    <row r="729" spans="1:8" ht="16.5" customHeight="1" x14ac:dyDescent="0.25">
      <c r="A729" s="27">
        <v>45740</v>
      </c>
      <c r="B729" s="80">
        <v>2025</v>
      </c>
      <c r="C729" s="80">
        <v>3</v>
      </c>
      <c r="D729" s="30" t="s">
        <v>41</v>
      </c>
      <c r="E729" s="30" t="s">
        <v>50</v>
      </c>
      <c r="F729" s="30" t="s">
        <v>51</v>
      </c>
      <c r="G729" s="33">
        <v>0.51</v>
      </c>
      <c r="H729" s="83" t="s">
        <v>88</v>
      </c>
    </row>
    <row r="730" spans="1:8" ht="16.5" customHeight="1" x14ac:dyDescent="0.25">
      <c r="A730" s="27">
        <v>45740</v>
      </c>
      <c r="B730" s="80">
        <v>2025</v>
      </c>
      <c r="C730" s="80">
        <v>3</v>
      </c>
      <c r="D730" s="30" t="s">
        <v>41</v>
      </c>
      <c r="E730" s="30" t="s">
        <v>50</v>
      </c>
      <c r="F730" s="30" t="s">
        <v>55</v>
      </c>
      <c r="G730" s="33">
        <v>0.53549999999999998</v>
      </c>
      <c r="H730" s="83" t="s">
        <v>88</v>
      </c>
    </row>
    <row r="731" spans="1:8" ht="16.5" customHeight="1" x14ac:dyDescent="0.25">
      <c r="A731" s="27">
        <v>45740</v>
      </c>
      <c r="B731" s="80">
        <v>2025</v>
      </c>
      <c r="C731" s="80">
        <v>3</v>
      </c>
      <c r="D731" s="30" t="s">
        <v>41</v>
      </c>
      <c r="E731" s="30" t="s">
        <v>50</v>
      </c>
      <c r="F731" s="30" t="s">
        <v>58</v>
      </c>
      <c r="G731" s="33">
        <v>1.0744849999999999</v>
      </c>
      <c r="H731" s="83" t="s">
        <v>88</v>
      </c>
    </row>
    <row r="732" spans="1:8" ht="16.5" customHeight="1" x14ac:dyDescent="0.25">
      <c r="A732" s="27">
        <v>45740</v>
      </c>
      <c r="B732" s="80">
        <v>2025</v>
      </c>
      <c r="C732" s="80">
        <v>3</v>
      </c>
      <c r="D732" s="30" t="s">
        <v>41</v>
      </c>
      <c r="E732" s="30" t="s">
        <v>54</v>
      </c>
      <c r="F732" s="30" t="s">
        <v>43</v>
      </c>
      <c r="G732" s="33">
        <v>1.3979999999999999</v>
      </c>
      <c r="H732" s="83" t="s">
        <v>88</v>
      </c>
    </row>
    <row r="733" spans="1:8" ht="16.5" customHeight="1" x14ac:dyDescent="0.25">
      <c r="A733" s="27">
        <v>45740</v>
      </c>
      <c r="B733" s="80">
        <v>2025</v>
      </c>
      <c r="C733" s="80">
        <v>3</v>
      </c>
      <c r="D733" s="30" t="s">
        <v>41</v>
      </c>
      <c r="E733" s="30" t="s">
        <v>57</v>
      </c>
      <c r="F733" s="30" t="s">
        <v>55</v>
      </c>
      <c r="G733" s="33">
        <v>1.08</v>
      </c>
      <c r="H733" s="83" t="s">
        <v>89</v>
      </c>
    </row>
    <row r="734" spans="1:8" ht="16.5" customHeight="1" x14ac:dyDescent="0.25">
      <c r="A734" s="27">
        <v>45740</v>
      </c>
      <c r="B734" s="80">
        <v>2025</v>
      </c>
      <c r="C734" s="80">
        <v>3</v>
      </c>
      <c r="D734" s="30" t="s">
        <v>41</v>
      </c>
      <c r="E734" s="30" t="s">
        <v>61</v>
      </c>
      <c r="F734" s="30" t="s">
        <v>43</v>
      </c>
      <c r="G734" s="33">
        <v>3.54</v>
      </c>
      <c r="H734" s="83" t="s">
        <v>89</v>
      </c>
    </row>
    <row r="735" spans="1:8" ht="16.5" customHeight="1" x14ac:dyDescent="0.25">
      <c r="A735" s="27">
        <v>45740</v>
      </c>
      <c r="B735" s="80">
        <v>2025</v>
      </c>
      <c r="C735" s="80">
        <v>3</v>
      </c>
      <c r="D735" s="30" t="s">
        <v>41</v>
      </c>
      <c r="E735" s="30" t="s">
        <v>68</v>
      </c>
      <c r="F735" s="30" t="s">
        <v>51</v>
      </c>
      <c r="G735" s="33">
        <v>0.54449999999999998</v>
      </c>
      <c r="H735" s="83" t="s">
        <v>89</v>
      </c>
    </row>
    <row r="736" spans="1:8" ht="16.5" customHeight="1" x14ac:dyDescent="0.25">
      <c r="A736" s="27">
        <v>45740</v>
      </c>
      <c r="B736" s="80">
        <v>2025</v>
      </c>
      <c r="C736" s="80">
        <v>3</v>
      </c>
      <c r="D736" s="30" t="s">
        <v>41</v>
      </c>
      <c r="E736" s="30" t="s">
        <v>73</v>
      </c>
      <c r="F736" s="30" t="s">
        <v>39</v>
      </c>
      <c r="G736" s="33">
        <v>10.215</v>
      </c>
      <c r="H736" s="83" t="s">
        <v>89</v>
      </c>
    </row>
    <row r="737" spans="1:8" ht="16.5" customHeight="1" x14ac:dyDescent="0.25">
      <c r="A737" s="27">
        <v>45741</v>
      </c>
      <c r="B737" s="80">
        <v>2025</v>
      </c>
      <c r="C737" s="80">
        <v>3</v>
      </c>
      <c r="D737" s="30" t="s">
        <v>41</v>
      </c>
      <c r="E737" s="30" t="s">
        <v>38</v>
      </c>
      <c r="F737" s="30" t="s">
        <v>43</v>
      </c>
      <c r="G737" s="33">
        <v>6.766</v>
      </c>
      <c r="H737" s="83" t="s">
        <v>88</v>
      </c>
    </row>
    <row r="738" spans="1:8" ht="16.5" customHeight="1" x14ac:dyDescent="0.25">
      <c r="A738" s="27">
        <v>45741</v>
      </c>
      <c r="B738" s="80">
        <v>2025</v>
      </c>
      <c r="C738" s="80">
        <v>3</v>
      </c>
      <c r="D738" s="30" t="s">
        <v>41</v>
      </c>
      <c r="E738" s="30" t="s">
        <v>38</v>
      </c>
      <c r="F738" s="30" t="s">
        <v>51</v>
      </c>
      <c r="G738" s="33">
        <v>0.5</v>
      </c>
      <c r="H738" s="83" t="s">
        <v>88</v>
      </c>
    </row>
    <row r="739" spans="1:8" ht="16.5" customHeight="1" x14ac:dyDescent="0.25">
      <c r="A739" s="27">
        <v>45741</v>
      </c>
      <c r="B739" s="80">
        <v>2025</v>
      </c>
      <c r="C739" s="80">
        <v>3</v>
      </c>
      <c r="D739" s="30" t="s">
        <v>41</v>
      </c>
      <c r="E739" s="30" t="s">
        <v>42</v>
      </c>
      <c r="F739" s="30" t="s">
        <v>58</v>
      </c>
      <c r="G739" s="33">
        <v>1.3713299999999999</v>
      </c>
      <c r="H739" s="83" t="s">
        <v>88</v>
      </c>
    </row>
    <row r="740" spans="1:8" ht="16.5" customHeight="1" x14ac:dyDescent="0.25">
      <c r="A740" s="27">
        <v>45741</v>
      </c>
      <c r="B740" s="80">
        <v>2025</v>
      </c>
      <c r="C740" s="80">
        <v>3</v>
      </c>
      <c r="D740" s="30" t="s">
        <v>41</v>
      </c>
      <c r="E740" s="30" t="s">
        <v>46</v>
      </c>
      <c r="F740" s="30" t="s">
        <v>43</v>
      </c>
      <c r="G740" s="33">
        <v>4.9748433600000004</v>
      </c>
      <c r="H740" s="83" t="s">
        <v>88</v>
      </c>
    </row>
    <row r="741" spans="1:8" ht="16.5" customHeight="1" x14ac:dyDescent="0.25">
      <c r="A741" s="27">
        <v>45741</v>
      </c>
      <c r="B741" s="80">
        <v>2025</v>
      </c>
      <c r="C741" s="80">
        <v>3</v>
      </c>
      <c r="D741" s="30" t="s">
        <v>41</v>
      </c>
      <c r="E741" s="30" t="s">
        <v>46</v>
      </c>
      <c r="F741" s="30" t="s">
        <v>55</v>
      </c>
      <c r="G741" s="33">
        <v>0.27982499999999999</v>
      </c>
      <c r="H741" s="83" t="s">
        <v>88</v>
      </c>
    </row>
    <row r="742" spans="1:8" ht="16.5" customHeight="1" x14ac:dyDescent="0.25">
      <c r="A742" s="27">
        <v>45741</v>
      </c>
      <c r="B742" s="80">
        <v>2025</v>
      </c>
      <c r="C742" s="80">
        <v>3</v>
      </c>
      <c r="D742" s="30" t="s">
        <v>41</v>
      </c>
      <c r="E742" s="30" t="s">
        <v>46</v>
      </c>
      <c r="F742" s="30" t="s">
        <v>58</v>
      </c>
      <c r="G742" s="33">
        <v>0.27190995000000001</v>
      </c>
      <c r="H742" s="83" t="s">
        <v>88</v>
      </c>
    </row>
    <row r="743" spans="1:8" ht="16.5" customHeight="1" x14ac:dyDescent="0.25">
      <c r="A743" s="27">
        <v>45741</v>
      </c>
      <c r="B743" s="80">
        <v>2025</v>
      </c>
      <c r="C743" s="80">
        <v>3</v>
      </c>
      <c r="D743" s="30" t="s">
        <v>41</v>
      </c>
      <c r="E743" s="30" t="s">
        <v>50</v>
      </c>
      <c r="F743" s="30" t="s">
        <v>43</v>
      </c>
      <c r="G743" s="33">
        <v>3.2892703999999999</v>
      </c>
      <c r="H743" s="83" t="s">
        <v>88</v>
      </c>
    </row>
    <row r="744" spans="1:8" ht="16.5" customHeight="1" x14ac:dyDescent="0.25">
      <c r="A744" s="27">
        <v>45741</v>
      </c>
      <c r="B744" s="80">
        <v>2025</v>
      </c>
      <c r="C744" s="80">
        <v>3</v>
      </c>
      <c r="D744" s="30" t="s">
        <v>41</v>
      </c>
      <c r="E744" s="30" t="s">
        <v>50</v>
      </c>
      <c r="F744" s="30" t="s">
        <v>55</v>
      </c>
      <c r="G744" s="33">
        <v>0.93240000000000001</v>
      </c>
      <c r="H744" s="83" t="s">
        <v>88</v>
      </c>
    </row>
    <row r="745" spans="1:8" ht="16.5" customHeight="1" x14ac:dyDescent="0.25">
      <c r="A745" s="27">
        <v>45741</v>
      </c>
      <c r="B745" s="80">
        <v>2025</v>
      </c>
      <c r="C745" s="80">
        <v>3</v>
      </c>
      <c r="D745" s="30" t="s">
        <v>41</v>
      </c>
      <c r="E745" s="30" t="s">
        <v>50</v>
      </c>
      <c r="F745" s="30" t="s">
        <v>58</v>
      </c>
      <c r="G745" s="33">
        <v>0.57420059999999995</v>
      </c>
      <c r="H745" s="83" t="s">
        <v>88</v>
      </c>
    </row>
    <row r="746" spans="1:8" ht="16.5" customHeight="1" x14ac:dyDescent="0.25">
      <c r="A746" s="27">
        <v>45741</v>
      </c>
      <c r="B746" s="80">
        <v>2025</v>
      </c>
      <c r="C746" s="80">
        <v>3</v>
      </c>
      <c r="D746" s="30" t="s">
        <v>41</v>
      </c>
      <c r="E746" s="30" t="s">
        <v>54</v>
      </c>
      <c r="F746" s="30" t="s">
        <v>43</v>
      </c>
      <c r="G746" s="33">
        <v>4.8912500000000003</v>
      </c>
      <c r="H746" s="83" t="s">
        <v>88</v>
      </c>
    </row>
    <row r="747" spans="1:8" ht="16.5" customHeight="1" x14ac:dyDescent="0.25">
      <c r="A747" s="27">
        <v>45741</v>
      </c>
      <c r="B747" s="80">
        <v>2025</v>
      </c>
      <c r="C747" s="80">
        <v>3</v>
      </c>
      <c r="D747" s="30" t="s">
        <v>41</v>
      </c>
      <c r="E747" s="30" t="s">
        <v>61</v>
      </c>
      <c r="F747" s="30" t="s">
        <v>43</v>
      </c>
      <c r="G747" s="33">
        <v>56.296799999999998</v>
      </c>
      <c r="H747" s="83" t="s">
        <v>89</v>
      </c>
    </row>
    <row r="748" spans="1:8" ht="16.5" customHeight="1" x14ac:dyDescent="0.25">
      <c r="A748" s="27">
        <v>45741</v>
      </c>
      <c r="B748" s="80">
        <v>2025</v>
      </c>
      <c r="C748" s="80">
        <v>3</v>
      </c>
      <c r="D748" s="30" t="s">
        <v>41</v>
      </c>
      <c r="E748" s="30" t="s">
        <v>68</v>
      </c>
      <c r="F748" s="30" t="s">
        <v>43</v>
      </c>
      <c r="G748" s="33">
        <v>6.077</v>
      </c>
      <c r="H748" s="83" t="s">
        <v>89</v>
      </c>
    </row>
    <row r="749" spans="1:8" ht="16.5" customHeight="1" x14ac:dyDescent="0.25">
      <c r="A749" s="27">
        <v>45741</v>
      </c>
      <c r="B749" s="80">
        <v>2025</v>
      </c>
      <c r="C749" s="80">
        <v>3</v>
      </c>
      <c r="D749" s="30" t="s">
        <v>41</v>
      </c>
      <c r="E749" s="30" t="s">
        <v>68</v>
      </c>
      <c r="F749" s="30" t="s">
        <v>55</v>
      </c>
      <c r="G749" s="33">
        <v>0.62</v>
      </c>
      <c r="H749" s="83" t="s">
        <v>89</v>
      </c>
    </row>
    <row r="750" spans="1:8" ht="16.5" customHeight="1" x14ac:dyDescent="0.25">
      <c r="A750" s="27">
        <v>45741</v>
      </c>
      <c r="B750" s="80">
        <v>2025</v>
      </c>
      <c r="C750" s="80">
        <v>3</v>
      </c>
      <c r="D750" s="30" t="s">
        <v>41</v>
      </c>
      <c r="E750" s="30" t="s">
        <v>71</v>
      </c>
      <c r="F750" s="30" t="s">
        <v>43</v>
      </c>
      <c r="G750" s="33">
        <v>27.4862</v>
      </c>
      <c r="H750" s="83" t="s">
        <v>89</v>
      </c>
    </row>
    <row r="751" spans="1:8" ht="16.5" customHeight="1" x14ac:dyDescent="0.25">
      <c r="A751" s="27">
        <v>45741</v>
      </c>
      <c r="B751" s="80">
        <v>2025</v>
      </c>
      <c r="C751" s="80">
        <v>3</v>
      </c>
      <c r="D751" s="30" t="s">
        <v>41</v>
      </c>
      <c r="E751" s="30" t="s">
        <v>74</v>
      </c>
      <c r="F751" s="30" t="s">
        <v>55</v>
      </c>
      <c r="G751" s="33">
        <v>64.128063999999995</v>
      </c>
      <c r="H751" s="83" t="s">
        <v>89</v>
      </c>
    </row>
    <row r="752" spans="1:8" ht="16.5" customHeight="1" x14ac:dyDescent="0.25">
      <c r="A752" s="27">
        <v>45741</v>
      </c>
      <c r="B752" s="80">
        <v>2025</v>
      </c>
      <c r="C752" s="80">
        <v>3</v>
      </c>
      <c r="D752" s="30" t="s">
        <v>41</v>
      </c>
      <c r="E752" s="30" t="s">
        <v>75</v>
      </c>
      <c r="F752" s="30" t="s">
        <v>43</v>
      </c>
      <c r="G752" s="33">
        <v>101.3601</v>
      </c>
      <c r="H752" s="83" t="s">
        <v>48</v>
      </c>
    </row>
    <row r="753" spans="1:8" ht="16.5" customHeight="1" x14ac:dyDescent="0.25">
      <c r="A753" s="27">
        <v>45742</v>
      </c>
      <c r="B753" s="80">
        <v>2025</v>
      </c>
      <c r="C753" s="80">
        <v>3</v>
      </c>
      <c r="D753" s="30" t="s">
        <v>41</v>
      </c>
      <c r="E753" s="30" t="s">
        <v>38</v>
      </c>
      <c r="F753" s="30" t="s">
        <v>43</v>
      </c>
      <c r="G753" s="33">
        <v>20.254999999999999</v>
      </c>
      <c r="H753" s="83" t="s">
        <v>88</v>
      </c>
    </row>
    <row r="754" spans="1:8" ht="16.5" customHeight="1" x14ac:dyDescent="0.25">
      <c r="A754" s="27">
        <v>45742</v>
      </c>
      <c r="B754" s="80">
        <v>2025</v>
      </c>
      <c r="C754" s="80">
        <v>3</v>
      </c>
      <c r="D754" s="30" t="s">
        <v>41</v>
      </c>
      <c r="E754" s="30" t="s">
        <v>42</v>
      </c>
      <c r="F754" s="30" t="s">
        <v>43</v>
      </c>
      <c r="G754" s="33">
        <v>6.4260000000000002</v>
      </c>
      <c r="H754" s="83" t="s">
        <v>88</v>
      </c>
    </row>
    <row r="755" spans="1:8" ht="16.5" customHeight="1" x14ac:dyDescent="0.25">
      <c r="A755" s="27">
        <v>45742</v>
      </c>
      <c r="B755" s="80">
        <v>2025</v>
      </c>
      <c r="C755" s="80">
        <v>3</v>
      </c>
      <c r="D755" s="30" t="s">
        <v>41</v>
      </c>
      <c r="E755" s="30" t="s">
        <v>46</v>
      </c>
      <c r="F755" s="30" t="s">
        <v>43</v>
      </c>
      <c r="G755" s="33">
        <v>7.8309622799999996</v>
      </c>
      <c r="H755" s="83" t="s">
        <v>88</v>
      </c>
    </row>
    <row r="756" spans="1:8" ht="16.5" customHeight="1" x14ac:dyDescent="0.25">
      <c r="A756" s="27">
        <v>45742</v>
      </c>
      <c r="B756" s="80">
        <v>2025</v>
      </c>
      <c r="C756" s="80">
        <v>3</v>
      </c>
      <c r="D756" s="30" t="s">
        <v>41</v>
      </c>
      <c r="E756" s="30" t="s">
        <v>46</v>
      </c>
      <c r="F756" s="30" t="s">
        <v>51</v>
      </c>
      <c r="G756" s="33">
        <v>0.5796</v>
      </c>
      <c r="H756" s="83" t="s">
        <v>88</v>
      </c>
    </row>
    <row r="757" spans="1:8" ht="16.5" customHeight="1" x14ac:dyDescent="0.25">
      <c r="A757" s="27">
        <v>45742</v>
      </c>
      <c r="B757" s="80">
        <v>2025</v>
      </c>
      <c r="C757" s="80">
        <v>3</v>
      </c>
      <c r="D757" s="30" t="s">
        <v>41</v>
      </c>
      <c r="E757" s="30" t="s">
        <v>46</v>
      </c>
      <c r="F757" s="30" t="s">
        <v>58</v>
      </c>
      <c r="G757" s="33">
        <v>1.19263998</v>
      </c>
      <c r="H757" s="83" t="s">
        <v>88</v>
      </c>
    </row>
    <row r="758" spans="1:8" ht="16.5" customHeight="1" x14ac:dyDescent="0.25">
      <c r="A758" s="27">
        <v>45742</v>
      </c>
      <c r="B758" s="80">
        <v>2025</v>
      </c>
      <c r="C758" s="80">
        <v>3</v>
      </c>
      <c r="D758" s="30" t="s">
        <v>41</v>
      </c>
      <c r="E758" s="30" t="s">
        <v>50</v>
      </c>
      <c r="F758" s="30" t="s">
        <v>43</v>
      </c>
      <c r="G758" s="33">
        <v>10.875078</v>
      </c>
      <c r="H758" s="83" t="s">
        <v>88</v>
      </c>
    </row>
    <row r="759" spans="1:8" ht="16.5" customHeight="1" x14ac:dyDescent="0.25">
      <c r="A759" s="27">
        <v>45742</v>
      </c>
      <c r="B759" s="80">
        <v>2025</v>
      </c>
      <c r="C759" s="80">
        <v>3</v>
      </c>
      <c r="D759" s="30" t="s">
        <v>41</v>
      </c>
      <c r="E759" s="30" t="s">
        <v>50</v>
      </c>
      <c r="F759" s="30" t="s">
        <v>47</v>
      </c>
      <c r="G759" s="33">
        <v>0.93240000000000001</v>
      </c>
      <c r="H759" s="83" t="s">
        <v>88</v>
      </c>
    </row>
    <row r="760" spans="1:8" ht="16.5" customHeight="1" x14ac:dyDescent="0.25">
      <c r="A760" s="27">
        <v>45742</v>
      </c>
      <c r="B760" s="80">
        <v>2025</v>
      </c>
      <c r="C760" s="80">
        <v>3</v>
      </c>
      <c r="D760" s="30" t="s">
        <v>41</v>
      </c>
      <c r="E760" s="30" t="s">
        <v>50</v>
      </c>
      <c r="F760" s="30" t="s">
        <v>58</v>
      </c>
      <c r="G760" s="33">
        <v>2.7411208500000002</v>
      </c>
      <c r="H760" s="83" t="s">
        <v>88</v>
      </c>
    </row>
    <row r="761" spans="1:8" ht="16.5" customHeight="1" x14ac:dyDescent="0.25">
      <c r="A761" s="27">
        <v>45742</v>
      </c>
      <c r="B761" s="80">
        <v>2025</v>
      </c>
      <c r="C761" s="80">
        <v>3</v>
      </c>
      <c r="D761" s="30" t="s">
        <v>41</v>
      </c>
      <c r="E761" s="30" t="s">
        <v>54</v>
      </c>
      <c r="F761" s="30" t="s">
        <v>43</v>
      </c>
      <c r="G761" s="33">
        <v>7.7416</v>
      </c>
      <c r="H761" s="83" t="s">
        <v>88</v>
      </c>
    </row>
    <row r="762" spans="1:8" ht="16.5" customHeight="1" x14ac:dyDescent="0.25">
      <c r="A762" s="27">
        <v>45742</v>
      </c>
      <c r="B762" s="80">
        <v>2025</v>
      </c>
      <c r="C762" s="80">
        <v>3</v>
      </c>
      <c r="D762" s="30" t="s">
        <v>41</v>
      </c>
      <c r="E762" s="30" t="s">
        <v>54</v>
      </c>
      <c r="F762" s="30" t="s">
        <v>47</v>
      </c>
      <c r="G762" s="33">
        <v>4.6460000000000001E-2</v>
      </c>
      <c r="H762" s="83" t="s">
        <v>88</v>
      </c>
    </row>
    <row r="763" spans="1:8" ht="16.5" customHeight="1" x14ac:dyDescent="0.25">
      <c r="A763" s="27">
        <v>45742</v>
      </c>
      <c r="B763" s="80">
        <v>2025</v>
      </c>
      <c r="C763" s="80">
        <v>3</v>
      </c>
      <c r="D763" s="30" t="s">
        <v>41</v>
      </c>
      <c r="E763" s="30" t="s">
        <v>57</v>
      </c>
      <c r="F763" s="30" t="s">
        <v>43</v>
      </c>
      <c r="G763" s="33">
        <v>5.9725000000000001</v>
      </c>
      <c r="H763" s="83" t="s">
        <v>89</v>
      </c>
    </row>
    <row r="764" spans="1:8" ht="16.5" customHeight="1" x14ac:dyDescent="0.25">
      <c r="A764" s="27">
        <v>45742</v>
      </c>
      <c r="B764" s="80">
        <v>2025</v>
      </c>
      <c r="C764" s="80">
        <v>3</v>
      </c>
      <c r="D764" s="30" t="s">
        <v>41</v>
      </c>
      <c r="E764" s="30" t="s">
        <v>66</v>
      </c>
      <c r="F764" s="30" t="s">
        <v>43</v>
      </c>
      <c r="G764" s="33">
        <v>7.32</v>
      </c>
      <c r="H764" s="83" t="s">
        <v>89</v>
      </c>
    </row>
    <row r="765" spans="1:8" ht="16.5" customHeight="1" x14ac:dyDescent="0.25">
      <c r="A765" s="27">
        <v>45742</v>
      </c>
      <c r="B765" s="80">
        <v>2025</v>
      </c>
      <c r="C765" s="80">
        <v>3</v>
      </c>
      <c r="D765" s="30" t="s">
        <v>41</v>
      </c>
      <c r="E765" s="30" t="s">
        <v>75</v>
      </c>
      <c r="F765" s="30" t="s">
        <v>43</v>
      </c>
      <c r="G765" s="33">
        <v>1.3575137500000001</v>
      </c>
      <c r="H765" s="83" t="s">
        <v>48</v>
      </c>
    </row>
    <row r="766" spans="1:8" ht="16.5" customHeight="1" x14ac:dyDescent="0.25">
      <c r="A766" s="27">
        <v>45743</v>
      </c>
      <c r="B766" s="80">
        <v>2025</v>
      </c>
      <c r="C766" s="80">
        <v>3</v>
      </c>
      <c r="D766" s="30" t="s">
        <v>41</v>
      </c>
      <c r="E766" s="30" t="s">
        <v>38</v>
      </c>
      <c r="F766" s="30" t="s">
        <v>43</v>
      </c>
      <c r="G766" s="33">
        <v>3.9784999999999999</v>
      </c>
      <c r="H766" s="83" t="s">
        <v>88</v>
      </c>
    </row>
    <row r="767" spans="1:8" ht="16.5" customHeight="1" x14ac:dyDescent="0.25">
      <c r="A767" s="27">
        <v>45743</v>
      </c>
      <c r="B767" s="80">
        <v>2025</v>
      </c>
      <c r="C767" s="80">
        <v>3</v>
      </c>
      <c r="D767" s="30" t="s">
        <v>41</v>
      </c>
      <c r="E767" s="30" t="s">
        <v>42</v>
      </c>
      <c r="F767" s="30" t="s">
        <v>43</v>
      </c>
      <c r="G767" s="33">
        <v>1.4279999999999999</v>
      </c>
      <c r="H767" s="83" t="s">
        <v>88</v>
      </c>
    </row>
    <row r="768" spans="1:8" ht="16.5" customHeight="1" x14ac:dyDescent="0.25">
      <c r="A768" s="27">
        <v>45743</v>
      </c>
      <c r="B768" s="80">
        <v>2025</v>
      </c>
      <c r="C768" s="80">
        <v>3</v>
      </c>
      <c r="D768" s="30" t="s">
        <v>41</v>
      </c>
      <c r="E768" s="30" t="s">
        <v>42</v>
      </c>
      <c r="F768" s="30" t="s">
        <v>58</v>
      </c>
      <c r="G768" s="33">
        <v>0.3569</v>
      </c>
      <c r="H768" s="83" t="s">
        <v>88</v>
      </c>
    </row>
    <row r="769" spans="1:8" ht="16.5" customHeight="1" x14ac:dyDescent="0.25">
      <c r="A769" s="27">
        <v>45743</v>
      </c>
      <c r="B769" s="80">
        <v>2025</v>
      </c>
      <c r="C769" s="80">
        <v>3</v>
      </c>
      <c r="D769" s="30" t="s">
        <v>41</v>
      </c>
      <c r="E769" s="30" t="s">
        <v>46</v>
      </c>
      <c r="F769" s="30" t="s">
        <v>43</v>
      </c>
      <c r="G769" s="33">
        <v>0.1812</v>
      </c>
      <c r="H769" s="83" t="s">
        <v>88</v>
      </c>
    </row>
    <row r="770" spans="1:8" ht="16.5" customHeight="1" x14ac:dyDescent="0.25">
      <c r="A770" s="27">
        <v>45743</v>
      </c>
      <c r="B770" s="80">
        <v>2025</v>
      </c>
      <c r="C770" s="80">
        <v>3</v>
      </c>
      <c r="D770" s="30" t="s">
        <v>41</v>
      </c>
      <c r="E770" s="30" t="s">
        <v>50</v>
      </c>
      <c r="F770" s="30" t="s">
        <v>43</v>
      </c>
      <c r="G770" s="33">
        <v>2.7423841499999999</v>
      </c>
      <c r="H770" s="83" t="s">
        <v>88</v>
      </c>
    </row>
    <row r="771" spans="1:8" ht="16.5" customHeight="1" x14ac:dyDescent="0.25">
      <c r="A771" s="27">
        <v>45743</v>
      </c>
      <c r="B771" s="80">
        <v>2025</v>
      </c>
      <c r="C771" s="80">
        <v>3</v>
      </c>
      <c r="D771" s="30" t="s">
        <v>41</v>
      </c>
      <c r="E771" s="30" t="s">
        <v>50</v>
      </c>
      <c r="F771" s="30" t="s">
        <v>47</v>
      </c>
      <c r="G771" s="33">
        <v>0.15640000000000001</v>
      </c>
      <c r="H771" s="83" t="s">
        <v>88</v>
      </c>
    </row>
    <row r="772" spans="1:8" ht="16.5" customHeight="1" x14ac:dyDescent="0.25">
      <c r="A772" s="27">
        <v>45743</v>
      </c>
      <c r="B772" s="80">
        <v>2025</v>
      </c>
      <c r="C772" s="80">
        <v>3</v>
      </c>
      <c r="D772" s="30" t="s">
        <v>41</v>
      </c>
      <c r="E772" s="30" t="s">
        <v>50</v>
      </c>
      <c r="F772" s="30" t="s">
        <v>55</v>
      </c>
      <c r="G772" s="33">
        <v>0.22875000000000001</v>
      </c>
      <c r="H772" s="83" t="s">
        <v>88</v>
      </c>
    </row>
    <row r="773" spans="1:8" ht="16.5" customHeight="1" x14ac:dyDescent="0.25">
      <c r="A773" s="27">
        <v>45743</v>
      </c>
      <c r="B773" s="80">
        <v>2025</v>
      </c>
      <c r="C773" s="80">
        <v>3</v>
      </c>
      <c r="D773" s="30" t="s">
        <v>41</v>
      </c>
      <c r="E773" s="30" t="s">
        <v>50</v>
      </c>
      <c r="F773" s="30" t="s">
        <v>58</v>
      </c>
      <c r="G773" s="33">
        <v>0.33731800000000001</v>
      </c>
      <c r="H773" s="83" t="s">
        <v>88</v>
      </c>
    </row>
    <row r="774" spans="1:8" ht="16.5" customHeight="1" x14ac:dyDescent="0.25">
      <c r="A774" s="27">
        <v>45743</v>
      </c>
      <c r="B774" s="80">
        <v>2025</v>
      </c>
      <c r="C774" s="80">
        <v>3</v>
      </c>
      <c r="D774" s="30" t="s">
        <v>41</v>
      </c>
      <c r="E774" s="30" t="s">
        <v>54</v>
      </c>
      <c r="F774" s="30" t="s">
        <v>43</v>
      </c>
      <c r="G774" s="33">
        <v>4.3574999999999999</v>
      </c>
      <c r="H774" s="83" t="s">
        <v>88</v>
      </c>
    </row>
    <row r="775" spans="1:8" ht="16.5" customHeight="1" x14ac:dyDescent="0.25">
      <c r="A775" s="27">
        <v>45743</v>
      </c>
      <c r="B775" s="80">
        <v>2025</v>
      </c>
      <c r="C775" s="80">
        <v>3</v>
      </c>
      <c r="D775" s="30" t="s">
        <v>41</v>
      </c>
      <c r="E775" s="30" t="s">
        <v>66</v>
      </c>
      <c r="F775" s="30" t="s">
        <v>43</v>
      </c>
      <c r="G775" s="33">
        <v>1.2</v>
      </c>
      <c r="H775" s="83" t="s">
        <v>89</v>
      </c>
    </row>
    <row r="776" spans="1:8" ht="16.5" customHeight="1" x14ac:dyDescent="0.25">
      <c r="A776" s="27">
        <v>45743</v>
      </c>
      <c r="B776" s="80">
        <v>2025</v>
      </c>
      <c r="C776" s="80">
        <v>3</v>
      </c>
      <c r="D776" s="30" t="s">
        <v>41</v>
      </c>
      <c r="E776" s="30" t="s">
        <v>68</v>
      </c>
      <c r="F776" s="30" t="s">
        <v>43</v>
      </c>
      <c r="G776" s="33">
        <v>3.4350000000000001</v>
      </c>
      <c r="H776" s="83" t="s">
        <v>89</v>
      </c>
    </row>
    <row r="777" spans="1:8" ht="16.5" customHeight="1" x14ac:dyDescent="0.25">
      <c r="A777" s="27">
        <v>45743</v>
      </c>
      <c r="B777" s="80">
        <v>2025</v>
      </c>
      <c r="C777" s="80">
        <v>3</v>
      </c>
      <c r="D777" s="30" t="s">
        <v>41</v>
      </c>
      <c r="E777" s="30" t="s">
        <v>71</v>
      </c>
      <c r="F777" s="30" t="s">
        <v>43</v>
      </c>
      <c r="G777" s="33">
        <v>10.15</v>
      </c>
      <c r="H777" s="83" t="s">
        <v>89</v>
      </c>
    </row>
    <row r="778" spans="1:8" ht="16.5" customHeight="1" x14ac:dyDescent="0.25">
      <c r="A778" s="27">
        <v>45743</v>
      </c>
      <c r="B778" s="80">
        <v>2025</v>
      </c>
      <c r="C778" s="80">
        <v>3</v>
      </c>
      <c r="D778" s="30" t="s">
        <v>41</v>
      </c>
      <c r="E778" s="30" t="s">
        <v>76</v>
      </c>
      <c r="F778" s="30" t="s">
        <v>43</v>
      </c>
      <c r="G778" s="33">
        <v>90.633099999999999</v>
      </c>
      <c r="H778" s="83" t="s">
        <v>48</v>
      </c>
    </row>
    <row r="779" spans="1:8" ht="16.5" customHeight="1" x14ac:dyDescent="0.25">
      <c r="A779" s="27">
        <v>45744</v>
      </c>
      <c r="B779" s="80">
        <v>2025</v>
      </c>
      <c r="C779" s="80">
        <v>3</v>
      </c>
      <c r="D779" s="30" t="s">
        <v>41</v>
      </c>
      <c r="E779" s="30" t="s">
        <v>38</v>
      </c>
      <c r="F779" s="30" t="s">
        <v>43</v>
      </c>
      <c r="G779" s="33">
        <v>12.819000000000001</v>
      </c>
      <c r="H779" s="83" t="s">
        <v>88</v>
      </c>
    </row>
    <row r="780" spans="1:8" ht="16.5" customHeight="1" x14ac:dyDescent="0.25">
      <c r="A780" s="27">
        <v>45744</v>
      </c>
      <c r="B780" s="80">
        <v>2025</v>
      </c>
      <c r="C780" s="80">
        <v>3</v>
      </c>
      <c r="D780" s="30" t="s">
        <v>41</v>
      </c>
      <c r="E780" s="30" t="s">
        <v>42</v>
      </c>
      <c r="F780" s="30" t="s">
        <v>43</v>
      </c>
      <c r="G780" s="33">
        <v>3.1779999999999999</v>
      </c>
      <c r="H780" s="83" t="s">
        <v>88</v>
      </c>
    </row>
    <row r="781" spans="1:8" ht="16.5" customHeight="1" x14ac:dyDescent="0.25">
      <c r="A781" s="27">
        <v>45744</v>
      </c>
      <c r="B781" s="80">
        <v>2025</v>
      </c>
      <c r="C781" s="80">
        <v>3</v>
      </c>
      <c r="D781" s="30" t="s">
        <v>41</v>
      </c>
      <c r="E781" s="30" t="s">
        <v>46</v>
      </c>
      <c r="F781" s="30" t="s">
        <v>43</v>
      </c>
      <c r="G781" s="33">
        <v>1.8505720000000001</v>
      </c>
      <c r="H781" s="83" t="s">
        <v>88</v>
      </c>
    </row>
    <row r="782" spans="1:8" ht="16.5" customHeight="1" x14ac:dyDescent="0.25">
      <c r="A782" s="27">
        <v>45744</v>
      </c>
      <c r="B782" s="80">
        <v>2025</v>
      </c>
      <c r="C782" s="80">
        <v>3</v>
      </c>
      <c r="D782" s="30" t="s">
        <v>41</v>
      </c>
      <c r="E782" s="30" t="s">
        <v>46</v>
      </c>
      <c r="F782" s="30" t="s">
        <v>51</v>
      </c>
      <c r="G782" s="33">
        <v>0.28476000000000001</v>
      </c>
      <c r="H782" s="83" t="s">
        <v>88</v>
      </c>
    </row>
    <row r="783" spans="1:8" ht="16.5" customHeight="1" x14ac:dyDescent="0.25">
      <c r="A783" s="27">
        <v>45744</v>
      </c>
      <c r="B783" s="80">
        <v>2025</v>
      </c>
      <c r="C783" s="80">
        <v>3</v>
      </c>
      <c r="D783" s="30" t="s">
        <v>41</v>
      </c>
      <c r="E783" s="30" t="s">
        <v>50</v>
      </c>
      <c r="F783" s="30" t="s">
        <v>39</v>
      </c>
      <c r="G783" s="33">
        <v>6.4566809999999997</v>
      </c>
      <c r="H783" s="83" t="s">
        <v>88</v>
      </c>
    </row>
    <row r="784" spans="1:8" ht="16.5" customHeight="1" x14ac:dyDescent="0.25">
      <c r="A784" s="27">
        <v>45744</v>
      </c>
      <c r="B784" s="80">
        <v>2025</v>
      </c>
      <c r="C784" s="80">
        <v>3</v>
      </c>
      <c r="D784" s="30" t="s">
        <v>41</v>
      </c>
      <c r="E784" s="30" t="s">
        <v>50</v>
      </c>
      <c r="F784" s="30" t="s">
        <v>43</v>
      </c>
      <c r="G784" s="33">
        <v>22.666462800000001</v>
      </c>
      <c r="H784" s="83" t="s">
        <v>88</v>
      </c>
    </row>
    <row r="785" spans="1:8" ht="16.5" customHeight="1" x14ac:dyDescent="0.25">
      <c r="A785" s="27">
        <v>45744</v>
      </c>
      <c r="B785" s="80">
        <v>2025</v>
      </c>
      <c r="C785" s="80">
        <v>3</v>
      </c>
      <c r="D785" s="30" t="s">
        <v>41</v>
      </c>
      <c r="E785" s="30" t="s">
        <v>50</v>
      </c>
      <c r="F785" s="30" t="s">
        <v>47</v>
      </c>
      <c r="G785" s="33">
        <v>0.62160000000000004</v>
      </c>
      <c r="H785" s="83" t="s">
        <v>88</v>
      </c>
    </row>
    <row r="786" spans="1:8" ht="16.5" customHeight="1" x14ac:dyDescent="0.25">
      <c r="A786" s="27">
        <v>45744</v>
      </c>
      <c r="B786" s="80">
        <v>2025</v>
      </c>
      <c r="C786" s="80">
        <v>3</v>
      </c>
      <c r="D786" s="30" t="s">
        <v>41</v>
      </c>
      <c r="E786" s="30" t="s">
        <v>50</v>
      </c>
      <c r="F786" s="30" t="s">
        <v>55</v>
      </c>
      <c r="G786" s="33">
        <v>0.45660000000000001</v>
      </c>
      <c r="H786" s="83" t="s">
        <v>88</v>
      </c>
    </row>
    <row r="787" spans="1:8" ht="16.5" customHeight="1" x14ac:dyDescent="0.25">
      <c r="A787" s="27">
        <v>45744</v>
      </c>
      <c r="B787" s="80">
        <v>2025</v>
      </c>
      <c r="C787" s="80">
        <v>3</v>
      </c>
      <c r="D787" s="30" t="s">
        <v>41</v>
      </c>
      <c r="E787" s="30" t="s">
        <v>54</v>
      </c>
      <c r="F787" s="30" t="s">
        <v>43</v>
      </c>
      <c r="G787" s="33">
        <v>1.0349999999999999</v>
      </c>
      <c r="H787" s="83" t="s">
        <v>88</v>
      </c>
    </row>
    <row r="788" spans="1:8" ht="16.5" customHeight="1" x14ac:dyDescent="0.25">
      <c r="A788" s="27">
        <v>45744</v>
      </c>
      <c r="B788" s="80">
        <v>2025</v>
      </c>
      <c r="C788" s="80">
        <v>3</v>
      </c>
      <c r="D788" s="30" t="s">
        <v>41</v>
      </c>
      <c r="E788" s="30" t="s">
        <v>66</v>
      </c>
      <c r="F788" s="30" t="s">
        <v>43</v>
      </c>
      <c r="G788" s="33">
        <v>3.9315500000000001</v>
      </c>
      <c r="H788" s="83" t="s">
        <v>89</v>
      </c>
    </row>
    <row r="789" spans="1:8" ht="16.5" customHeight="1" x14ac:dyDescent="0.25">
      <c r="A789" s="27">
        <v>45744</v>
      </c>
      <c r="B789" s="80">
        <v>2025</v>
      </c>
      <c r="C789" s="80">
        <v>3</v>
      </c>
      <c r="D789" s="30" t="s">
        <v>41</v>
      </c>
      <c r="E789" s="30" t="s">
        <v>75</v>
      </c>
      <c r="F789" s="30" t="s">
        <v>43</v>
      </c>
      <c r="G789" s="33">
        <v>8.1620000000000008</v>
      </c>
      <c r="H789" s="83" t="s">
        <v>48</v>
      </c>
    </row>
    <row r="790" spans="1:8" ht="16.5" customHeight="1" x14ac:dyDescent="0.25">
      <c r="A790" s="27">
        <v>45744</v>
      </c>
      <c r="B790" s="80">
        <v>2025</v>
      </c>
      <c r="C790" s="80">
        <v>3</v>
      </c>
      <c r="D790" s="30" t="s">
        <v>41</v>
      </c>
      <c r="E790" s="30" t="s">
        <v>76</v>
      </c>
      <c r="F790" s="30" t="s">
        <v>39</v>
      </c>
      <c r="G790" s="33">
        <v>51.157800000000002</v>
      </c>
      <c r="H790" s="83" t="s">
        <v>48</v>
      </c>
    </row>
    <row r="791" spans="1:8" ht="16.5" customHeight="1" x14ac:dyDescent="0.25">
      <c r="A791" s="27">
        <v>45745</v>
      </c>
      <c r="B791" s="80">
        <v>2025</v>
      </c>
      <c r="C791" s="80">
        <v>3</v>
      </c>
      <c r="D791" s="30" t="s">
        <v>41</v>
      </c>
      <c r="E791" s="30" t="s">
        <v>50</v>
      </c>
      <c r="F791" s="30" t="s">
        <v>43</v>
      </c>
      <c r="G791" s="33">
        <v>1.0642499999999999</v>
      </c>
      <c r="H791" s="83" t="s">
        <v>88</v>
      </c>
    </row>
    <row r="792" spans="1:8" ht="16.5" customHeight="1" x14ac:dyDescent="0.25">
      <c r="A792" s="27">
        <v>45745</v>
      </c>
      <c r="B792" s="80">
        <v>2025</v>
      </c>
      <c r="C792" s="80">
        <v>3</v>
      </c>
      <c r="D792" s="30" t="s">
        <v>41</v>
      </c>
      <c r="E792" s="30" t="s">
        <v>50</v>
      </c>
      <c r="F792" s="30" t="s">
        <v>51</v>
      </c>
      <c r="G792" s="33">
        <v>0.25369999999999998</v>
      </c>
      <c r="H792" s="83" t="s">
        <v>88</v>
      </c>
    </row>
    <row r="793" spans="1:8" ht="16.5" customHeight="1" x14ac:dyDescent="0.25">
      <c r="A793" s="27">
        <v>45747</v>
      </c>
      <c r="B793" s="80">
        <v>2025</v>
      </c>
      <c r="C793" s="80">
        <v>3</v>
      </c>
      <c r="D793" s="30" t="s">
        <v>41</v>
      </c>
      <c r="E793" s="30" t="s">
        <v>38</v>
      </c>
      <c r="F793" s="30" t="s">
        <v>43</v>
      </c>
      <c r="G793" s="33">
        <v>0.375</v>
      </c>
      <c r="H793" s="83" t="s">
        <v>88</v>
      </c>
    </row>
    <row r="794" spans="1:8" ht="16.5" customHeight="1" x14ac:dyDescent="0.25">
      <c r="A794" s="27">
        <v>45747</v>
      </c>
      <c r="B794" s="80">
        <v>2025</v>
      </c>
      <c r="C794" s="80">
        <v>3</v>
      </c>
      <c r="D794" s="30" t="s">
        <v>41</v>
      </c>
      <c r="E794" s="30" t="s">
        <v>42</v>
      </c>
      <c r="F794" s="30" t="s">
        <v>43</v>
      </c>
      <c r="G794" s="33">
        <v>12.11</v>
      </c>
      <c r="H794" s="83" t="s">
        <v>88</v>
      </c>
    </row>
    <row r="795" spans="1:8" ht="16.5" customHeight="1" x14ac:dyDescent="0.25">
      <c r="A795" s="27">
        <v>45747</v>
      </c>
      <c r="B795" s="80">
        <v>2025</v>
      </c>
      <c r="C795" s="80">
        <v>3</v>
      </c>
      <c r="D795" s="30" t="s">
        <v>41</v>
      </c>
      <c r="E795" s="30" t="s">
        <v>42</v>
      </c>
      <c r="F795" s="30" t="s">
        <v>55</v>
      </c>
      <c r="G795" s="33">
        <v>0.35</v>
      </c>
      <c r="H795" s="83" t="s">
        <v>88</v>
      </c>
    </row>
    <row r="796" spans="1:8" ht="16.5" customHeight="1" x14ac:dyDescent="0.25">
      <c r="A796" s="27">
        <v>45747</v>
      </c>
      <c r="B796" s="80">
        <v>2025</v>
      </c>
      <c r="C796" s="80">
        <v>3</v>
      </c>
      <c r="D796" s="30" t="s">
        <v>41</v>
      </c>
      <c r="E796" s="30" t="s">
        <v>46</v>
      </c>
      <c r="F796" s="30" t="s">
        <v>43</v>
      </c>
      <c r="G796" s="33">
        <v>32.549999999999997</v>
      </c>
      <c r="H796" s="83" t="s">
        <v>88</v>
      </c>
    </row>
    <row r="797" spans="1:8" ht="16.5" customHeight="1" x14ac:dyDescent="0.25">
      <c r="A797" s="27">
        <v>45747</v>
      </c>
      <c r="B797" s="80">
        <v>2025</v>
      </c>
      <c r="C797" s="80">
        <v>3</v>
      </c>
      <c r="D797" s="30" t="s">
        <v>41</v>
      </c>
      <c r="E797" s="30" t="s">
        <v>46</v>
      </c>
      <c r="F797" s="30" t="s">
        <v>55</v>
      </c>
      <c r="G797" s="33">
        <v>0.32595000000000002</v>
      </c>
      <c r="H797" s="83" t="s">
        <v>88</v>
      </c>
    </row>
    <row r="798" spans="1:8" ht="16.5" customHeight="1" x14ac:dyDescent="0.25">
      <c r="A798" s="27">
        <v>45747</v>
      </c>
      <c r="B798" s="80">
        <v>2025</v>
      </c>
      <c r="C798" s="80">
        <v>3</v>
      </c>
      <c r="D798" s="30" t="s">
        <v>41</v>
      </c>
      <c r="E798" s="30" t="s">
        <v>50</v>
      </c>
      <c r="F798" s="30" t="s">
        <v>43</v>
      </c>
      <c r="G798" s="33">
        <v>12.6373728</v>
      </c>
      <c r="H798" s="83" t="s">
        <v>88</v>
      </c>
    </row>
    <row r="799" spans="1:8" ht="16.5" customHeight="1" x14ac:dyDescent="0.25">
      <c r="A799" s="27">
        <v>45747</v>
      </c>
      <c r="B799" s="80">
        <v>2025</v>
      </c>
      <c r="C799" s="80">
        <v>3</v>
      </c>
      <c r="D799" s="30" t="s">
        <v>41</v>
      </c>
      <c r="E799" s="30" t="s">
        <v>50</v>
      </c>
      <c r="F799" s="30" t="s">
        <v>47</v>
      </c>
      <c r="G799" s="33">
        <v>1.341</v>
      </c>
      <c r="H799" s="83" t="s">
        <v>88</v>
      </c>
    </row>
    <row r="800" spans="1:8" ht="16.5" customHeight="1" x14ac:dyDescent="0.25">
      <c r="A800" s="27">
        <v>45747</v>
      </c>
      <c r="B800" s="80">
        <v>2025</v>
      </c>
      <c r="C800" s="80">
        <v>3</v>
      </c>
      <c r="D800" s="30" t="s">
        <v>41</v>
      </c>
      <c r="E800" s="30" t="s">
        <v>50</v>
      </c>
      <c r="F800" s="30" t="s">
        <v>58</v>
      </c>
      <c r="G800" s="33">
        <v>0.13914799999999999</v>
      </c>
      <c r="H800" s="83" t="s">
        <v>88</v>
      </c>
    </row>
    <row r="801" spans="1:8" ht="16.5" customHeight="1" x14ac:dyDescent="0.25">
      <c r="A801" s="27">
        <v>45747</v>
      </c>
      <c r="B801" s="80">
        <v>2025</v>
      </c>
      <c r="C801" s="80">
        <v>3</v>
      </c>
      <c r="D801" s="30" t="s">
        <v>41</v>
      </c>
      <c r="E801" s="30" t="s">
        <v>54</v>
      </c>
      <c r="F801" s="30" t="s">
        <v>43</v>
      </c>
      <c r="G801" s="33">
        <v>0.85</v>
      </c>
      <c r="H801" s="83" t="s">
        <v>88</v>
      </c>
    </row>
    <row r="802" spans="1:8" ht="16.5" customHeight="1" x14ac:dyDescent="0.25">
      <c r="A802" s="27">
        <v>45747</v>
      </c>
      <c r="B802" s="80">
        <v>2025</v>
      </c>
      <c r="C802" s="80">
        <v>3</v>
      </c>
      <c r="D802" s="30" t="s">
        <v>41</v>
      </c>
      <c r="E802" s="30" t="s">
        <v>57</v>
      </c>
      <c r="F802" s="30" t="s">
        <v>43</v>
      </c>
      <c r="G802" s="33">
        <v>2.2934999999999999</v>
      </c>
      <c r="H802" s="83" t="s">
        <v>89</v>
      </c>
    </row>
    <row r="803" spans="1:8" ht="16.5" customHeight="1" x14ac:dyDescent="0.25">
      <c r="A803" s="27">
        <v>45747</v>
      </c>
      <c r="B803" s="80">
        <v>2025</v>
      </c>
      <c r="C803" s="80">
        <v>3</v>
      </c>
      <c r="D803" s="30" t="s">
        <v>41</v>
      </c>
      <c r="E803" s="30" t="s">
        <v>68</v>
      </c>
      <c r="F803" s="30" t="s">
        <v>43</v>
      </c>
      <c r="G803" s="33">
        <v>1.248</v>
      </c>
      <c r="H803" s="83" t="s">
        <v>89</v>
      </c>
    </row>
    <row r="804" spans="1:8" ht="16.5" customHeight="1" x14ac:dyDescent="0.25">
      <c r="A804" s="27">
        <v>45747</v>
      </c>
      <c r="B804" s="80">
        <v>2025</v>
      </c>
      <c r="C804" s="80">
        <v>3</v>
      </c>
      <c r="D804" s="30" t="s">
        <v>41</v>
      </c>
      <c r="E804" s="30" t="s">
        <v>71</v>
      </c>
      <c r="F804" s="30" t="s">
        <v>43</v>
      </c>
      <c r="G804" s="33">
        <v>6.99</v>
      </c>
      <c r="H804" s="83" t="s">
        <v>89</v>
      </c>
    </row>
    <row r="805" spans="1:8" ht="16.5" customHeight="1" x14ac:dyDescent="0.25">
      <c r="A805" s="27">
        <v>45748</v>
      </c>
      <c r="B805" s="80">
        <v>2025</v>
      </c>
      <c r="C805" s="80">
        <v>4</v>
      </c>
      <c r="D805" s="30" t="s">
        <v>45</v>
      </c>
      <c r="E805" s="30" t="s">
        <v>38</v>
      </c>
      <c r="F805" s="30" t="s">
        <v>43</v>
      </c>
      <c r="G805" s="33">
        <v>2.0748700000000002</v>
      </c>
      <c r="H805" s="83" t="s">
        <v>88</v>
      </c>
    </row>
    <row r="806" spans="1:8" ht="16.5" customHeight="1" x14ac:dyDescent="0.25">
      <c r="A806" s="27">
        <v>45748</v>
      </c>
      <c r="B806" s="80">
        <v>2025</v>
      </c>
      <c r="C806" s="80">
        <v>4</v>
      </c>
      <c r="D806" s="30" t="s">
        <v>45</v>
      </c>
      <c r="E806" s="30" t="s">
        <v>42</v>
      </c>
      <c r="F806" s="30" t="s">
        <v>39</v>
      </c>
      <c r="G806" s="33">
        <v>86.04</v>
      </c>
      <c r="H806" s="83" t="s">
        <v>88</v>
      </c>
    </row>
    <row r="807" spans="1:8" ht="16.5" customHeight="1" x14ac:dyDescent="0.25">
      <c r="A807" s="27">
        <v>45748</v>
      </c>
      <c r="B807" s="80">
        <v>2025</v>
      </c>
      <c r="C807" s="80">
        <v>4</v>
      </c>
      <c r="D807" s="30" t="s">
        <v>45</v>
      </c>
      <c r="E807" s="30" t="s">
        <v>42</v>
      </c>
      <c r="F807" s="30" t="s">
        <v>43</v>
      </c>
      <c r="G807" s="33">
        <v>2.8010000000000002</v>
      </c>
      <c r="H807" s="83" t="s">
        <v>88</v>
      </c>
    </row>
    <row r="808" spans="1:8" ht="16.5" customHeight="1" x14ac:dyDescent="0.25">
      <c r="A808" s="27">
        <v>45748</v>
      </c>
      <c r="B808" s="80">
        <v>2025</v>
      </c>
      <c r="C808" s="80">
        <v>4</v>
      </c>
      <c r="D808" s="30" t="s">
        <v>45</v>
      </c>
      <c r="E808" s="30" t="s">
        <v>46</v>
      </c>
      <c r="F808" s="30" t="s">
        <v>43</v>
      </c>
      <c r="G808" s="33">
        <v>3.9006791999999999</v>
      </c>
      <c r="H808" s="83" t="s">
        <v>88</v>
      </c>
    </row>
    <row r="809" spans="1:8" ht="16.5" customHeight="1" x14ac:dyDescent="0.25">
      <c r="A809" s="27">
        <v>45748</v>
      </c>
      <c r="B809" s="80">
        <v>2025</v>
      </c>
      <c r="C809" s="80">
        <v>4</v>
      </c>
      <c r="D809" s="30" t="s">
        <v>45</v>
      </c>
      <c r="E809" s="30" t="s">
        <v>46</v>
      </c>
      <c r="F809" s="30" t="s">
        <v>51</v>
      </c>
      <c r="G809" s="33">
        <v>0.56952000000000003</v>
      </c>
      <c r="H809" s="83" t="s">
        <v>88</v>
      </c>
    </row>
    <row r="810" spans="1:8" ht="16.5" customHeight="1" x14ac:dyDescent="0.25">
      <c r="A810" s="27">
        <v>45748</v>
      </c>
      <c r="B810" s="80">
        <v>2025</v>
      </c>
      <c r="C810" s="80">
        <v>4</v>
      </c>
      <c r="D810" s="30" t="s">
        <v>45</v>
      </c>
      <c r="E810" s="30" t="s">
        <v>46</v>
      </c>
      <c r="F810" s="30" t="s">
        <v>58</v>
      </c>
      <c r="G810" s="33">
        <v>0.57655312000000003</v>
      </c>
      <c r="H810" s="83" t="s">
        <v>88</v>
      </c>
    </row>
    <row r="811" spans="1:8" ht="16.5" customHeight="1" x14ac:dyDescent="0.25">
      <c r="A811" s="27">
        <v>45748</v>
      </c>
      <c r="B811" s="80">
        <v>2025</v>
      </c>
      <c r="C811" s="80">
        <v>4</v>
      </c>
      <c r="D811" s="30" t="s">
        <v>45</v>
      </c>
      <c r="E811" s="30" t="s">
        <v>50</v>
      </c>
      <c r="F811" s="30" t="s">
        <v>43</v>
      </c>
      <c r="G811" s="33">
        <v>5.2902404000000001</v>
      </c>
      <c r="H811" s="83" t="s">
        <v>88</v>
      </c>
    </row>
    <row r="812" spans="1:8" ht="16.5" customHeight="1" x14ac:dyDescent="0.25">
      <c r="A812" s="27">
        <v>45748</v>
      </c>
      <c r="B812" s="80">
        <v>2025</v>
      </c>
      <c r="C812" s="80">
        <v>4</v>
      </c>
      <c r="D812" s="30" t="s">
        <v>45</v>
      </c>
      <c r="E812" s="30" t="s">
        <v>50</v>
      </c>
      <c r="F812" s="30" t="s">
        <v>58</v>
      </c>
      <c r="G812" s="33">
        <v>5.6428930800000003</v>
      </c>
      <c r="H812" s="83" t="s">
        <v>88</v>
      </c>
    </row>
    <row r="813" spans="1:8" ht="16.5" customHeight="1" x14ac:dyDescent="0.25">
      <c r="A813" s="27">
        <v>45748</v>
      </c>
      <c r="B813" s="80">
        <v>2025</v>
      </c>
      <c r="C813" s="80">
        <v>4</v>
      </c>
      <c r="D813" s="30" t="s">
        <v>45</v>
      </c>
      <c r="E813" s="30" t="s">
        <v>54</v>
      </c>
      <c r="F813" s="30" t="s">
        <v>43</v>
      </c>
      <c r="G813" s="33">
        <v>4.8230000000000004</v>
      </c>
      <c r="H813" s="83" t="s">
        <v>88</v>
      </c>
    </row>
    <row r="814" spans="1:8" ht="16.5" customHeight="1" x14ac:dyDescent="0.25">
      <c r="A814" s="27">
        <v>45748</v>
      </c>
      <c r="B814" s="80">
        <v>2025</v>
      </c>
      <c r="C814" s="80">
        <v>4</v>
      </c>
      <c r="D814" s="30" t="s">
        <v>45</v>
      </c>
      <c r="E814" s="30" t="s">
        <v>66</v>
      </c>
      <c r="F814" s="30" t="s">
        <v>43</v>
      </c>
      <c r="G814" s="33">
        <v>1.6695</v>
      </c>
      <c r="H814" s="83" t="s">
        <v>89</v>
      </c>
    </row>
    <row r="815" spans="1:8" ht="16.5" customHeight="1" x14ac:dyDescent="0.25">
      <c r="A815" s="27">
        <v>45748</v>
      </c>
      <c r="B815" s="80">
        <v>2025</v>
      </c>
      <c r="C815" s="80">
        <v>4</v>
      </c>
      <c r="D815" s="30" t="s">
        <v>45</v>
      </c>
      <c r="E815" s="30" t="s">
        <v>75</v>
      </c>
      <c r="F815" s="30" t="s">
        <v>43</v>
      </c>
      <c r="G815" s="33">
        <v>4.5342937499999998</v>
      </c>
      <c r="H815" s="83" t="s">
        <v>48</v>
      </c>
    </row>
    <row r="816" spans="1:8" ht="16.5" customHeight="1" x14ac:dyDescent="0.25">
      <c r="A816" s="27">
        <v>45749</v>
      </c>
      <c r="B816" s="80">
        <v>2025</v>
      </c>
      <c r="C816" s="80">
        <v>4</v>
      </c>
      <c r="D816" s="30" t="s">
        <v>45</v>
      </c>
      <c r="E816" s="30" t="s">
        <v>38</v>
      </c>
      <c r="F816" s="30" t="s">
        <v>43</v>
      </c>
      <c r="G816" s="33">
        <v>6.8680000000000003</v>
      </c>
      <c r="H816" s="83" t="s">
        <v>88</v>
      </c>
    </row>
    <row r="817" spans="1:8" ht="16.5" customHeight="1" x14ac:dyDescent="0.25">
      <c r="A817" s="27">
        <v>45749</v>
      </c>
      <c r="B817" s="80">
        <v>2025</v>
      </c>
      <c r="C817" s="80">
        <v>4</v>
      </c>
      <c r="D817" s="30" t="s">
        <v>45</v>
      </c>
      <c r="E817" s="30" t="s">
        <v>42</v>
      </c>
      <c r="F817" s="30" t="s">
        <v>43</v>
      </c>
      <c r="G817" s="33">
        <v>13.3925</v>
      </c>
      <c r="H817" s="83" t="s">
        <v>88</v>
      </c>
    </row>
    <row r="818" spans="1:8" ht="16.5" customHeight="1" x14ac:dyDescent="0.25">
      <c r="A818" s="27">
        <v>45749</v>
      </c>
      <c r="B818" s="80">
        <v>2025</v>
      </c>
      <c r="C818" s="80">
        <v>4</v>
      </c>
      <c r="D818" s="30" t="s">
        <v>45</v>
      </c>
      <c r="E818" s="30" t="s">
        <v>50</v>
      </c>
      <c r="F818" s="30" t="s">
        <v>43</v>
      </c>
      <c r="G818" s="33">
        <v>17.145344399999999</v>
      </c>
      <c r="H818" s="83" t="s">
        <v>88</v>
      </c>
    </row>
    <row r="819" spans="1:8" ht="16.5" customHeight="1" x14ac:dyDescent="0.25">
      <c r="A819" s="27">
        <v>45749</v>
      </c>
      <c r="B819" s="80">
        <v>2025</v>
      </c>
      <c r="C819" s="80">
        <v>4</v>
      </c>
      <c r="D819" s="30" t="s">
        <v>45</v>
      </c>
      <c r="E819" s="30" t="s">
        <v>50</v>
      </c>
      <c r="F819" s="30" t="s">
        <v>55</v>
      </c>
      <c r="G819" s="33">
        <v>0.601128</v>
      </c>
      <c r="H819" s="83" t="s">
        <v>88</v>
      </c>
    </row>
    <row r="820" spans="1:8" ht="16.5" customHeight="1" x14ac:dyDescent="0.25">
      <c r="A820" s="27">
        <v>45749</v>
      </c>
      <c r="B820" s="80">
        <v>2025</v>
      </c>
      <c r="C820" s="80">
        <v>4</v>
      </c>
      <c r="D820" s="30" t="s">
        <v>45</v>
      </c>
      <c r="E820" s="30" t="s">
        <v>54</v>
      </c>
      <c r="F820" s="30" t="s">
        <v>43</v>
      </c>
      <c r="G820" s="33">
        <v>6.33</v>
      </c>
      <c r="H820" s="83" t="s">
        <v>88</v>
      </c>
    </row>
    <row r="821" spans="1:8" ht="16.5" customHeight="1" x14ac:dyDescent="0.25">
      <c r="A821" s="27">
        <v>45749</v>
      </c>
      <c r="B821" s="80">
        <v>2025</v>
      </c>
      <c r="C821" s="80">
        <v>4</v>
      </c>
      <c r="D821" s="30" t="s">
        <v>45</v>
      </c>
      <c r="E821" s="30" t="s">
        <v>54</v>
      </c>
      <c r="F821" s="30" t="s">
        <v>47</v>
      </c>
      <c r="G821" s="33">
        <v>0.32</v>
      </c>
      <c r="H821" s="83" t="s">
        <v>88</v>
      </c>
    </row>
    <row r="822" spans="1:8" ht="16.5" customHeight="1" x14ac:dyDescent="0.25">
      <c r="A822" s="27">
        <v>45749</v>
      </c>
      <c r="B822" s="80">
        <v>2025</v>
      </c>
      <c r="C822" s="80">
        <v>4</v>
      </c>
      <c r="D822" s="30" t="s">
        <v>45</v>
      </c>
      <c r="E822" s="30" t="s">
        <v>54</v>
      </c>
      <c r="F822" s="30" t="s">
        <v>58</v>
      </c>
      <c r="G822" s="33">
        <v>0.1138</v>
      </c>
      <c r="H822" s="83" t="s">
        <v>88</v>
      </c>
    </row>
    <row r="823" spans="1:8" ht="16.5" customHeight="1" x14ac:dyDescent="0.25">
      <c r="A823" s="27">
        <v>45749</v>
      </c>
      <c r="B823" s="80">
        <v>2025</v>
      </c>
      <c r="C823" s="80">
        <v>4</v>
      </c>
      <c r="D823" s="30" t="s">
        <v>45</v>
      </c>
      <c r="E823" s="30" t="s">
        <v>61</v>
      </c>
      <c r="F823" s="30" t="s">
        <v>43</v>
      </c>
      <c r="G823" s="33">
        <v>2.1890000000000001</v>
      </c>
      <c r="H823" s="83" t="s">
        <v>89</v>
      </c>
    </row>
    <row r="824" spans="1:8" ht="16.5" customHeight="1" x14ac:dyDescent="0.25">
      <c r="A824" s="27">
        <v>45749</v>
      </c>
      <c r="B824" s="80">
        <v>2025</v>
      </c>
      <c r="C824" s="80">
        <v>4</v>
      </c>
      <c r="D824" s="30" t="s">
        <v>45</v>
      </c>
      <c r="E824" s="30" t="s">
        <v>66</v>
      </c>
      <c r="F824" s="30" t="s">
        <v>43</v>
      </c>
      <c r="G824" s="33">
        <v>4.4550000000000001</v>
      </c>
      <c r="H824" s="83" t="s">
        <v>89</v>
      </c>
    </row>
    <row r="825" spans="1:8" ht="16.5" customHeight="1" x14ac:dyDescent="0.25">
      <c r="A825" s="27">
        <v>45749</v>
      </c>
      <c r="B825" s="80">
        <v>2025</v>
      </c>
      <c r="C825" s="80">
        <v>4</v>
      </c>
      <c r="D825" s="30" t="s">
        <v>45</v>
      </c>
      <c r="E825" s="30" t="s">
        <v>66</v>
      </c>
      <c r="F825" s="30" t="s">
        <v>47</v>
      </c>
      <c r="G825" s="33">
        <v>5.56</v>
      </c>
      <c r="H825" s="83" t="s">
        <v>89</v>
      </c>
    </row>
    <row r="826" spans="1:8" ht="16.5" customHeight="1" x14ac:dyDescent="0.25">
      <c r="A826" s="27">
        <v>45749</v>
      </c>
      <c r="B826" s="80">
        <v>2025</v>
      </c>
      <c r="C826" s="80">
        <v>4</v>
      </c>
      <c r="D826" s="30" t="s">
        <v>45</v>
      </c>
      <c r="E826" s="30" t="s">
        <v>68</v>
      </c>
      <c r="F826" s="30" t="s">
        <v>43</v>
      </c>
      <c r="G826" s="33">
        <v>1.284</v>
      </c>
      <c r="H826" s="83" t="s">
        <v>89</v>
      </c>
    </row>
    <row r="827" spans="1:8" ht="16.5" customHeight="1" x14ac:dyDescent="0.25">
      <c r="A827" s="27">
        <v>45750</v>
      </c>
      <c r="B827" s="80">
        <v>2025</v>
      </c>
      <c r="C827" s="80">
        <v>4</v>
      </c>
      <c r="D827" s="30" t="s">
        <v>45</v>
      </c>
      <c r="E827" s="30" t="s">
        <v>38</v>
      </c>
      <c r="F827" s="30" t="s">
        <v>43</v>
      </c>
      <c r="G827" s="33">
        <v>3.2737500000000002</v>
      </c>
      <c r="H827" s="83" t="s">
        <v>88</v>
      </c>
    </row>
    <row r="828" spans="1:8" ht="16.5" customHeight="1" x14ac:dyDescent="0.25">
      <c r="A828" s="27">
        <v>45750</v>
      </c>
      <c r="B828" s="80">
        <v>2025</v>
      </c>
      <c r="C828" s="80">
        <v>4</v>
      </c>
      <c r="D828" s="30" t="s">
        <v>45</v>
      </c>
      <c r="E828" s="30" t="s">
        <v>42</v>
      </c>
      <c r="F828" s="30" t="s">
        <v>43</v>
      </c>
      <c r="G828" s="33">
        <v>6.9020000000000001</v>
      </c>
      <c r="H828" s="83" t="s">
        <v>88</v>
      </c>
    </row>
    <row r="829" spans="1:8" ht="16.5" customHeight="1" x14ac:dyDescent="0.25">
      <c r="A829" s="27">
        <v>45750</v>
      </c>
      <c r="B829" s="80">
        <v>2025</v>
      </c>
      <c r="C829" s="80">
        <v>4</v>
      </c>
      <c r="D829" s="30" t="s">
        <v>45</v>
      </c>
      <c r="E829" s="30" t="s">
        <v>46</v>
      </c>
      <c r="F829" s="30" t="s">
        <v>43</v>
      </c>
      <c r="G829" s="33">
        <v>1.0698032</v>
      </c>
      <c r="H829" s="83" t="s">
        <v>88</v>
      </c>
    </row>
    <row r="830" spans="1:8" ht="16.5" customHeight="1" x14ac:dyDescent="0.25">
      <c r="A830" s="27">
        <v>45750</v>
      </c>
      <c r="B830" s="80">
        <v>2025</v>
      </c>
      <c r="C830" s="80">
        <v>4</v>
      </c>
      <c r="D830" s="30" t="s">
        <v>45</v>
      </c>
      <c r="E830" s="30" t="s">
        <v>50</v>
      </c>
      <c r="F830" s="30" t="s">
        <v>43</v>
      </c>
      <c r="G830" s="33">
        <v>3.1124999999999998</v>
      </c>
      <c r="H830" s="83" t="s">
        <v>88</v>
      </c>
    </row>
    <row r="831" spans="1:8" ht="16.5" customHeight="1" x14ac:dyDescent="0.25">
      <c r="A831" s="27">
        <v>45750</v>
      </c>
      <c r="B831" s="80">
        <v>2025</v>
      </c>
      <c r="C831" s="80">
        <v>4</v>
      </c>
      <c r="D831" s="30" t="s">
        <v>45</v>
      </c>
      <c r="E831" s="30" t="s">
        <v>50</v>
      </c>
      <c r="F831" s="30" t="s">
        <v>47</v>
      </c>
      <c r="G831" s="33">
        <v>0.62160000000000004</v>
      </c>
      <c r="H831" s="83" t="s">
        <v>88</v>
      </c>
    </row>
    <row r="832" spans="1:8" ht="16.5" customHeight="1" x14ac:dyDescent="0.25">
      <c r="A832" s="27">
        <v>45750</v>
      </c>
      <c r="B832" s="80">
        <v>2025</v>
      </c>
      <c r="C832" s="80">
        <v>4</v>
      </c>
      <c r="D832" s="30" t="s">
        <v>45</v>
      </c>
      <c r="E832" s="30" t="s">
        <v>50</v>
      </c>
      <c r="F832" s="30" t="s">
        <v>58</v>
      </c>
      <c r="G832" s="33">
        <v>1.5361530000000001</v>
      </c>
      <c r="H832" s="83" t="s">
        <v>88</v>
      </c>
    </row>
    <row r="833" spans="1:8" ht="16.5" customHeight="1" x14ac:dyDescent="0.25">
      <c r="A833" s="27">
        <v>45750</v>
      </c>
      <c r="B833" s="80">
        <v>2025</v>
      </c>
      <c r="C833" s="80">
        <v>4</v>
      </c>
      <c r="D833" s="30" t="s">
        <v>45</v>
      </c>
      <c r="E833" s="30" t="s">
        <v>54</v>
      </c>
      <c r="F833" s="30" t="s">
        <v>43</v>
      </c>
      <c r="G833" s="33">
        <v>6.4870000000000001</v>
      </c>
      <c r="H833" s="83" t="s">
        <v>88</v>
      </c>
    </row>
    <row r="834" spans="1:8" ht="16.5" customHeight="1" x14ac:dyDescent="0.25">
      <c r="A834" s="27">
        <v>45750</v>
      </c>
      <c r="B834" s="80">
        <v>2025</v>
      </c>
      <c r="C834" s="80">
        <v>4</v>
      </c>
      <c r="D834" s="30" t="s">
        <v>45</v>
      </c>
      <c r="E834" s="30" t="s">
        <v>66</v>
      </c>
      <c r="F834" s="30" t="s">
        <v>43</v>
      </c>
      <c r="G834" s="33">
        <v>1.09375</v>
      </c>
      <c r="H834" s="83" t="s">
        <v>89</v>
      </c>
    </row>
    <row r="835" spans="1:8" ht="16.5" customHeight="1" x14ac:dyDescent="0.25">
      <c r="A835" s="27">
        <v>45750</v>
      </c>
      <c r="B835" s="80">
        <v>2025</v>
      </c>
      <c r="C835" s="80">
        <v>4</v>
      </c>
      <c r="D835" s="30" t="s">
        <v>45</v>
      </c>
      <c r="E835" s="30" t="s">
        <v>68</v>
      </c>
      <c r="F835" s="30" t="s">
        <v>43</v>
      </c>
      <c r="G835" s="33">
        <v>1.3725000000000001</v>
      </c>
      <c r="H835" s="83" t="s">
        <v>89</v>
      </c>
    </row>
    <row r="836" spans="1:8" ht="16.5" customHeight="1" x14ac:dyDescent="0.25">
      <c r="A836" s="27">
        <v>45750</v>
      </c>
      <c r="B836" s="80">
        <v>2025</v>
      </c>
      <c r="C836" s="80">
        <v>4</v>
      </c>
      <c r="D836" s="30" t="s">
        <v>45</v>
      </c>
      <c r="E836" s="30" t="s">
        <v>68</v>
      </c>
      <c r="F836" s="30" t="s">
        <v>47</v>
      </c>
      <c r="G836" s="33">
        <v>6.0094500000000002</v>
      </c>
      <c r="H836" s="83" t="s">
        <v>89</v>
      </c>
    </row>
    <row r="837" spans="1:8" ht="16.5" customHeight="1" x14ac:dyDescent="0.25">
      <c r="A837" s="27">
        <v>45750</v>
      </c>
      <c r="B837" s="80">
        <v>2025</v>
      </c>
      <c r="C837" s="80">
        <v>4</v>
      </c>
      <c r="D837" s="30" t="s">
        <v>45</v>
      </c>
      <c r="E837" s="30" t="s">
        <v>71</v>
      </c>
      <c r="F837" s="30" t="s">
        <v>43</v>
      </c>
      <c r="G837" s="33">
        <v>3.68</v>
      </c>
      <c r="H837" s="83" t="s">
        <v>89</v>
      </c>
    </row>
    <row r="838" spans="1:8" ht="16.5" customHeight="1" x14ac:dyDescent="0.25">
      <c r="A838" s="27">
        <v>45750</v>
      </c>
      <c r="B838" s="80">
        <v>2025</v>
      </c>
      <c r="C838" s="80">
        <v>4</v>
      </c>
      <c r="D838" s="30" t="s">
        <v>45</v>
      </c>
      <c r="E838" s="30" t="s">
        <v>75</v>
      </c>
      <c r="F838" s="30" t="s">
        <v>43</v>
      </c>
      <c r="G838" s="33">
        <v>9.3919999999999995</v>
      </c>
      <c r="H838" s="83" t="s">
        <v>48</v>
      </c>
    </row>
    <row r="839" spans="1:8" ht="16.5" customHeight="1" x14ac:dyDescent="0.25">
      <c r="A839" s="27">
        <v>45750</v>
      </c>
      <c r="B839" s="80">
        <v>2025</v>
      </c>
      <c r="C839" s="80">
        <v>4</v>
      </c>
      <c r="D839" s="30" t="s">
        <v>45</v>
      </c>
      <c r="E839" s="30" t="s">
        <v>76</v>
      </c>
      <c r="F839" s="30" t="s">
        <v>51</v>
      </c>
      <c r="G839" s="33">
        <v>11.475</v>
      </c>
      <c r="H839" s="83" t="s">
        <v>48</v>
      </c>
    </row>
    <row r="840" spans="1:8" ht="16.5" customHeight="1" x14ac:dyDescent="0.25">
      <c r="A840" s="27">
        <v>45751</v>
      </c>
      <c r="B840" s="80">
        <v>2025</v>
      </c>
      <c r="C840" s="80">
        <v>4</v>
      </c>
      <c r="D840" s="30" t="s">
        <v>45</v>
      </c>
      <c r="E840" s="30" t="s">
        <v>38</v>
      </c>
      <c r="F840" s="30" t="s">
        <v>43</v>
      </c>
      <c r="G840" s="33">
        <v>6.84</v>
      </c>
      <c r="H840" s="83" t="s">
        <v>88</v>
      </c>
    </row>
    <row r="841" spans="1:8" ht="16.5" customHeight="1" x14ac:dyDescent="0.25">
      <c r="A841" s="27">
        <v>45751</v>
      </c>
      <c r="B841" s="80">
        <v>2025</v>
      </c>
      <c r="C841" s="80">
        <v>4</v>
      </c>
      <c r="D841" s="30" t="s">
        <v>45</v>
      </c>
      <c r="E841" s="30" t="s">
        <v>42</v>
      </c>
      <c r="F841" s="30" t="s">
        <v>43</v>
      </c>
      <c r="G841" s="33">
        <v>6.4867499999999998</v>
      </c>
      <c r="H841" s="83" t="s">
        <v>88</v>
      </c>
    </row>
    <row r="842" spans="1:8" ht="16.5" customHeight="1" x14ac:dyDescent="0.25">
      <c r="A842" s="27">
        <v>45751</v>
      </c>
      <c r="B842" s="80">
        <v>2025</v>
      </c>
      <c r="C842" s="80">
        <v>4</v>
      </c>
      <c r="D842" s="30" t="s">
        <v>45</v>
      </c>
      <c r="E842" s="30" t="s">
        <v>46</v>
      </c>
      <c r="F842" s="30" t="s">
        <v>43</v>
      </c>
      <c r="G842" s="33">
        <v>3.4695005000000001</v>
      </c>
      <c r="H842" s="83" t="s">
        <v>88</v>
      </c>
    </row>
    <row r="843" spans="1:8" ht="16.5" customHeight="1" x14ac:dyDescent="0.25">
      <c r="A843" s="27">
        <v>45751</v>
      </c>
      <c r="B843" s="80">
        <v>2025</v>
      </c>
      <c r="C843" s="80">
        <v>4</v>
      </c>
      <c r="D843" s="30" t="s">
        <v>45</v>
      </c>
      <c r="E843" s="30" t="s">
        <v>46</v>
      </c>
      <c r="F843" s="30" t="s">
        <v>47</v>
      </c>
      <c r="G843" s="33">
        <v>0.54239999999999999</v>
      </c>
      <c r="H843" s="83" t="s">
        <v>88</v>
      </c>
    </row>
    <row r="844" spans="1:8" ht="16.5" customHeight="1" x14ac:dyDescent="0.25">
      <c r="A844" s="27">
        <v>45751</v>
      </c>
      <c r="B844" s="80">
        <v>2025</v>
      </c>
      <c r="C844" s="80">
        <v>4</v>
      </c>
      <c r="D844" s="30" t="s">
        <v>45</v>
      </c>
      <c r="E844" s="30" t="s">
        <v>46</v>
      </c>
      <c r="F844" s="30" t="s">
        <v>51</v>
      </c>
      <c r="G844" s="33">
        <v>0.76839999999999997</v>
      </c>
      <c r="H844" s="83" t="s">
        <v>88</v>
      </c>
    </row>
    <row r="845" spans="1:8" ht="16.5" customHeight="1" x14ac:dyDescent="0.25">
      <c r="A845" s="27">
        <v>45751</v>
      </c>
      <c r="B845" s="80">
        <v>2025</v>
      </c>
      <c r="C845" s="80">
        <v>4</v>
      </c>
      <c r="D845" s="30" t="s">
        <v>45</v>
      </c>
      <c r="E845" s="30" t="s">
        <v>46</v>
      </c>
      <c r="F845" s="30" t="s">
        <v>58</v>
      </c>
      <c r="G845" s="33">
        <v>0.20888625</v>
      </c>
      <c r="H845" s="83" t="s">
        <v>88</v>
      </c>
    </row>
    <row r="846" spans="1:8" ht="16.5" customHeight="1" x14ac:dyDescent="0.25">
      <c r="A846" s="27">
        <v>45751</v>
      </c>
      <c r="B846" s="80">
        <v>2025</v>
      </c>
      <c r="C846" s="80">
        <v>4</v>
      </c>
      <c r="D846" s="30" t="s">
        <v>45</v>
      </c>
      <c r="E846" s="30" t="s">
        <v>50</v>
      </c>
      <c r="F846" s="30" t="s">
        <v>47</v>
      </c>
      <c r="G846" s="33">
        <v>1.2432000000000001</v>
      </c>
      <c r="H846" s="83" t="s">
        <v>88</v>
      </c>
    </row>
    <row r="847" spans="1:8" ht="16.5" customHeight="1" x14ac:dyDescent="0.25">
      <c r="A847" s="27">
        <v>45751</v>
      </c>
      <c r="B847" s="80">
        <v>2025</v>
      </c>
      <c r="C847" s="80">
        <v>4</v>
      </c>
      <c r="D847" s="30" t="s">
        <v>45</v>
      </c>
      <c r="E847" s="30" t="s">
        <v>54</v>
      </c>
      <c r="F847" s="30" t="s">
        <v>51</v>
      </c>
      <c r="G847" s="33">
        <v>0.124</v>
      </c>
      <c r="H847" s="83" t="s">
        <v>88</v>
      </c>
    </row>
    <row r="848" spans="1:8" ht="16.5" customHeight="1" x14ac:dyDescent="0.25">
      <c r="A848" s="27">
        <v>45751</v>
      </c>
      <c r="B848" s="80">
        <v>2025</v>
      </c>
      <c r="C848" s="80">
        <v>4</v>
      </c>
      <c r="D848" s="30" t="s">
        <v>45</v>
      </c>
      <c r="E848" s="30" t="s">
        <v>61</v>
      </c>
      <c r="F848" s="30" t="s">
        <v>43</v>
      </c>
      <c r="G848" s="33">
        <v>2.9224999999999999</v>
      </c>
      <c r="H848" s="83" t="s">
        <v>89</v>
      </c>
    </row>
    <row r="849" spans="1:8" ht="16.5" customHeight="1" x14ac:dyDescent="0.25">
      <c r="A849" s="27">
        <v>45751</v>
      </c>
      <c r="B849" s="80">
        <v>2025</v>
      </c>
      <c r="C849" s="80">
        <v>4</v>
      </c>
      <c r="D849" s="30" t="s">
        <v>45</v>
      </c>
      <c r="E849" s="30" t="s">
        <v>64</v>
      </c>
      <c r="F849" s="30" t="s">
        <v>43</v>
      </c>
      <c r="G849" s="33">
        <v>0.32340000000000002</v>
      </c>
      <c r="H849" s="83" t="s">
        <v>89</v>
      </c>
    </row>
    <row r="850" spans="1:8" ht="16.5" customHeight="1" x14ac:dyDescent="0.25">
      <c r="A850" s="27">
        <v>45751</v>
      </c>
      <c r="B850" s="80">
        <v>2025</v>
      </c>
      <c r="C850" s="80">
        <v>4</v>
      </c>
      <c r="D850" s="30" t="s">
        <v>45</v>
      </c>
      <c r="E850" s="30" t="s">
        <v>68</v>
      </c>
      <c r="F850" s="30" t="s">
        <v>43</v>
      </c>
      <c r="G850" s="33">
        <v>3.6225000000000001</v>
      </c>
      <c r="H850" s="83" t="s">
        <v>89</v>
      </c>
    </row>
    <row r="851" spans="1:8" ht="16.5" customHeight="1" x14ac:dyDescent="0.25">
      <c r="A851" s="27">
        <v>45754</v>
      </c>
      <c r="B851" s="80">
        <v>2025</v>
      </c>
      <c r="C851" s="80">
        <v>4</v>
      </c>
      <c r="D851" s="30" t="s">
        <v>45</v>
      </c>
      <c r="E851" s="30" t="s">
        <v>38</v>
      </c>
      <c r="F851" s="30" t="s">
        <v>43</v>
      </c>
      <c r="G851" s="33">
        <v>3.74</v>
      </c>
      <c r="H851" s="83" t="s">
        <v>88</v>
      </c>
    </row>
    <row r="852" spans="1:8" ht="16.5" customHeight="1" x14ac:dyDescent="0.25">
      <c r="A852" s="27">
        <v>45754</v>
      </c>
      <c r="B852" s="80">
        <v>2025</v>
      </c>
      <c r="C852" s="80">
        <v>4</v>
      </c>
      <c r="D852" s="30" t="s">
        <v>45</v>
      </c>
      <c r="E852" s="30" t="s">
        <v>42</v>
      </c>
      <c r="F852" s="30" t="s">
        <v>43</v>
      </c>
      <c r="G852" s="33">
        <v>6.7714999999999996</v>
      </c>
      <c r="H852" s="83" t="s">
        <v>88</v>
      </c>
    </row>
    <row r="853" spans="1:8" ht="16.5" customHeight="1" x14ac:dyDescent="0.25">
      <c r="A853" s="27">
        <v>45754</v>
      </c>
      <c r="B853" s="80">
        <v>2025</v>
      </c>
      <c r="C853" s="80">
        <v>4</v>
      </c>
      <c r="D853" s="30" t="s">
        <v>45</v>
      </c>
      <c r="E853" s="30" t="s">
        <v>46</v>
      </c>
      <c r="F853" s="30" t="s">
        <v>43</v>
      </c>
      <c r="G853" s="33">
        <v>4.0716890000000001</v>
      </c>
      <c r="H853" s="83" t="s">
        <v>88</v>
      </c>
    </row>
    <row r="854" spans="1:8" ht="16.5" customHeight="1" x14ac:dyDescent="0.25">
      <c r="A854" s="27">
        <v>45754</v>
      </c>
      <c r="B854" s="80">
        <v>2025</v>
      </c>
      <c r="C854" s="80">
        <v>4</v>
      </c>
      <c r="D854" s="30" t="s">
        <v>45</v>
      </c>
      <c r="E854" s="30" t="s">
        <v>46</v>
      </c>
      <c r="F854" s="30" t="s">
        <v>51</v>
      </c>
      <c r="G854" s="33">
        <v>0.92208000000000001</v>
      </c>
      <c r="H854" s="83" t="s">
        <v>88</v>
      </c>
    </row>
    <row r="855" spans="1:8" ht="16.5" customHeight="1" x14ac:dyDescent="0.25">
      <c r="A855" s="27">
        <v>45754</v>
      </c>
      <c r="B855" s="80">
        <v>2025</v>
      </c>
      <c r="C855" s="80">
        <v>4</v>
      </c>
      <c r="D855" s="30" t="s">
        <v>45</v>
      </c>
      <c r="E855" s="30" t="s">
        <v>46</v>
      </c>
      <c r="F855" s="30" t="s">
        <v>58</v>
      </c>
      <c r="G855" s="33">
        <v>0.66939725000000005</v>
      </c>
      <c r="H855" s="83" t="s">
        <v>88</v>
      </c>
    </row>
    <row r="856" spans="1:8" ht="16.5" customHeight="1" x14ac:dyDescent="0.25">
      <c r="A856" s="27">
        <v>45754</v>
      </c>
      <c r="B856" s="80">
        <v>2025</v>
      </c>
      <c r="C856" s="80">
        <v>4</v>
      </c>
      <c r="D856" s="30" t="s">
        <v>45</v>
      </c>
      <c r="E856" s="30" t="s">
        <v>50</v>
      </c>
      <c r="F856" s="30" t="s">
        <v>43</v>
      </c>
      <c r="G856" s="33">
        <v>17.842925300000001</v>
      </c>
      <c r="H856" s="83" t="s">
        <v>88</v>
      </c>
    </row>
    <row r="857" spans="1:8" ht="16.5" customHeight="1" x14ac:dyDescent="0.25">
      <c r="A857" s="27">
        <v>45754</v>
      </c>
      <c r="B857" s="80">
        <v>2025</v>
      </c>
      <c r="C857" s="80">
        <v>4</v>
      </c>
      <c r="D857" s="30" t="s">
        <v>45</v>
      </c>
      <c r="E857" s="30" t="s">
        <v>50</v>
      </c>
      <c r="F857" s="30" t="s">
        <v>47</v>
      </c>
      <c r="G857" s="33">
        <v>1.5269999999999999</v>
      </c>
      <c r="H857" s="83" t="s">
        <v>88</v>
      </c>
    </row>
    <row r="858" spans="1:8" ht="16.5" customHeight="1" x14ac:dyDescent="0.25">
      <c r="A858" s="27">
        <v>45754</v>
      </c>
      <c r="B858" s="80">
        <v>2025</v>
      </c>
      <c r="C858" s="80">
        <v>4</v>
      </c>
      <c r="D858" s="30" t="s">
        <v>45</v>
      </c>
      <c r="E858" s="30" t="s">
        <v>50</v>
      </c>
      <c r="F858" s="30" t="s">
        <v>55</v>
      </c>
      <c r="G858" s="33">
        <v>3.1768000000000001</v>
      </c>
      <c r="H858" s="83" t="s">
        <v>88</v>
      </c>
    </row>
    <row r="859" spans="1:8" ht="16.5" customHeight="1" x14ac:dyDescent="0.25">
      <c r="A859" s="27">
        <v>45754</v>
      </c>
      <c r="B859" s="80">
        <v>2025</v>
      </c>
      <c r="C859" s="80">
        <v>4</v>
      </c>
      <c r="D859" s="30" t="s">
        <v>45</v>
      </c>
      <c r="E859" s="30" t="s">
        <v>50</v>
      </c>
      <c r="F859" s="30" t="s">
        <v>58</v>
      </c>
      <c r="G859" s="33">
        <v>2.9011939199999999</v>
      </c>
      <c r="H859" s="83" t="s">
        <v>88</v>
      </c>
    </row>
    <row r="860" spans="1:8" ht="16.5" customHeight="1" x14ac:dyDescent="0.25">
      <c r="A860" s="27">
        <v>45754</v>
      </c>
      <c r="B860" s="80">
        <v>2025</v>
      </c>
      <c r="C860" s="80">
        <v>4</v>
      </c>
      <c r="D860" s="30" t="s">
        <v>45</v>
      </c>
      <c r="E860" s="30" t="s">
        <v>54</v>
      </c>
      <c r="F860" s="30" t="s">
        <v>43</v>
      </c>
      <c r="G860" s="33">
        <v>3.9695</v>
      </c>
      <c r="H860" s="83" t="s">
        <v>88</v>
      </c>
    </row>
    <row r="861" spans="1:8" ht="16.5" customHeight="1" x14ac:dyDescent="0.25">
      <c r="A861" s="27">
        <v>45754</v>
      </c>
      <c r="B861" s="80">
        <v>2025</v>
      </c>
      <c r="C861" s="80">
        <v>4</v>
      </c>
      <c r="D861" s="30" t="s">
        <v>45</v>
      </c>
      <c r="E861" s="30" t="s">
        <v>66</v>
      </c>
      <c r="F861" s="30" t="s">
        <v>43</v>
      </c>
      <c r="G861" s="33">
        <v>2.2101999999999999</v>
      </c>
      <c r="H861" s="83" t="s">
        <v>89</v>
      </c>
    </row>
    <row r="862" spans="1:8" ht="16.5" customHeight="1" x14ac:dyDescent="0.25">
      <c r="A862" s="27">
        <v>45754</v>
      </c>
      <c r="B862" s="80">
        <v>2025</v>
      </c>
      <c r="C862" s="80">
        <v>4</v>
      </c>
      <c r="D862" s="30" t="s">
        <v>45</v>
      </c>
      <c r="E862" s="30" t="s">
        <v>71</v>
      </c>
      <c r="F862" s="30" t="s">
        <v>43</v>
      </c>
      <c r="G862" s="33">
        <v>21.695</v>
      </c>
      <c r="H862" s="83" t="s">
        <v>89</v>
      </c>
    </row>
    <row r="863" spans="1:8" ht="16.5" customHeight="1" x14ac:dyDescent="0.25">
      <c r="A863" s="27">
        <v>45754</v>
      </c>
      <c r="B863" s="80">
        <v>2025</v>
      </c>
      <c r="C863" s="80">
        <v>4</v>
      </c>
      <c r="D863" s="30" t="s">
        <v>45</v>
      </c>
      <c r="E863" s="30" t="s">
        <v>73</v>
      </c>
      <c r="F863" s="30" t="s">
        <v>43</v>
      </c>
      <c r="G863" s="33">
        <v>4.9976000000000003</v>
      </c>
      <c r="H863" s="83" t="s">
        <v>89</v>
      </c>
    </row>
    <row r="864" spans="1:8" ht="16.5" customHeight="1" x14ac:dyDescent="0.25">
      <c r="A864" s="27">
        <v>45754</v>
      </c>
      <c r="B864" s="80">
        <v>2025</v>
      </c>
      <c r="C864" s="80">
        <v>4</v>
      </c>
      <c r="D864" s="30" t="s">
        <v>45</v>
      </c>
      <c r="E864" s="30" t="s">
        <v>75</v>
      </c>
      <c r="F864" s="30" t="s">
        <v>43</v>
      </c>
      <c r="G864" s="33">
        <v>1.180388</v>
      </c>
      <c r="H864" s="83" t="s">
        <v>48</v>
      </c>
    </row>
    <row r="865" spans="1:8" ht="16.5" customHeight="1" x14ac:dyDescent="0.25">
      <c r="A865" s="27">
        <v>45754</v>
      </c>
      <c r="B865" s="80">
        <v>2025</v>
      </c>
      <c r="C865" s="80">
        <v>4</v>
      </c>
      <c r="D865" s="30" t="s">
        <v>45</v>
      </c>
      <c r="E865" s="30" t="s">
        <v>76</v>
      </c>
      <c r="F865" s="30" t="s">
        <v>39</v>
      </c>
      <c r="G865" s="33">
        <v>54.34328</v>
      </c>
      <c r="H865" s="83" t="s">
        <v>48</v>
      </c>
    </row>
    <row r="866" spans="1:8" ht="16.5" customHeight="1" x14ac:dyDescent="0.25">
      <c r="A866" s="27">
        <v>45755</v>
      </c>
      <c r="B866" s="80">
        <v>2025</v>
      </c>
      <c r="C866" s="80">
        <v>4</v>
      </c>
      <c r="D866" s="30" t="s">
        <v>45</v>
      </c>
      <c r="E866" s="30" t="s">
        <v>38</v>
      </c>
      <c r="F866" s="30" t="s">
        <v>43</v>
      </c>
      <c r="G866" s="33">
        <v>13.472</v>
      </c>
      <c r="H866" s="83" t="s">
        <v>88</v>
      </c>
    </row>
    <row r="867" spans="1:8" ht="16.5" customHeight="1" x14ac:dyDescent="0.25">
      <c r="A867" s="27">
        <v>45755</v>
      </c>
      <c r="B867" s="80">
        <v>2025</v>
      </c>
      <c r="C867" s="80">
        <v>4</v>
      </c>
      <c r="D867" s="30" t="s">
        <v>45</v>
      </c>
      <c r="E867" s="30" t="s">
        <v>38</v>
      </c>
      <c r="F867" s="30" t="s">
        <v>55</v>
      </c>
      <c r="G867" s="33">
        <v>0.92</v>
      </c>
      <c r="H867" s="83" t="s">
        <v>88</v>
      </c>
    </row>
    <row r="868" spans="1:8" ht="16.5" customHeight="1" x14ac:dyDescent="0.25">
      <c r="A868" s="27">
        <v>45755</v>
      </c>
      <c r="B868" s="80">
        <v>2025</v>
      </c>
      <c r="C868" s="80">
        <v>4</v>
      </c>
      <c r="D868" s="30" t="s">
        <v>45</v>
      </c>
      <c r="E868" s="30" t="s">
        <v>42</v>
      </c>
      <c r="F868" s="30" t="s">
        <v>43</v>
      </c>
      <c r="G868" s="33">
        <v>25.639779999999998</v>
      </c>
      <c r="H868" s="83" t="s">
        <v>88</v>
      </c>
    </row>
    <row r="869" spans="1:8" ht="16.5" customHeight="1" x14ac:dyDescent="0.25">
      <c r="A869" s="27">
        <v>45755</v>
      </c>
      <c r="B869" s="80">
        <v>2025</v>
      </c>
      <c r="C869" s="80">
        <v>4</v>
      </c>
      <c r="D869" s="30" t="s">
        <v>45</v>
      </c>
      <c r="E869" s="30" t="s">
        <v>50</v>
      </c>
      <c r="F869" s="30" t="s">
        <v>51</v>
      </c>
      <c r="G869" s="33">
        <v>1.2685</v>
      </c>
      <c r="H869" s="83" t="s">
        <v>88</v>
      </c>
    </row>
    <row r="870" spans="1:8" ht="16.5" customHeight="1" x14ac:dyDescent="0.25">
      <c r="A870" s="27">
        <v>45755</v>
      </c>
      <c r="B870" s="80">
        <v>2025</v>
      </c>
      <c r="C870" s="80">
        <v>4</v>
      </c>
      <c r="D870" s="30" t="s">
        <v>45</v>
      </c>
      <c r="E870" s="30" t="s">
        <v>50</v>
      </c>
      <c r="F870" s="30" t="s">
        <v>58</v>
      </c>
      <c r="G870" s="33">
        <v>1.2905329919999999</v>
      </c>
      <c r="H870" s="83" t="s">
        <v>88</v>
      </c>
    </row>
    <row r="871" spans="1:8" ht="16.5" customHeight="1" x14ac:dyDescent="0.25">
      <c r="A871" s="27">
        <v>45755</v>
      </c>
      <c r="B871" s="80">
        <v>2025</v>
      </c>
      <c r="C871" s="80">
        <v>4</v>
      </c>
      <c r="D871" s="30" t="s">
        <v>45</v>
      </c>
      <c r="E871" s="30" t="s">
        <v>54</v>
      </c>
      <c r="F871" s="30" t="s">
        <v>43</v>
      </c>
      <c r="G871" s="33">
        <v>7.157</v>
      </c>
      <c r="H871" s="83" t="s">
        <v>88</v>
      </c>
    </row>
    <row r="872" spans="1:8" ht="16.5" customHeight="1" x14ac:dyDescent="0.25">
      <c r="A872" s="27">
        <v>45755</v>
      </c>
      <c r="B872" s="80">
        <v>2025</v>
      </c>
      <c r="C872" s="80">
        <v>4</v>
      </c>
      <c r="D872" s="30" t="s">
        <v>45</v>
      </c>
      <c r="E872" s="30" t="s">
        <v>61</v>
      </c>
      <c r="F872" s="30" t="s">
        <v>43</v>
      </c>
      <c r="G872" s="33">
        <v>1.974</v>
      </c>
      <c r="H872" s="83" t="s">
        <v>89</v>
      </c>
    </row>
    <row r="873" spans="1:8" ht="16.5" customHeight="1" x14ac:dyDescent="0.25">
      <c r="A873" s="27">
        <v>45755</v>
      </c>
      <c r="B873" s="80">
        <v>2025</v>
      </c>
      <c r="C873" s="80">
        <v>4</v>
      </c>
      <c r="D873" s="30" t="s">
        <v>45</v>
      </c>
      <c r="E873" s="30" t="s">
        <v>64</v>
      </c>
      <c r="F873" s="30" t="s">
        <v>55</v>
      </c>
      <c r="G873" s="33">
        <v>1.4</v>
      </c>
      <c r="H873" s="83" t="s">
        <v>89</v>
      </c>
    </row>
    <row r="874" spans="1:8" ht="16.5" customHeight="1" x14ac:dyDescent="0.25">
      <c r="A874" s="27">
        <v>45755</v>
      </c>
      <c r="B874" s="80">
        <v>2025</v>
      </c>
      <c r="C874" s="80">
        <v>4</v>
      </c>
      <c r="D874" s="30" t="s">
        <v>45</v>
      </c>
      <c r="E874" s="30" t="s">
        <v>66</v>
      </c>
      <c r="F874" s="30" t="s">
        <v>43</v>
      </c>
      <c r="G874" s="33">
        <v>2.9297499999999999</v>
      </c>
      <c r="H874" s="83" t="s">
        <v>89</v>
      </c>
    </row>
    <row r="875" spans="1:8" ht="16.5" customHeight="1" x14ac:dyDescent="0.25">
      <c r="A875" s="27">
        <v>45755</v>
      </c>
      <c r="B875" s="80">
        <v>2025</v>
      </c>
      <c r="C875" s="80">
        <v>4</v>
      </c>
      <c r="D875" s="30" t="s">
        <v>45</v>
      </c>
      <c r="E875" s="30" t="s">
        <v>66</v>
      </c>
      <c r="F875" s="30" t="s">
        <v>55</v>
      </c>
      <c r="G875" s="33">
        <v>2.1</v>
      </c>
      <c r="H875" s="83" t="s">
        <v>89</v>
      </c>
    </row>
    <row r="876" spans="1:8" ht="16.5" customHeight="1" x14ac:dyDescent="0.25">
      <c r="A876" s="27">
        <v>45755</v>
      </c>
      <c r="B876" s="80">
        <v>2025</v>
      </c>
      <c r="C876" s="80">
        <v>4</v>
      </c>
      <c r="D876" s="30" t="s">
        <v>45</v>
      </c>
      <c r="E876" s="30" t="s">
        <v>68</v>
      </c>
      <c r="F876" s="30" t="s">
        <v>43</v>
      </c>
      <c r="G876" s="33">
        <v>1.00166</v>
      </c>
      <c r="H876" s="83" t="s">
        <v>89</v>
      </c>
    </row>
    <row r="877" spans="1:8" ht="16.5" customHeight="1" x14ac:dyDescent="0.25">
      <c r="A877" s="27">
        <v>45755</v>
      </c>
      <c r="B877" s="80">
        <v>2025</v>
      </c>
      <c r="C877" s="80">
        <v>4</v>
      </c>
      <c r="D877" s="30" t="s">
        <v>45</v>
      </c>
      <c r="E877" s="30" t="s">
        <v>71</v>
      </c>
      <c r="F877" s="30" t="s">
        <v>43</v>
      </c>
      <c r="G877" s="33">
        <v>21.726224999999999</v>
      </c>
      <c r="H877" s="83" t="s">
        <v>89</v>
      </c>
    </row>
    <row r="878" spans="1:8" ht="16.5" customHeight="1" x14ac:dyDescent="0.25">
      <c r="A878" s="27">
        <v>45755</v>
      </c>
      <c r="B878" s="80">
        <v>2025</v>
      </c>
      <c r="C878" s="80">
        <v>4</v>
      </c>
      <c r="D878" s="30" t="s">
        <v>45</v>
      </c>
      <c r="E878" s="30" t="s">
        <v>75</v>
      </c>
      <c r="F878" s="30" t="s">
        <v>43</v>
      </c>
      <c r="G878" s="33">
        <v>9.4223999999999997</v>
      </c>
      <c r="H878" s="83" t="s">
        <v>48</v>
      </c>
    </row>
    <row r="879" spans="1:8" ht="16.5" customHeight="1" x14ac:dyDescent="0.25">
      <c r="A879" s="27">
        <v>45756</v>
      </c>
      <c r="B879" s="80">
        <v>2025</v>
      </c>
      <c r="C879" s="80">
        <v>4</v>
      </c>
      <c r="D879" s="30" t="s">
        <v>45</v>
      </c>
      <c r="E879" s="30" t="s">
        <v>38</v>
      </c>
      <c r="F879" s="30" t="s">
        <v>43</v>
      </c>
      <c r="G879" s="33">
        <v>64.103999999999999</v>
      </c>
      <c r="H879" s="83" t="s">
        <v>88</v>
      </c>
    </row>
    <row r="880" spans="1:8" ht="16.5" customHeight="1" x14ac:dyDescent="0.25">
      <c r="A880" s="27">
        <v>45756</v>
      </c>
      <c r="B880" s="80">
        <v>2025</v>
      </c>
      <c r="C880" s="80">
        <v>4</v>
      </c>
      <c r="D880" s="30" t="s">
        <v>45</v>
      </c>
      <c r="E880" s="30" t="s">
        <v>42</v>
      </c>
      <c r="F880" s="30" t="s">
        <v>43</v>
      </c>
      <c r="G880" s="33">
        <v>8.7609999999999992</v>
      </c>
      <c r="H880" s="83" t="s">
        <v>88</v>
      </c>
    </row>
    <row r="881" spans="1:8" ht="16.5" customHeight="1" x14ac:dyDescent="0.25">
      <c r="A881" s="27">
        <v>45756</v>
      </c>
      <c r="B881" s="80">
        <v>2025</v>
      </c>
      <c r="C881" s="80">
        <v>4</v>
      </c>
      <c r="D881" s="30" t="s">
        <v>45</v>
      </c>
      <c r="E881" s="30" t="s">
        <v>42</v>
      </c>
      <c r="F881" s="30" t="s">
        <v>47</v>
      </c>
      <c r="G881" s="33">
        <v>1.1499999999999999</v>
      </c>
      <c r="H881" s="83" t="s">
        <v>88</v>
      </c>
    </row>
    <row r="882" spans="1:8" ht="16.5" customHeight="1" x14ac:dyDescent="0.25">
      <c r="A882" s="27">
        <v>45756</v>
      </c>
      <c r="B882" s="80">
        <v>2025</v>
      </c>
      <c r="C882" s="80">
        <v>4</v>
      </c>
      <c r="D882" s="30" t="s">
        <v>45</v>
      </c>
      <c r="E882" s="30" t="s">
        <v>46</v>
      </c>
      <c r="F882" s="30" t="s">
        <v>43</v>
      </c>
      <c r="G882" s="33">
        <v>1.63922195</v>
      </c>
      <c r="H882" s="83" t="s">
        <v>88</v>
      </c>
    </row>
    <row r="883" spans="1:8" ht="16.5" customHeight="1" x14ac:dyDescent="0.25">
      <c r="A883" s="27">
        <v>45756</v>
      </c>
      <c r="B883" s="80">
        <v>2025</v>
      </c>
      <c r="C883" s="80">
        <v>4</v>
      </c>
      <c r="D883" s="30" t="s">
        <v>45</v>
      </c>
      <c r="E883" s="30" t="s">
        <v>46</v>
      </c>
      <c r="F883" s="30" t="s">
        <v>47</v>
      </c>
      <c r="G883" s="33">
        <v>0.28810799999999998</v>
      </c>
      <c r="H883" s="83" t="s">
        <v>88</v>
      </c>
    </row>
    <row r="884" spans="1:8" ht="16.5" customHeight="1" x14ac:dyDescent="0.25">
      <c r="A884" s="27">
        <v>45756</v>
      </c>
      <c r="B884" s="80">
        <v>2025</v>
      </c>
      <c r="C884" s="80">
        <v>4</v>
      </c>
      <c r="D884" s="30" t="s">
        <v>45</v>
      </c>
      <c r="E884" s="30" t="s">
        <v>50</v>
      </c>
      <c r="F884" s="30" t="s">
        <v>43</v>
      </c>
      <c r="G884" s="33">
        <v>57.468394400000001</v>
      </c>
      <c r="H884" s="83" t="s">
        <v>88</v>
      </c>
    </row>
    <row r="885" spans="1:8" ht="16.5" customHeight="1" x14ac:dyDescent="0.25">
      <c r="A885" s="27">
        <v>45756</v>
      </c>
      <c r="B885" s="80">
        <v>2025</v>
      </c>
      <c r="C885" s="80">
        <v>4</v>
      </c>
      <c r="D885" s="30" t="s">
        <v>45</v>
      </c>
      <c r="E885" s="30" t="s">
        <v>54</v>
      </c>
      <c r="F885" s="30" t="s">
        <v>43</v>
      </c>
      <c r="G885" s="33">
        <v>6.1057499999999996</v>
      </c>
      <c r="H885" s="83" t="s">
        <v>88</v>
      </c>
    </row>
    <row r="886" spans="1:8" ht="16.5" customHeight="1" x14ac:dyDescent="0.25">
      <c r="A886" s="27">
        <v>45756</v>
      </c>
      <c r="B886" s="80">
        <v>2025</v>
      </c>
      <c r="C886" s="80">
        <v>4</v>
      </c>
      <c r="D886" s="30" t="s">
        <v>45</v>
      </c>
      <c r="E886" s="30" t="s">
        <v>66</v>
      </c>
      <c r="F886" s="30" t="s">
        <v>43</v>
      </c>
      <c r="G886" s="33">
        <v>5.8</v>
      </c>
      <c r="H886" s="83" t="s">
        <v>89</v>
      </c>
    </row>
    <row r="887" spans="1:8" ht="16.5" customHeight="1" x14ac:dyDescent="0.25">
      <c r="A887" s="27">
        <v>45756</v>
      </c>
      <c r="B887" s="80">
        <v>2025</v>
      </c>
      <c r="C887" s="80">
        <v>4</v>
      </c>
      <c r="D887" s="30" t="s">
        <v>45</v>
      </c>
      <c r="E887" s="30" t="s">
        <v>68</v>
      </c>
      <c r="F887" s="30" t="s">
        <v>43</v>
      </c>
      <c r="G887" s="33">
        <v>1.3394999999999999</v>
      </c>
      <c r="H887" s="83" t="s">
        <v>89</v>
      </c>
    </row>
    <row r="888" spans="1:8" ht="16.5" customHeight="1" x14ac:dyDescent="0.25">
      <c r="A888" s="27">
        <v>45756</v>
      </c>
      <c r="B888" s="80">
        <v>2025</v>
      </c>
      <c r="C888" s="80">
        <v>4</v>
      </c>
      <c r="D888" s="30" t="s">
        <v>45</v>
      </c>
      <c r="E888" s="30" t="s">
        <v>71</v>
      </c>
      <c r="F888" s="30" t="s">
        <v>43</v>
      </c>
      <c r="G888" s="33">
        <v>9.4770900000000005</v>
      </c>
      <c r="H888" s="83" t="s">
        <v>89</v>
      </c>
    </row>
    <row r="889" spans="1:8" ht="16.5" customHeight="1" x14ac:dyDescent="0.25">
      <c r="A889" s="27">
        <v>45756</v>
      </c>
      <c r="B889" s="80">
        <v>2025</v>
      </c>
      <c r="C889" s="80">
        <v>4</v>
      </c>
      <c r="D889" s="30" t="s">
        <v>45</v>
      </c>
      <c r="E889" s="30" t="s">
        <v>73</v>
      </c>
      <c r="F889" s="30" t="s">
        <v>43</v>
      </c>
      <c r="G889" s="33">
        <v>1.17</v>
      </c>
      <c r="H889" s="83" t="s">
        <v>89</v>
      </c>
    </row>
    <row r="890" spans="1:8" ht="16.5" customHeight="1" x14ac:dyDescent="0.25">
      <c r="A890" s="27">
        <v>45756</v>
      </c>
      <c r="B890" s="80">
        <v>2025</v>
      </c>
      <c r="C890" s="80">
        <v>4</v>
      </c>
      <c r="D890" s="30" t="s">
        <v>45</v>
      </c>
      <c r="E890" s="30" t="s">
        <v>75</v>
      </c>
      <c r="F890" s="30" t="s">
        <v>43</v>
      </c>
      <c r="G890" s="33">
        <v>36.985419899999997</v>
      </c>
      <c r="H890" s="83" t="s">
        <v>48</v>
      </c>
    </row>
    <row r="891" spans="1:8" ht="16.5" customHeight="1" x14ac:dyDescent="0.25">
      <c r="A891" s="27">
        <v>45757</v>
      </c>
      <c r="B891" s="80">
        <v>2025</v>
      </c>
      <c r="C891" s="80">
        <v>4</v>
      </c>
      <c r="D891" s="30" t="s">
        <v>45</v>
      </c>
      <c r="E891" s="30" t="s">
        <v>38</v>
      </c>
      <c r="F891" s="30" t="s">
        <v>43</v>
      </c>
      <c r="G891" s="33">
        <v>2.448</v>
      </c>
      <c r="H891" s="83" t="s">
        <v>88</v>
      </c>
    </row>
    <row r="892" spans="1:8" ht="16.5" customHeight="1" x14ac:dyDescent="0.25">
      <c r="A892" s="27">
        <v>45757</v>
      </c>
      <c r="B892" s="80">
        <v>2025</v>
      </c>
      <c r="C892" s="80">
        <v>4</v>
      </c>
      <c r="D892" s="30" t="s">
        <v>45</v>
      </c>
      <c r="E892" s="30" t="s">
        <v>38</v>
      </c>
      <c r="F892" s="30" t="s">
        <v>55</v>
      </c>
      <c r="G892" s="33">
        <v>0.33</v>
      </c>
      <c r="H892" s="83" t="s">
        <v>88</v>
      </c>
    </row>
    <row r="893" spans="1:8" ht="16.5" customHeight="1" x14ac:dyDescent="0.25">
      <c r="A893" s="27">
        <v>45757</v>
      </c>
      <c r="B893" s="80">
        <v>2025</v>
      </c>
      <c r="C893" s="80">
        <v>4</v>
      </c>
      <c r="D893" s="30" t="s">
        <v>45</v>
      </c>
      <c r="E893" s="30" t="s">
        <v>42</v>
      </c>
      <c r="F893" s="30" t="s">
        <v>43</v>
      </c>
      <c r="G893" s="33">
        <v>1.1559999999999999</v>
      </c>
      <c r="H893" s="83" t="s">
        <v>88</v>
      </c>
    </row>
    <row r="894" spans="1:8" ht="16.5" customHeight="1" x14ac:dyDescent="0.25">
      <c r="A894" s="27">
        <v>45757</v>
      </c>
      <c r="B894" s="80">
        <v>2025</v>
      </c>
      <c r="C894" s="80">
        <v>4</v>
      </c>
      <c r="D894" s="30" t="s">
        <v>45</v>
      </c>
      <c r="E894" s="30" t="s">
        <v>46</v>
      </c>
      <c r="F894" s="30" t="s">
        <v>43</v>
      </c>
      <c r="G894" s="33">
        <v>0.72261249999999999</v>
      </c>
      <c r="H894" s="83" t="s">
        <v>88</v>
      </c>
    </row>
    <row r="895" spans="1:8" ht="16.5" customHeight="1" x14ac:dyDescent="0.25">
      <c r="A895" s="27">
        <v>45757</v>
      </c>
      <c r="B895" s="80">
        <v>2025</v>
      </c>
      <c r="C895" s="80">
        <v>4</v>
      </c>
      <c r="D895" s="30" t="s">
        <v>45</v>
      </c>
      <c r="E895" s="30" t="s">
        <v>50</v>
      </c>
      <c r="F895" s="30" t="s">
        <v>43</v>
      </c>
      <c r="G895" s="33">
        <v>6.0055500000000004</v>
      </c>
      <c r="H895" s="83" t="s">
        <v>88</v>
      </c>
    </row>
    <row r="896" spans="1:8" ht="16.5" customHeight="1" x14ac:dyDescent="0.25">
      <c r="A896" s="27">
        <v>45757</v>
      </c>
      <c r="B896" s="80">
        <v>2025</v>
      </c>
      <c r="C896" s="80">
        <v>4</v>
      </c>
      <c r="D896" s="30" t="s">
        <v>45</v>
      </c>
      <c r="E896" s="30" t="s">
        <v>50</v>
      </c>
      <c r="F896" s="30" t="s">
        <v>47</v>
      </c>
      <c r="G896" s="33">
        <v>0.31080000000000002</v>
      </c>
      <c r="H896" s="83" t="s">
        <v>88</v>
      </c>
    </row>
    <row r="897" spans="1:8" ht="16.5" customHeight="1" x14ac:dyDescent="0.25">
      <c r="A897" s="27">
        <v>45757</v>
      </c>
      <c r="B897" s="80">
        <v>2025</v>
      </c>
      <c r="C897" s="80">
        <v>4</v>
      </c>
      <c r="D897" s="30" t="s">
        <v>45</v>
      </c>
      <c r="E897" s="30" t="s">
        <v>50</v>
      </c>
      <c r="F897" s="30" t="s">
        <v>51</v>
      </c>
      <c r="G897" s="33">
        <v>0.75680000000000003</v>
      </c>
      <c r="H897" s="83" t="s">
        <v>88</v>
      </c>
    </row>
    <row r="898" spans="1:8" ht="16.5" customHeight="1" x14ac:dyDescent="0.25">
      <c r="A898" s="27">
        <v>45757</v>
      </c>
      <c r="B898" s="80">
        <v>2025</v>
      </c>
      <c r="C898" s="80">
        <v>4</v>
      </c>
      <c r="D898" s="30" t="s">
        <v>45</v>
      </c>
      <c r="E898" s="30" t="s">
        <v>50</v>
      </c>
      <c r="F898" s="30" t="s">
        <v>55</v>
      </c>
      <c r="G898" s="33">
        <v>0.47699999999999998</v>
      </c>
      <c r="H898" s="83" t="s">
        <v>88</v>
      </c>
    </row>
    <row r="899" spans="1:8" ht="16.5" customHeight="1" x14ac:dyDescent="0.25">
      <c r="A899" s="27">
        <v>45757</v>
      </c>
      <c r="B899" s="80">
        <v>2025</v>
      </c>
      <c r="C899" s="80">
        <v>4</v>
      </c>
      <c r="D899" s="30" t="s">
        <v>45</v>
      </c>
      <c r="E899" s="30" t="s">
        <v>50</v>
      </c>
      <c r="F899" s="30" t="s">
        <v>58</v>
      </c>
      <c r="G899" s="33">
        <v>3.5766890999999998</v>
      </c>
      <c r="H899" s="83" t="s">
        <v>88</v>
      </c>
    </row>
    <row r="900" spans="1:8" ht="16.5" customHeight="1" x14ac:dyDescent="0.25">
      <c r="A900" s="27">
        <v>45757</v>
      </c>
      <c r="B900" s="80">
        <v>2025</v>
      </c>
      <c r="C900" s="80">
        <v>4</v>
      </c>
      <c r="D900" s="30" t="s">
        <v>45</v>
      </c>
      <c r="E900" s="30" t="s">
        <v>57</v>
      </c>
      <c r="F900" s="30" t="s">
        <v>39</v>
      </c>
      <c r="G900" s="33">
        <v>5.1898</v>
      </c>
      <c r="H900" s="83" t="s">
        <v>89</v>
      </c>
    </row>
    <row r="901" spans="1:8" ht="16.5" customHeight="1" x14ac:dyDescent="0.25">
      <c r="A901" s="27">
        <v>45757</v>
      </c>
      <c r="B901" s="80">
        <v>2025</v>
      </c>
      <c r="C901" s="80">
        <v>4</v>
      </c>
      <c r="D901" s="30" t="s">
        <v>45</v>
      </c>
      <c r="E901" s="30" t="s">
        <v>57</v>
      </c>
      <c r="F901" s="30" t="s">
        <v>43</v>
      </c>
      <c r="G901" s="33">
        <v>23.43</v>
      </c>
      <c r="H901" s="83" t="s">
        <v>89</v>
      </c>
    </row>
    <row r="902" spans="1:8" ht="16.5" customHeight="1" x14ac:dyDescent="0.25">
      <c r="A902" s="27">
        <v>45757</v>
      </c>
      <c r="B902" s="80">
        <v>2025</v>
      </c>
      <c r="C902" s="80">
        <v>4</v>
      </c>
      <c r="D902" s="30" t="s">
        <v>45</v>
      </c>
      <c r="E902" s="30" t="s">
        <v>61</v>
      </c>
      <c r="F902" s="30" t="s">
        <v>43</v>
      </c>
      <c r="G902" s="33">
        <v>2.9369999999999998</v>
      </c>
      <c r="H902" s="83" t="s">
        <v>89</v>
      </c>
    </row>
    <row r="903" spans="1:8" ht="16.5" customHeight="1" x14ac:dyDescent="0.25">
      <c r="A903" s="27">
        <v>45757</v>
      </c>
      <c r="B903" s="80">
        <v>2025</v>
      </c>
      <c r="C903" s="80">
        <v>4</v>
      </c>
      <c r="D903" s="30" t="s">
        <v>45</v>
      </c>
      <c r="E903" s="30" t="s">
        <v>64</v>
      </c>
      <c r="F903" s="30" t="s">
        <v>43</v>
      </c>
      <c r="G903" s="33">
        <v>38.295319999999997</v>
      </c>
      <c r="H903" s="83" t="s">
        <v>89</v>
      </c>
    </row>
    <row r="904" spans="1:8" ht="16.5" customHeight="1" x14ac:dyDescent="0.25">
      <c r="A904" s="27">
        <v>45757</v>
      </c>
      <c r="B904" s="80">
        <v>2025</v>
      </c>
      <c r="C904" s="80">
        <v>4</v>
      </c>
      <c r="D904" s="30" t="s">
        <v>45</v>
      </c>
      <c r="E904" s="30" t="s">
        <v>66</v>
      </c>
      <c r="F904" s="30" t="s">
        <v>43</v>
      </c>
      <c r="G904" s="33">
        <v>1.5549999999999999</v>
      </c>
      <c r="H904" s="83" t="s">
        <v>89</v>
      </c>
    </row>
    <row r="905" spans="1:8" ht="16.5" customHeight="1" x14ac:dyDescent="0.25">
      <c r="A905" s="27">
        <v>45757</v>
      </c>
      <c r="B905" s="80">
        <v>2025</v>
      </c>
      <c r="C905" s="80">
        <v>4</v>
      </c>
      <c r="D905" s="30" t="s">
        <v>45</v>
      </c>
      <c r="E905" s="30" t="s">
        <v>66</v>
      </c>
      <c r="F905" s="30" t="s">
        <v>47</v>
      </c>
      <c r="G905" s="33">
        <v>9.4350000000000005</v>
      </c>
      <c r="H905" s="83" t="s">
        <v>89</v>
      </c>
    </row>
    <row r="906" spans="1:8" ht="16.5" customHeight="1" x14ac:dyDescent="0.25">
      <c r="A906" s="27">
        <v>45757</v>
      </c>
      <c r="B906" s="80">
        <v>2025</v>
      </c>
      <c r="C906" s="80">
        <v>4</v>
      </c>
      <c r="D906" s="30" t="s">
        <v>45</v>
      </c>
      <c r="E906" s="30" t="s">
        <v>68</v>
      </c>
      <c r="F906" s="30" t="s">
        <v>43</v>
      </c>
      <c r="G906" s="33">
        <v>1.55</v>
      </c>
      <c r="H906" s="83" t="s">
        <v>89</v>
      </c>
    </row>
    <row r="907" spans="1:8" ht="16.5" customHeight="1" x14ac:dyDescent="0.25">
      <c r="A907" s="27">
        <v>45757</v>
      </c>
      <c r="B907" s="80">
        <v>2025</v>
      </c>
      <c r="C907" s="80">
        <v>4</v>
      </c>
      <c r="D907" s="30" t="s">
        <v>45</v>
      </c>
      <c r="E907" s="30" t="s">
        <v>68</v>
      </c>
      <c r="F907" s="30" t="s">
        <v>55</v>
      </c>
      <c r="G907" s="33">
        <v>1.512</v>
      </c>
      <c r="H907" s="83" t="s">
        <v>89</v>
      </c>
    </row>
    <row r="908" spans="1:8" ht="16.5" customHeight="1" x14ac:dyDescent="0.25">
      <c r="A908" s="27">
        <v>45757</v>
      </c>
      <c r="B908" s="80">
        <v>2025</v>
      </c>
      <c r="C908" s="80">
        <v>4</v>
      </c>
      <c r="D908" s="30" t="s">
        <v>45</v>
      </c>
      <c r="E908" s="30" t="s">
        <v>71</v>
      </c>
      <c r="F908" s="30" t="s">
        <v>43</v>
      </c>
      <c r="G908" s="33">
        <v>10.468249999999999</v>
      </c>
      <c r="H908" s="83" t="s">
        <v>89</v>
      </c>
    </row>
    <row r="909" spans="1:8" ht="16.5" customHeight="1" x14ac:dyDescent="0.25">
      <c r="A909" s="27">
        <v>45757</v>
      </c>
      <c r="B909" s="80">
        <v>2025</v>
      </c>
      <c r="C909" s="80">
        <v>4</v>
      </c>
      <c r="D909" s="30" t="s">
        <v>45</v>
      </c>
      <c r="E909" s="30" t="s">
        <v>71</v>
      </c>
      <c r="F909" s="30" t="s">
        <v>51</v>
      </c>
      <c r="G909" s="33">
        <v>0.82040000000000002</v>
      </c>
      <c r="H909" s="83" t="s">
        <v>89</v>
      </c>
    </row>
    <row r="910" spans="1:8" ht="16.5" customHeight="1" x14ac:dyDescent="0.25">
      <c r="A910" s="27">
        <v>45757</v>
      </c>
      <c r="B910" s="80">
        <v>2025</v>
      </c>
      <c r="C910" s="80">
        <v>4</v>
      </c>
      <c r="D910" s="30" t="s">
        <v>45</v>
      </c>
      <c r="E910" s="30" t="s">
        <v>75</v>
      </c>
      <c r="F910" s="30" t="s">
        <v>43</v>
      </c>
      <c r="G910" s="33">
        <v>10.047193999999999</v>
      </c>
      <c r="H910" s="83" t="s">
        <v>48</v>
      </c>
    </row>
    <row r="911" spans="1:8" ht="16.5" customHeight="1" x14ac:dyDescent="0.25">
      <c r="A911" s="27">
        <v>45757</v>
      </c>
      <c r="B911" s="80">
        <v>2025</v>
      </c>
      <c r="C911" s="80">
        <v>4</v>
      </c>
      <c r="D911" s="30" t="s">
        <v>45</v>
      </c>
      <c r="E911" s="30" t="s">
        <v>76</v>
      </c>
      <c r="F911" s="30" t="s">
        <v>39</v>
      </c>
      <c r="G911" s="33">
        <v>112.82186400000001</v>
      </c>
      <c r="H911" s="83" t="s">
        <v>48</v>
      </c>
    </row>
    <row r="912" spans="1:8" ht="16.5" customHeight="1" x14ac:dyDescent="0.25">
      <c r="A912" s="27">
        <v>45757</v>
      </c>
      <c r="B912" s="80">
        <v>2025</v>
      </c>
      <c r="C912" s="80">
        <v>4</v>
      </c>
      <c r="D912" s="30" t="s">
        <v>45</v>
      </c>
      <c r="E912" s="30" t="s">
        <v>76</v>
      </c>
      <c r="F912" s="30" t="s">
        <v>43</v>
      </c>
      <c r="G912" s="33">
        <v>5.94</v>
      </c>
      <c r="H912" s="83" t="s">
        <v>48</v>
      </c>
    </row>
    <row r="913" spans="1:8" ht="16.5" customHeight="1" x14ac:dyDescent="0.25">
      <c r="A913" s="27">
        <v>45758</v>
      </c>
      <c r="B913" s="80">
        <v>2025</v>
      </c>
      <c r="C913" s="80">
        <v>4</v>
      </c>
      <c r="D913" s="30" t="s">
        <v>45</v>
      </c>
      <c r="E913" s="30" t="s">
        <v>42</v>
      </c>
      <c r="F913" s="30" t="s">
        <v>43</v>
      </c>
      <c r="G913" s="33">
        <v>8.8394999999999992</v>
      </c>
      <c r="H913" s="83" t="s">
        <v>88</v>
      </c>
    </row>
    <row r="914" spans="1:8" ht="16.5" customHeight="1" x14ac:dyDescent="0.25">
      <c r="A914" s="27">
        <v>45758</v>
      </c>
      <c r="B914" s="80">
        <v>2025</v>
      </c>
      <c r="C914" s="80">
        <v>4</v>
      </c>
      <c r="D914" s="30" t="s">
        <v>45</v>
      </c>
      <c r="E914" s="30" t="s">
        <v>46</v>
      </c>
      <c r="F914" s="30" t="s">
        <v>43</v>
      </c>
      <c r="G914" s="33">
        <v>1.6866686</v>
      </c>
      <c r="H914" s="83" t="s">
        <v>88</v>
      </c>
    </row>
    <row r="915" spans="1:8" ht="16.5" customHeight="1" x14ac:dyDescent="0.25">
      <c r="A915" s="27">
        <v>45758</v>
      </c>
      <c r="B915" s="80">
        <v>2025</v>
      </c>
      <c r="C915" s="80">
        <v>4</v>
      </c>
      <c r="D915" s="30" t="s">
        <v>45</v>
      </c>
      <c r="E915" s="30" t="s">
        <v>50</v>
      </c>
      <c r="F915" s="30" t="s">
        <v>43</v>
      </c>
      <c r="G915" s="33">
        <v>49.103031899999998</v>
      </c>
      <c r="H915" s="83" t="s">
        <v>88</v>
      </c>
    </row>
    <row r="916" spans="1:8" ht="16.5" customHeight="1" x14ac:dyDescent="0.25">
      <c r="A916" s="27">
        <v>45758</v>
      </c>
      <c r="B916" s="80">
        <v>2025</v>
      </c>
      <c r="C916" s="80">
        <v>4</v>
      </c>
      <c r="D916" s="30" t="s">
        <v>45</v>
      </c>
      <c r="E916" s="30" t="s">
        <v>50</v>
      </c>
      <c r="F916" s="30" t="s">
        <v>55</v>
      </c>
      <c r="G916" s="33">
        <v>3.2674560000000001</v>
      </c>
      <c r="H916" s="83" t="s">
        <v>88</v>
      </c>
    </row>
    <row r="917" spans="1:8" ht="16.5" customHeight="1" x14ac:dyDescent="0.25">
      <c r="A917" s="27">
        <v>45758</v>
      </c>
      <c r="B917" s="80">
        <v>2025</v>
      </c>
      <c r="C917" s="80">
        <v>4</v>
      </c>
      <c r="D917" s="30" t="s">
        <v>45</v>
      </c>
      <c r="E917" s="30" t="s">
        <v>50</v>
      </c>
      <c r="F917" s="30" t="s">
        <v>58</v>
      </c>
      <c r="G917" s="33">
        <v>11.93049998</v>
      </c>
      <c r="H917" s="83" t="s">
        <v>88</v>
      </c>
    </row>
    <row r="918" spans="1:8" ht="16.5" customHeight="1" x14ac:dyDescent="0.25">
      <c r="A918" s="27">
        <v>45758</v>
      </c>
      <c r="B918" s="80">
        <v>2025</v>
      </c>
      <c r="C918" s="80">
        <v>4</v>
      </c>
      <c r="D918" s="30" t="s">
        <v>45</v>
      </c>
      <c r="E918" s="30" t="s">
        <v>54</v>
      </c>
      <c r="F918" s="30" t="s">
        <v>43</v>
      </c>
      <c r="G918" s="33">
        <v>7.8479999999999999</v>
      </c>
      <c r="H918" s="83" t="s">
        <v>88</v>
      </c>
    </row>
    <row r="919" spans="1:8" ht="16.5" customHeight="1" x14ac:dyDescent="0.25">
      <c r="A919" s="27">
        <v>45758</v>
      </c>
      <c r="B919" s="80">
        <v>2025</v>
      </c>
      <c r="C919" s="80">
        <v>4</v>
      </c>
      <c r="D919" s="30" t="s">
        <v>45</v>
      </c>
      <c r="E919" s="30" t="s">
        <v>54</v>
      </c>
      <c r="F919" s="30" t="s">
        <v>47</v>
      </c>
      <c r="G919" s="33">
        <v>0.39</v>
      </c>
      <c r="H919" s="83" t="s">
        <v>88</v>
      </c>
    </row>
    <row r="920" spans="1:8" ht="16.5" customHeight="1" x14ac:dyDescent="0.25">
      <c r="A920" s="27">
        <v>45758</v>
      </c>
      <c r="B920" s="80">
        <v>2025</v>
      </c>
      <c r="C920" s="80">
        <v>4</v>
      </c>
      <c r="D920" s="30" t="s">
        <v>45</v>
      </c>
      <c r="E920" s="30" t="s">
        <v>66</v>
      </c>
      <c r="F920" s="30" t="s">
        <v>43</v>
      </c>
      <c r="G920" s="33">
        <v>2.16</v>
      </c>
      <c r="H920" s="83" t="s">
        <v>89</v>
      </c>
    </row>
    <row r="921" spans="1:8" ht="16.5" customHeight="1" x14ac:dyDescent="0.25">
      <c r="A921" s="27">
        <v>45758</v>
      </c>
      <c r="B921" s="80">
        <v>2025</v>
      </c>
      <c r="C921" s="80">
        <v>4</v>
      </c>
      <c r="D921" s="30" t="s">
        <v>45</v>
      </c>
      <c r="E921" s="30" t="s">
        <v>68</v>
      </c>
      <c r="F921" s="30" t="s">
        <v>51</v>
      </c>
      <c r="G921" s="33">
        <v>1.1297600000000001</v>
      </c>
      <c r="H921" s="83" t="s">
        <v>89</v>
      </c>
    </row>
    <row r="922" spans="1:8" ht="16.5" customHeight="1" x14ac:dyDescent="0.25">
      <c r="A922" s="27">
        <v>45758</v>
      </c>
      <c r="B922" s="80">
        <v>2025</v>
      </c>
      <c r="C922" s="80">
        <v>4</v>
      </c>
      <c r="D922" s="30" t="s">
        <v>45</v>
      </c>
      <c r="E922" s="30" t="s">
        <v>71</v>
      </c>
      <c r="F922" s="30" t="s">
        <v>43</v>
      </c>
      <c r="G922" s="33">
        <v>9.3454999999999995</v>
      </c>
      <c r="H922" s="83" t="s">
        <v>89</v>
      </c>
    </row>
    <row r="923" spans="1:8" ht="16.5" customHeight="1" x14ac:dyDescent="0.25">
      <c r="A923" s="27">
        <v>45758</v>
      </c>
      <c r="B923" s="80">
        <v>2025</v>
      </c>
      <c r="C923" s="80">
        <v>4</v>
      </c>
      <c r="D923" s="30" t="s">
        <v>45</v>
      </c>
      <c r="E923" s="30" t="s">
        <v>75</v>
      </c>
      <c r="F923" s="30" t="s">
        <v>43</v>
      </c>
      <c r="G923" s="33">
        <v>1.7731874999999999</v>
      </c>
      <c r="H923" s="83" t="s">
        <v>48</v>
      </c>
    </row>
    <row r="924" spans="1:8" ht="16.5" customHeight="1" x14ac:dyDescent="0.25">
      <c r="A924" s="27">
        <v>45758</v>
      </c>
      <c r="B924" s="80">
        <v>2025</v>
      </c>
      <c r="C924" s="80">
        <v>4</v>
      </c>
      <c r="D924" s="30" t="s">
        <v>45</v>
      </c>
      <c r="E924" s="30" t="s">
        <v>76</v>
      </c>
      <c r="F924" s="30" t="s">
        <v>39</v>
      </c>
      <c r="G924" s="33">
        <v>17.839755</v>
      </c>
      <c r="H924" s="83" t="s">
        <v>48</v>
      </c>
    </row>
    <row r="925" spans="1:8" ht="16.5" customHeight="1" x14ac:dyDescent="0.25">
      <c r="A925" s="27">
        <v>45761</v>
      </c>
      <c r="B925" s="80">
        <v>2025</v>
      </c>
      <c r="C925" s="80">
        <v>4</v>
      </c>
      <c r="D925" s="30" t="s">
        <v>45</v>
      </c>
      <c r="E925" s="30" t="s">
        <v>38</v>
      </c>
      <c r="F925" s="30" t="s">
        <v>43</v>
      </c>
      <c r="G925" s="33">
        <v>25.804500000000001</v>
      </c>
      <c r="H925" s="83" t="s">
        <v>88</v>
      </c>
    </row>
    <row r="926" spans="1:8" ht="16.5" customHeight="1" x14ac:dyDescent="0.25">
      <c r="A926" s="27">
        <v>45761</v>
      </c>
      <c r="B926" s="80">
        <v>2025</v>
      </c>
      <c r="C926" s="80">
        <v>4</v>
      </c>
      <c r="D926" s="30" t="s">
        <v>45</v>
      </c>
      <c r="E926" s="30" t="s">
        <v>42</v>
      </c>
      <c r="F926" s="30" t="s">
        <v>43</v>
      </c>
      <c r="G926" s="33">
        <v>48.15916</v>
      </c>
      <c r="H926" s="83" t="s">
        <v>88</v>
      </c>
    </row>
    <row r="927" spans="1:8" ht="16.5" customHeight="1" x14ac:dyDescent="0.25">
      <c r="A927" s="27">
        <v>45761</v>
      </c>
      <c r="B927" s="80">
        <v>2025</v>
      </c>
      <c r="C927" s="80">
        <v>4</v>
      </c>
      <c r="D927" s="30" t="s">
        <v>45</v>
      </c>
      <c r="E927" s="30" t="s">
        <v>42</v>
      </c>
      <c r="F927" s="30" t="s">
        <v>47</v>
      </c>
      <c r="G927" s="33">
        <v>1.68</v>
      </c>
      <c r="H927" s="83" t="s">
        <v>88</v>
      </c>
    </row>
    <row r="928" spans="1:8" ht="16.5" customHeight="1" x14ac:dyDescent="0.25">
      <c r="A928" s="27">
        <v>45761</v>
      </c>
      <c r="B928" s="80">
        <v>2025</v>
      </c>
      <c r="C928" s="80">
        <v>4</v>
      </c>
      <c r="D928" s="30" t="s">
        <v>45</v>
      </c>
      <c r="E928" s="30" t="s">
        <v>42</v>
      </c>
      <c r="F928" s="30" t="s">
        <v>58</v>
      </c>
      <c r="G928" s="33">
        <v>0.89217999999999997</v>
      </c>
      <c r="H928" s="83" t="s">
        <v>88</v>
      </c>
    </row>
    <row r="929" spans="1:8" ht="16.5" customHeight="1" x14ac:dyDescent="0.25">
      <c r="A929" s="27">
        <v>45761</v>
      </c>
      <c r="B929" s="80">
        <v>2025</v>
      </c>
      <c r="C929" s="80">
        <v>4</v>
      </c>
      <c r="D929" s="30" t="s">
        <v>45</v>
      </c>
      <c r="E929" s="30" t="s">
        <v>46</v>
      </c>
      <c r="F929" s="30" t="s">
        <v>58</v>
      </c>
      <c r="G929" s="33">
        <v>1.5363374999999999</v>
      </c>
      <c r="H929" s="83" t="s">
        <v>88</v>
      </c>
    </row>
    <row r="930" spans="1:8" ht="16.5" customHeight="1" x14ac:dyDescent="0.25">
      <c r="A930" s="27">
        <v>45761</v>
      </c>
      <c r="B930" s="80">
        <v>2025</v>
      </c>
      <c r="C930" s="80">
        <v>4</v>
      </c>
      <c r="D930" s="30" t="s">
        <v>45</v>
      </c>
      <c r="E930" s="30" t="s">
        <v>50</v>
      </c>
      <c r="F930" s="30" t="s">
        <v>43</v>
      </c>
      <c r="G930" s="33">
        <v>4.3010837999999998</v>
      </c>
      <c r="H930" s="83" t="s">
        <v>88</v>
      </c>
    </row>
    <row r="931" spans="1:8" ht="16.5" customHeight="1" x14ac:dyDescent="0.25">
      <c r="A931" s="27">
        <v>45761</v>
      </c>
      <c r="B931" s="80">
        <v>2025</v>
      </c>
      <c r="C931" s="80">
        <v>4</v>
      </c>
      <c r="D931" s="30" t="s">
        <v>45</v>
      </c>
      <c r="E931" s="30" t="s">
        <v>50</v>
      </c>
      <c r="F931" s="30" t="s">
        <v>47</v>
      </c>
      <c r="G931" s="33">
        <v>0.25344</v>
      </c>
      <c r="H931" s="83" t="s">
        <v>88</v>
      </c>
    </row>
    <row r="932" spans="1:8" ht="16.5" customHeight="1" x14ac:dyDescent="0.25">
      <c r="A932" s="27">
        <v>45761</v>
      </c>
      <c r="B932" s="80">
        <v>2025</v>
      </c>
      <c r="C932" s="80">
        <v>4</v>
      </c>
      <c r="D932" s="30" t="s">
        <v>45</v>
      </c>
      <c r="E932" s="30" t="s">
        <v>50</v>
      </c>
      <c r="F932" s="30" t="s">
        <v>51</v>
      </c>
      <c r="G932" s="33">
        <v>0.25369999999999998</v>
      </c>
      <c r="H932" s="83" t="s">
        <v>88</v>
      </c>
    </row>
    <row r="933" spans="1:8" ht="16.5" customHeight="1" x14ac:dyDescent="0.25">
      <c r="A933" s="27">
        <v>45761</v>
      </c>
      <c r="B933" s="80">
        <v>2025</v>
      </c>
      <c r="C933" s="80">
        <v>4</v>
      </c>
      <c r="D933" s="30" t="s">
        <v>45</v>
      </c>
      <c r="E933" s="30" t="s">
        <v>50</v>
      </c>
      <c r="F933" s="30" t="s">
        <v>55</v>
      </c>
      <c r="G933" s="33">
        <v>0.54179999999999995</v>
      </c>
      <c r="H933" s="83" t="s">
        <v>88</v>
      </c>
    </row>
    <row r="934" spans="1:8" ht="16.5" customHeight="1" x14ac:dyDescent="0.25">
      <c r="A934" s="27">
        <v>45761</v>
      </c>
      <c r="B934" s="80">
        <v>2025</v>
      </c>
      <c r="C934" s="80">
        <v>4</v>
      </c>
      <c r="D934" s="30" t="s">
        <v>45</v>
      </c>
      <c r="E934" s="30" t="s">
        <v>50</v>
      </c>
      <c r="F934" s="30" t="s">
        <v>58</v>
      </c>
      <c r="G934" s="33">
        <v>1.12264425</v>
      </c>
      <c r="H934" s="83" t="s">
        <v>88</v>
      </c>
    </row>
    <row r="935" spans="1:8" ht="16.5" customHeight="1" x14ac:dyDescent="0.25">
      <c r="A935" s="27">
        <v>45761</v>
      </c>
      <c r="B935" s="80">
        <v>2025</v>
      </c>
      <c r="C935" s="80">
        <v>4</v>
      </c>
      <c r="D935" s="30" t="s">
        <v>45</v>
      </c>
      <c r="E935" s="30" t="s">
        <v>54</v>
      </c>
      <c r="F935" s="30" t="s">
        <v>43</v>
      </c>
      <c r="G935" s="33">
        <v>12.702</v>
      </c>
      <c r="H935" s="83" t="s">
        <v>88</v>
      </c>
    </row>
    <row r="936" spans="1:8" ht="16.5" customHeight="1" x14ac:dyDescent="0.25">
      <c r="A936" s="27">
        <v>45761</v>
      </c>
      <c r="B936" s="80">
        <v>2025</v>
      </c>
      <c r="C936" s="80">
        <v>4</v>
      </c>
      <c r="D936" s="30" t="s">
        <v>45</v>
      </c>
      <c r="E936" s="30" t="s">
        <v>57</v>
      </c>
      <c r="F936" s="30" t="s">
        <v>39</v>
      </c>
      <c r="G936" s="33">
        <v>6.9714999999999998</v>
      </c>
      <c r="H936" s="83" t="s">
        <v>89</v>
      </c>
    </row>
    <row r="937" spans="1:8" ht="16.5" customHeight="1" x14ac:dyDescent="0.25">
      <c r="A937" s="27">
        <v>45761</v>
      </c>
      <c r="B937" s="80">
        <v>2025</v>
      </c>
      <c r="C937" s="80">
        <v>4</v>
      </c>
      <c r="D937" s="30" t="s">
        <v>45</v>
      </c>
      <c r="E937" s="30" t="s">
        <v>66</v>
      </c>
      <c r="F937" s="30" t="s">
        <v>43</v>
      </c>
      <c r="G937" s="33">
        <v>1.1499999999999999</v>
      </c>
      <c r="H937" s="83" t="s">
        <v>89</v>
      </c>
    </row>
    <row r="938" spans="1:8" ht="16.5" customHeight="1" x14ac:dyDescent="0.25">
      <c r="A938" s="27">
        <v>45761</v>
      </c>
      <c r="B938" s="80">
        <v>2025</v>
      </c>
      <c r="C938" s="80">
        <v>4</v>
      </c>
      <c r="D938" s="30" t="s">
        <v>45</v>
      </c>
      <c r="E938" s="30" t="s">
        <v>68</v>
      </c>
      <c r="F938" s="30" t="s">
        <v>43</v>
      </c>
      <c r="G938" s="33">
        <v>1.5044999999999999</v>
      </c>
      <c r="H938" s="83" t="s">
        <v>89</v>
      </c>
    </row>
    <row r="939" spans="1:8" ht="16.5" customHeight="1" x14ac:dyDescent="0.25">
      <c r="A939" s="27">
        <v>45761</v>
      </c>
      <c r="B939" s="80">
        <v>2025</v>
      </c>
      <c r="C939" s="80">
        <v>4</v>
      </c>
      <c r="D939" s="30" t="s">
        <v>45</v>
      </c>
      <c r="E939" s="30" t="s">
        <v>73</v>
      </c>
      <c r="F939" s="30" t="s">
        <v>43</v>
      </c>
      <c r="G939" s="33">
        <v>9.5269200000000005</v>
      </c>
      <c r="H939" s="83" t="s">
        <v>89</v>
      </c>
    </row>
    <row r="940" spans="1:8" ht="16.5" customHeight="1" x14ac:dyDescent="0.25">
      <c r="A940" s="27">
        <v>45761</v>
      </c>
      <c r="B940" s="80">
        <v>2025</v>
      </c>
      <c r="C940" s="80">
        <v>4</v>
      </c>
      <c r="D940" s="30" t="s">
        <v>45</v>
      </c>
      <c r="E940" s="30" t="s">
        <v>75</v>
      </c>
      <c r="F940" s="30" t="s">
        <v>43</v>
      </c>
      <c r="G940" s="33">
        <v>15.28613075</v>
      </c>
      <c r="H940" s="83" t="s">
        <v>48</v>
      </c>
    </row>
    <row r="941" spans="1:8" ht="16.5" customHeight="1" x14ac:dyDescent="0.25">
      <c r="A941" s="27">
        <v>45762</v>
      </c>
      <c r="B941" s="80">
        <v>2025</v>
      </c>
      <c r="C941" s="80">
        <v>4</v>
      </c>
      <c r="D941" s="30" t="s">
        <v>45</v>
      </c>
      <c r="E941" s="30" t="s">
        <v>38</v>
      </c>
      <c r="F941" s="30" t="s">
        <v>43</v>
      </c>
      <c r="G941" s="33">
        <v>4.0979999999999999</v>
      </c>
      <c r="H941" s="83" t="s">
        <v>88</v>
      </c>
    </row>
    <row r="942" spans="1:8" ht="16.5" customHeight="1" x14ac:dyDescent="0.25">
      <c r="A942" s="27">
        <v>45762</v>
      </c>
      <c r="B942" s="80">
        <v>2025</v>
      </c>
      <c r="C942" s="80">
        <v>4</v>
      </c>
      <c r="D942" s="30" t="s">
        <v>45</v>
      </c>
      <c r="E942" s="30" t="s">
        <v>42</v>
      </c>
      <c r="F942" s="30" t="s">
        <v>43</v>
      </c>
      <c r="G942" s="33">
        <v>10.581</v>
      </c>
      <c r="H942" s="83" t="s">
        <v>88</v>
      </c>
    </row>
    <row r="943" spans="1:8" ht="16.5" customHeight="1" x14ac:dyDescent="0.25">
      <c r="A943" s="27">
        <v>45762</v>
      </c>
      <c r="B943" s="80">
        <v>2025</v>
      </c>
      <c r="C943" s="80">
        <v>4</v>
      </c>
      <c r="D943" s="30" t="s">
        <v>45</v>
      </c>
      <c r="E943" s="30" t="s">
        <v>46</v>
      </c>
      <c r="F943" s="30" t="s">
        <v>43</v>
      </c>
      <c r="G943" s="33">
        <v>9.1425000000000006E-2</v>
      </c>
      <c r="H943" s="83" t="s">
        <v>88</v>
      </c>
    </row>
    <row r="944" spans="1:8" ht="16.5" customHeight="1" x14ac:dyDescent="0.25">
      <c r="A944" s="27">
        <v>45762</v>
      </c>
      <c r="B944" s="80">
        <v>2025</v>
      </c>
      <c r="C944" s="80">
        <v>4</v>
      </c>
      <c r="D944" s="30" t="s">
        <v>45</v>
      </c>
      <c r="E944" s="30" t="s">
        <v>46</v>
      </c>
      <c r="F944" s="30" t="s">
        <v>58</v>
      </c>
      <c r="G944" s="33">
        <v>1.919524</v>
      </c>
      <c r="H944" s="83" t="s">
        <v>88</v>
      </c>
    </row>
    <row r="945" spans="1:8" ht="16.5" customHeight="1" x14ac:dyDescent="0.25">
      <c r="A945" s="27">
        <v>45762</v>
      </c>
      <c r="B945" s="80">
        <v>2025</v>
      </c>
      <c r="C945" s="80">
        <v>4</v>
      </c>
      <c r="D945" s="30" t="s">
        <v>45</v>
      </c>
      <c r="E945" s="30" t="s">
        <v>50</v>
      </c>
      <c r="F945" s="30" t="s">
        <v>43</v>
      </c>
      <c r="G945" s="33">
        <v>7.8033219999999996</v>
      </c>
      <c r="H945" s="83" t="s">
        <v>88</v>
      </c>
    </row>
    <row r="946" spans="1:8" ht="16.5" customHeight="1" x14ac:dyDescent="0.25">
      <c r="A946" s="27">
        <v>45762</v>
      </c>
      <c r="B946" s="80">
        <v>2025</v>
      </c>
      <c r="C946" s="80">
        <v>4</v>
      </c>
      <c r="D946" s="30" t="s">
        <v>45</v>
      </c>
      <c r="E946" s="30" t="s">
        <v>50</v>
      </c>
      <c r="F946" s="30" t="s">
        <v>47</v>
      </c>
      <c r="G946" s="33">
        <v>0.93240000000000001</v>
      </c>
      <c r="H946" s="83" t="s">
        <v>88</v>
      </c>
    </row>
    <row r="947" spans="1:8" ht="16.5" customHeight="1" x14ac:dyDescent="0.25">
      <c r="A947" s="27">
        <v>45762</v>
      </c>
      <c r="B947" s="80">
        <v>2025</v>
      </c>
      <c r="C947" s="80">
        <v>4</v>
      </c>
      <c r="D947" s="30" t="s">
        <v>45</v>
      </c>
      <c r="E947" s="30" t="s">
        <v>50</v>
      </c>
      <c r="F947" s="30" t="s">
        <v>58</v>
      </c>
      <c r="G947" s="33">
        <v>0.42571100000000001</v>
      </c>
      <c r="H947" s="83" t="s">
        <v>88</v>
      </c>
    </row>
    <row r="948" spans="1:8" ht="16.5" customHeight="1" x14ac:dyDescent="0.25">
      <c r="A948" s="27">
        <v>45762</v>
      </c>
      <c r="B948" s="80">
        <v>2025</v>
      </c>
      <c r="C948" s="80">
        <v>4</v>
      </c>
      <c r="D948" s="30" t="s">
        <v>45</v>
      </c>
      <c r="E948" s="30" t="s">
        <v>54</v>
      </c>
      <c r="F948" s="30" t="s">
        <v>43</v>
      </c>
      <c r="G948" s="33">
        <v>4.0609999999999999</v>
      </c>
      <c r="H948" s="83" t="s">
        <v>88</v>
      </c>
    </row>
    <row r="949" spans="1:8" ht="16.5" customHeight="1" x14ac:dyDescent="0.25">
      <c r="A949" s="27">
        <v>45762</v>
      </c>
      <c r="B949" s="80">
        <v>2025</v>
      </c>
      <c r="C949" s="80">
        <v>4</v>
      </c>
      <c r="D949" s="30" t="s">
        <v>45</v>
      </c>
      <c r="E949" s="30" t="s">
        <v>61</v>
      </c>
      <c r="F949" s="30" t="s">
        <v>43</v>
      </c>
      <c r="G949" s="33">
        <v>2.21</v>
      </c>
      <c r="H949" s="83" t="s">
        <v>89</v>
      </c>
    </row>
    <row r="950" spans="1:8" ht="16.5" customHeight="1" x14ac:dyDescent="0.25">
      <c r="A950" s="27">
        <v>45762</v>
      </c>
      <c r="B950" s="80">
        <v>2025</v>
      </c>
      <c r="C950" s="80">
        <v>4</v>
      </c>
      <c r="D950" s="30" t="s">
        <v>45</v>
      </c>
      <c r="E950" s="30" t="s">
        <v>66</v>
      </c>
      <c r="F950" s="30" t="s">
        <v>43</v>
      </c>
      <c r="G950" s="33">
        <v>6.58</v>
      </c>
      <c r="H950" s="83" t="s">
        <v>89</v>
      </c>
    </row>
    <row r="951" spans="1:8" ht="16.5" customHeight="1" x14ac:dyDescent="0.25">
      <c r="A951" s="27">
        <v>45762</v>
      </c>
      <c r="B951" s="80">
        <v>2025</v>
      </c>
      <c r="C951" s="80">
        <v>4</v>
      </c>
      <c r="D951" s="30" t="s">
        <v>45</v>
      </c>
      <c r="E951" s="30" t="s">
        <v>68</v>
      </c>
      <c r="F951" s="30" t="s">
        <v>43</v>
      </c>
      <c r="G951" s="33">
        <v>4.19625</v>
      </c>
      <c r="H951" s="83" t="s">
        <v>89</v>
      </c>
    </row>
    <row r="952" spans="1:8" ht="16.5" customHeight="1" x14ac:dyDescent="0.25">
      <c r="A952" s="27">
        <v>45762</v>
      </c>
      <c r="B952" s="80">
        <v>2025</v>
      </c>
      <c r="C952" s="80">
        <v>4</v>
      </c>
      <c r="D952" s="30" t="s">
        <v>45</v>
      </c>
      <c r="E952" s="30" t="s">
        <v>71</v>
      </c>
      <c r="F952" s="30" t="s">
        <v>43</v>
      </c>
      <c r="G952" s="33">
        <v>7.05</v>
      </c>
      <c r="H952" s="83" t="s">
        <v>89</v>
      </c>
    </row>
    <row r="953" spans="1:8" ht="16.5" customHeight="1" x14ac:dyDescent="0.25">
      <c r="A953" s="27">
        <v>45762</v>
      </c>
      <c r="B953" s="80">
        <v>2025</v>
      </c>
      <c r="C953" s="80">
        <v>4</v>
      </c>
      <c r="D953" s="30" t="s">
        <v>45</v>
      </c>
      <c r="E953" s="30" t="s">
        <v>74</v>
      </c>
      <c r="F953" s="30" t="s">
        <v>43</v>
      </c>
      <c r="G953" s="33">
        <v>48.216000000000001</v>
      </c>
      <c r="H953" s="83" t="s">
        <v>89</v>
      </c>
    </row>
    <row r="954" spans="1:8" ht="16.5" customHeight="1" x14ac:dyDescent="0.25">
      <c r="A954" s="27">
        <v>45762</v>
      </c>
      <c r="B954" s="80">
        <v>2025</v>
      </c>
      <c r="C954" s="80">
        <v>4</v>
      </c>
      <c r="D954" s="30" t="s">
        <v>45</v>
      </c>
      <c r="E954" s="30" t="s">
        <v>75</v>
      </c>
      <c r="F954" s="30" t="s">
        <v>43</v>
      </c>
      <c r="G954" s="33">
        <v>38.796950000000002</v>
      </c>
      <c r="H954" s="83" t="s">
        <v>48</v>
      </c>
    </row>
    <row r="955" spans="1:8" ht="16.5" customHeight="1" x14ac:dyDescent="0.25">
      <c r="A955" s="27">
        <v>45762</v>
      </c>
      <c r="B955" s="80">
        <v>2025</v>
      </c>
      <c r="C955" s="80">
        <v>4</v>
      </c>
      <c r="D955" s="30" t="s">
        <v>45</v>
      </c>
      <c r="E955" s="30" t="s">
        <v>76</v>
      </c>
      <c r="F955" s="30" t="s">
        <v>39</v>
      </c>
      <c r="G955" s="33">
        <v>58.989967999999998</v>
      </c>
      <c r="H955" s="83" t="s">
        <v>48</v>
      </c>
    </row>
    <row r="956" spans="1:8" ht="16.5" customHeight="1" x14ac:dyDescent="0.25">
      <c r="A956" s="27">
        <v>45763</v>
      </c>
      <c r="B956" s="80">
        <v>2025</v>
      </c>
      <c r="C956" s="80">
        <v>4</v>
      </c>
      <c r="D956" s="30" t="s">
        <v>45</v>
      </c>
      <c r="E956" s="30" t="s">
        <v>38</v>
      </c>
      <c r="F956" s="30" t="s">
        <v>43</v>
      </c>
      <c r="G956" s="33">
        <v>1.756</v>
      </c>
      <c r="H956" s="83" t="s">
        <v>88</v>
      </c>
    </row>
    <row r="957" spans="1:8" ht="16.5" customHeight="1" x14ac:dyDescent="0.25">
      <c r="A957" s="27">
        <v>45763</v>
      </c>
      <c r="B957" s="80">
        <v>2025</v>
      </c>
      <c r="C957" s="80">
        <v>4</v>
      </c>
      <c r="D957" s="30" t="s">
        <v>45</v>
      </c>
      <c r="E957" s="30" t="s">
        <v>38</v>
      </c>
      <c r="F957" s="30" t="s">
        <v>47</v>
      </c>
      <c r="G957" s="33">
        <v>9.8599999999999993E-2</v>
      </c>
      <c r="H957" s="83" t="s">
        <v>88</v>
      </c>
    </row>
    <row r="958" spans="1:8" ht="16.5" customHeight="1" x14ac:dyDescent="0.25">
      <c r="A958" s="27">
        <v>45763</v>
      </c>
      <c r="B958" s="80">
        <v>2025</v>
      </c>
      <c r="C958" s="80">
        <v>4</v>
      </c>
      <c r="D958" s="30" t="s">
        <v>45</v>
      </c>
      <c r="E958" s="30" t="s">
        <v>38</v>
      </c>
      <c r="F958" s="30" t="s">
        <v>58</v>
      </c>
      <c r="G958" s="33">
        <v>4.4315199999999999</v>
      </c>
      <c r="H958" s="83" t="s">
        <v>88</v>
      </c>
    </row>
    <row r="959" spans="1:8" ht="16.5" customHeight="1" x14ac:dyDescent="0.25">
      <c r="A959" s="27">
        <v>45763</v>
      </c>
      <c r="B959" s="80">
        <v>2025</v>
      </c>
      <c r="C959" s="80">
        <v>4</v>
      </c>
      <c r="D959" s="30" t="s">
        <v>45</v>
      </c>
      <c r="E959" s="30" t="s">
        <v>42</v>
      </c>
      <c r="F959" s="30" t="s">
        <v>43</v>
      </c>
      <c r="G959" s="33">
        <v>14.606780000000001</v>
      </c>
      <c r="H959" s="83" t="s">
        <v>88</v>
      </c>
    </row>
    <row r="960" spans="1:8" ht="16.5" customHeight="1" x14ac:dyDescent="0.25">
      <c r="A960" s="27">
        <v>45763</v>
      </c>
      <c r="B960" s="80">
        <v>2025</v>
      </c>
      <c r="C960" s="80">
        <v>4</v>
      </c>
      <c r="D960" s="30" t="s">
        <v>45</v>
      </c>
      <c r="E960" s="30" t="s">
        <v>50</v>
      </c>
      <c r="F960" s="30" t="s">
        <v>43</v>
      </c>
      <c r="G960" s="33">
        <v>2.3852891999999999</v>
      </c>
      <c r="H960" s="83" t="s">
        <v>88</v>
      </c>
    </row>
    <row r="961" spans="1:8" ht="16.5" customHeight="1" x14ac:dyDescent="0.25">
      <c r="A961" s="27">
        <v>45763</v>
      </c>
      <c r="B961" s="80">
        <v>2025</v>
      </c>
      <c r="C961" s="80">
        <v>4</v>
      </c>
      <c r="D961" s="30" t="s">
        <v>45</v>
      </c>
      <c r="E961" s="30" t="s">
        <v>50</v>
      </c>
      <c r="F961" s="30" t="s">
        <v>51</v>
      </c>
      <c r="G961" s="33">
        <v>0.38269999999999998</v>
      </c>
      <c r="H961" s="83" t="s">
        <v>88</v>
      </c>
    </row>
    <row r="962" spans="1:8" ht="16.5" customHeight="1" x14ac:dyDescent="0.25">
      <c r="A962" s="27">
        <v>45763</v>
      </c>
      <c r="B962" s="80">
        <v>2025</v>
      </c>
      <c r="C962" s="80">
        <v>4</v>
      </c>
      <c r="D962" s="30" t="s">
        <v>45</v>
      </c>
      <c r="E962" s="30" t="s">
        <v>50</v>
      </c>
      <c r="F962" s="30" t="s">
        <v>55</v>
      </c>
      <c r="G962" s="33">
        <v>0.18060000000000001</v>
      </c>
      <c r="H962" s="83" t="s">
        <v>88</v>
      </c>
    </row>
    <row r="963" spans="1:8" ht="16.5" customHeight="1" x14ac:dyDescent="0.25">
      <c r="A963" s="27">
        <v>45763</v>
      </c>
      <c r="B963" s="80">
        <v>2025</v>
      </c>
      <c r="C963" s="80">
        <v>4</v>
      </c>
      <c r="D963" s="30" t="s">
        <v>45</v>
      </c>
      <c r="E963" s="30" t="s">
        <v>50</v>
      </c>
      <c r="F963" s="30" t="s">
        <v>58</v>
      </c>
      <c r="G963" s="33">
        <v>9.2450000000000004E-2</v>
      </c>
      <c r="H963" s="83" t="s">
        <v>88</v>
      </c>
    </row>
    <row r="964" spans="1:8" ht="16.5" customHeight="1" x14ac:dyDescent="0.25">
      <c r="A964" s="27">
        <v>45763</v>
      </c>
      <c r="B964" s="80">
        <v>2025</v>
      </c>
      <c r="C964" s="80">
        <v>4</v>
      </c>
      <c r="D964" s="30" t="s">
        <v>45</v>
      </c>
      <c r="E964" s="30" t="s">
        <v>54</v>
      </c>
      <c r="F964" s="30" t="s">
        <v>43</v>
      </c>
      <c r="G964" s="33">
        <v>1.5625</v>
      </c>
      <c r="H964" s="83" t="s">
        <v>88</v>
      </c>
    </row>
    <row r="965" spans="1:8" ht="16.5" customHeight="1" x14ac:dyDescent="0.25">
      <c r="A965" s="27">
        <v>45763</v>
      </c>
      <c r="B965" s="80">
        <v>2025</v>
      </c>
      <c r="C965" s="80">
        <v>4</v>
      </c>
      <c r="D965" s="30" t="s">
        <v>45</v>
      </c>
      <c r="E965" s="30" t="s">
        <v>57</v>
      </c>
      <c r="F965" s="30" t="s">
        <v>43</v>
      </c>
      <c r="G965" s="33">
        <v>39.445</v>
      </c>
      <c r="H965" s="83" t="s">
        <v>89</v>
      </c>
    </row>
    <row r="966" spans="1:8" ht="16.5" customHeight="1" x14ac:dyDescent="0.25">
      <c r="A966" s="27">
        <v>45763</v>
      </c>
      <c r="B966" s="80">
        <v>2025</v>
      </c>
      <c r="C966" s="80">
        <v>4</v>
      </c>
      <c r="D966" s="30" t="s">
        <v>45</v>
      </c>
      <c r="E966" s="30" t="s">
        <v>61</v>
      </c>
      <c r="F966" s="30" t="s">
        <v>43</v>
      </c>
      <c r="G966" s="33">
        <v>6.7095000000000002</v>
      </c>
      <c r="H966" s="83" t="s">
        <v>89</v>
      </c>
    </row>
    <row r="967" spans="1:8" ht="16.5" customHeight="1" x14ac:dyDescent="0.25">
      <c r="A967" s="27">
        <v>45763</v>
      </c>
      <c r="B967" s="80">
        <v>2025</v>
      </c>
      <c r="C967" s="80">
        <v>4</v>
      </c>
      <c r="D967" s="30" t="s">
        <v>45</v>
      </c>
      <c r="E967" s="30" t="s">
        <v>66</v>
      </c>
      <c r="F967" s="30" t="s">
        <v>43</v>
      </c>
      <c r="G967" s="33">
        <v>1.1625000000000001</v>
      </c>
      <c r="H967" s="83" t="s">
        <v>89</v>
      </c>
    </row>
    <row r="968" spans="1:8" ht="16.5" customHeight="1" x14ac:dyDescent="0.25">
      <c r="A968" s="27">
        <v>45763</v>
      </c>
      <c r="B968" s="80">
        <v>2025</v>
      </c>
      <c r="C968" s="80">
        <v>4</v>
      </c>
      <c r="D968" s="30" t="s">
        <v>45</v>
      </c>
      <c r="E968" s="30" t="s">
        <v>68</v>
      </c>
      <c r="F968" s="30" t="s">
        <v>43</v>
      </c>
      <c r="G968" s="33">
        <v>1.518</v>
      </c>
      <c r="H968" s="83" t="s">
        <v>89</v>
      </c>
    </row>
    <row r="969" spans="1:8" ht="16.5" customHeight="1" x14ac:dyDescent="0.25">
      <c r="A969" s="27">
        <v>45764</v>
      </c>
      <c r="B969" s="80">
        <v>2025</v>
      </c>
      <c r="C969" s="80">
        <v>4</v>
      </c>
      <c r="D969" s="30" t="s">
        <v>45</v>
      </c>
      <c r="E969" s="30" t="s">
        <v>38</v>
      </c>
      <c r="F969" s="30" t="s">
        <v>43</v>
      </c>
      <c r="G969" s="33">
        <v>5.1553459999999998</v>
      </c>
      <c r="H969" s="83" t="s">
        <v>88</v>
      </c>
    </row>
    <row r="970" spans="1:8" ht="16.5" customHeight="1" x14ac:dyDescent="0.25">
      <c r="A970" s="27">
        <v>45764</v>
      </c>
      <c r="B970" s="80">
        <v>2025</v>
      </c>
      <c r="C970" s="80">
        <v>4</v>
      </c>
      <c r="D970" s="30" t="s">
        <v>45</v>
      </c>
      <c r="E970" s="30" t="s">
        <v>38</v>
      </c>
      <c r="F970" s="30" t="s">
        <v>58</v>
      </c>
      <c r="G970" s="33">
        <v>0.12921299999999999</v>
      </c>
      <c r="H970" s="83" t="s">
        <v>88</v>
      </c>
    </row>
    <row r="971" spans="1:8" ht="16.5" customHeight="1" x14ac:dyDescent="0.25">
      <c r="A971" s="27">
        <v>45764</v>
      </c>
      <c r="B971" s="80">
        <v>2025</v>
      </c>
      <c r="C971" s="80">
        <v>4</v>
      </c>
      <c r="D971" s="30" t="s">
        <v>45</v>
      </c>
      <c r="E971" s="30" t="s">
        <v>42</v>
      </c>
      <c r="F971" s="30" t="s">
        <v>43</v>
      </c>
      <c r="G971" s="33">
        <v>2.1760000000000002</v>
      </c>
      <c r="H971" s="83" t="s">
        <v>88</v>
      </c>
    </row>
    <row r="972" spans="1:8" ht="16.5" customHeight="1" x14ac:dyDescent="0.25">
      <c r="A972" s="27">
        <v>45764</v>
      </c>
      <c r="B972" s="80">
        <v>2025</v>
      </c>
      <c r="C972" s="80">
        <v>4</v>
      </c>
      <c r="D972" s="30" t="s">
        <v>45</v>
      </c>
      <c r="E972" s="30" t="s">
        <v>50</v>
      </c>
      <c r="F972" s="30" t="s">
        <v>43</v>
      </c>
      <c r="G972" s="33">
        <v>8.5229613000000004</v>
      </c>
      <c r="H972" s="83" t="s">
        <v>88</v>
      </c>
    </row>
    <row r="973" spans="1:8" ht="16.5" customHeight="1" x14ac:dyDescent="0.25">
      <c r="A973" s="27">
        <v>45764</v>
      </c>
      <c r="B973" s="80">
        <v>2025</v>
      </c>
      <c r="C973" s="80">
        <v>4</v>
      </c>
      <c r="D973" s="30" t="s">
        <v>45</v>
      </c>
      <c r="E973" s="30" t="s">
        <v>50</v>
      </c>
      <c r="F973" s="30" t="s">
        <v>47</v>
      </c>
      <c r="G973" s="33">
        <v>0.188474</v>
      </c>
      <c r="H973" s="83" t="s">
        <v>88</v>
      </c>
    </row>
    <row r="974" spans="1:8" ht="16.5" customHeight="1" x14ac:dyDescent="0.25">
      <c r="A974" s="27">
        <v>45764</v>
      </c>
      <c r="B974" s="80">
        <v>2025</v>
      </c>
      <c r="C974" s="80">
        <v>4</v>
      </c>
      <c r="D974" s="30" t="s">
        <v>45</v>
      </c>
      <c r="E974" s="30" t="s">
        <v>50</v>
      </c>
      <c r="F974" s="30" t="s">
        <v>51</v>
      </c>
      <c r="G974" s="33">
        <v>0.50739999999999996</v>
      </c>
      <c r="H974" s="83" t="s">
        <v>88</v>
      </c>
    </row>
    <row r="975" spans="1:8" ht="16.5" customHeight="1" x14ac:dyDescent="0.25">
      <c r="A975" s="27">
        <v>45764</v>
      </c>
      <c r="B975" s="80">
        <v>2025</v>
      </c>
      <c r="C975" s="80">
        <v>4</v>
      </c>
      <c r="D975" s="30" t="s">
        <v>45</v>
      </c>
      <c r="E975" s="30" t="s">
        <v>50</v>
      </c>
      <c r="F975" s="30" t="s">
        <v>55</v>
      </c>
      <c r="G975" s="33">
        <v>0.18060000000000001</v>
      </c>
      <c r="H975" s="83" t="s">
        <v>88</v>
      </c>
    </row>
    <row r="976" spans="1:8" ht="16.5" customHeight="1" x14ac:dyDescent="0.25">
      <c r="A976" s="27">
        <v>45764</v>
      </c>
      <c r="B976" s="80">
        <v>2025</v>
      </c>
      <c r="C976" s="80">
        <v>4</v>
      </c>
      <c r="D976" s="30" t="s">
        <v>45</v>
      </c>
      <c r="E976" s="30" t="s">
        <v>50</v>
      </c>
      <c r="F976" s="30" t="s">
        <v>58</v>
      </c>
      <c r="G976" s="33">
        <v>0.191334</v>
      </c>
      <c r="H976" s="83" t="s">
        <v>88</v>
      </c>
    </row>
    <row r="977" spans="1:8" ht="16.5" customHeight="1" x14ac:dyDescent="0.25">
      <c r="A977" s="27">
        <v>45764</v>
      </c>
      <c r="B977" s="80">
        <v>2025</v>
      </c>
      <c r="C977" s="80">
        <v>4</v>
      </c>
      <c r="D977" s="30" t="s">
        <v>45</v>
      </c>
      <c r="E977" s="30" t="s">
        <v>57</v>
      </c>
      <c r="F977" s="30" t="s">
        <v>43</v>
      </c>
      <c r="G977" s="33">
        <v>2.7719999999999998</v>
      </c>
      <c r="H977" s="83" t="s">
        <v>89</v>
      </c>
    </row>
    <row r="978" spans="1:8" ht="16.5" customHeight="1" x14ac:dyDescent="0.25">
      <c r="A978" s="27">
        <v>45764</v>
      </c>
      <c r="B978" s="80">
        <v>2025</v>
      </c>
      <c r="C978" s="80">
        <v>4</v>
      </c>
      <c r="D978" s="30" t="s">
        <v>45</v>
      </c>
      <c r="E978" s="30" t="s">
        <v>61</v>
      </c>
      <c r="F978" s="30" t="s">
        <v>43</v>
      </c>
      <c r="G978" s="33">
        <v>10.6128</v>
      </c>
      <c r="H978" s="83" t="s">
        <v>89</v>
      </c>
    </row>
    <row r="979" spans="1:8" ht="16.5" customHeight="1" x14ac:dyDescent="0.25">
      <c r="A979" s="27">
        <v>45764</v>
      </c>
      <c r="B979" s="80">
        <v>2025</v>
      </c>
      <c r="C979" s="80">
        <v>4</v>
      </c>
      <c r="D979" s="30" t="s">
        <v>45</v>
      </c>
      <c r="E979" s="30" t="s">
        <v>66</v>
      </c>
      <c r="F979" s="30" t="s">
        <v>43</v>
      </c>
      <c r="G979" s="33">
        <v>0.21299999999999999</v>
      </c>
      <c r="H979" s="83" t="s">
        <v>89</v>
      </c>
    </row>
    <row r="980" spans="1:8" ht="16.5" customHeight="1" x14ac:dyDescent="0.25">
      <c r="A980" s="27">
        <v>45764</v>
      </c>
      <c r="B980" s="80">
        <v>2025</v>
      </c>
      <c r="C980" s="80">
        <v>4</v>
      </c>
      <c r="D980" s="30" t="s">
        <v>45</v>
      </c>
      <c r="E980" s="30" t="s">
        <v>66</v>
      </c>
      <c r="F980" s="30" t="s">
        <v>47</v>
      </c>
      <c r="G980" s="33">
        <v>5.95</v>
      </c>
      <c r="H980" s="83" t="s">
        <v>89</v>
      </c>
    </row>
    <row r="981" spans="1:8" ht="16.5" customHeight="1" x14ac:dyDescent="0.25">
      <c r="A981" s="27">
        <v>45764</v>
      </c>
      <c r="B981" s="80">
        <v>2025</v>
      </c>
      <c r="C981" s="80">
        <v>4</v>
      </c>
      <c r="D981" s="30" t="s">
        <v>45</v>
      </c>
      <c r="E981" s="30" t="s">
        <v>68</v>
      </c>
      <c r="F981" s="30" t="s">
        <v>47</v>
      </c>
      <c r="G981" s="33">
        <v>0.5</v>
      </c>
      <c r="H981" s="83" t="s">
        <v>89</v>
      </c>
    </row>
    <row r="982" spans="1:8" ht="16.5" customHeight="1" x14ac:dyDescent="0.25">
      <c r="A982" s="27">
        <v>45764</v>
      </c>
      <c r="B982" s="80">
        <v>2025</v>
      </c>
      <c r="C982" s="80">
        <v>4</v>
      </c>
      <c r="D982" s="30" t="s">
        <v>45</v>
      </c>
      <c r="E982" s="30" t="s">
        <v>76</v>
      </c>
      <c r="F982" s="30" t="s">
        <v>43</v>
      </c>
      <c r="G982" s="33">
        <v>4.1570999999999998</v>
      </c>
      <c r="H982" s="83" t="s">
        <v>48</v>
      </c>
    </row>
    <row r="983" spans="1:8" ht="16.5" customHeight="1" x14ac:dyDescent="0.25">
      <c r="A983" s="27">
        <v>45765</v>
      </c>
      <c r="B983" s="80">
        <v>2025</v>
      </c>
      <c r="C983" s="80">
        <v>4</v>
      </c>
      <c r="D983" s="30" t="s">
        <v>45</v>
      </c>
      <c r="E983" s="30" t="s">
        <v>38</v>
      </c>
      <c r="F983" s="30" t="s">
        <v>43</v>
      </c>
      <c r="G983" s="33">
        <v>2.5550000000000002</v>
      </c>
      <c r="H983" s="83" t="s">
        <v>88</v>
      </c>
    </row>
    <row r="984" spans="1:8" ht="16.5" customHeight="1" x14ac:dyDescent="0.25">
      <c r="A984" s="27">
        <v>45765</v>
      </c>
      <c r="B984" s="80">
        <v>2025</v>
      </c>
      <c r="C984" s="80">
        <v>4</v>
      </c>
      <c r="D984" s="30" t="s">
        <v>45</v>
      </c>
      <c r="E984" s="30" t="s">
        <v>42</v>
      </c>
      <c r="F984" s="30" t="s">
        <v>43</v>
      </c>
      <c r="G984" s="33">
        <v>38.121000000000002</v>
      </c>
      <c r="H984" s="83" t="s">
        <v>88</v>
      </c>
    </row>
    <row r="985" spans="1:8" ht="16.5" customHeight="1" x14ac:dyDescent="0.25">
      <c r="A985" s="27">
        <v>45765</v>
      </c>
      <c r="B985" s="80">
        <v>2025</v>
      </c>
      <c r="C985" s="80">
        <v>4</v>
      </c>
      <c r="D985" s="30" t="s">
        <v>45</v>
      </c>
      <c r="E985" s="30" t="s">
        <v>42</v>
      </c>
      <c r="F985" s="30" t="s">
        <v>55</v>
      </c>
      <c r="G985" s="33">
        <v>1.2</v>
      </c>
      <c r="H985" s="83" t="s">
        <v>88</v>
      </c>
    </row>
    <row r="986" spans="1:8" ht="16.5" customHeight="1" x14ac:dyDescent="0.25">
      <c r="A986" s="27">
        <v>45765</v>
      </c>
      <c r="B986" s="80">
        <v>2025</v>
      </c>
      <c r="C986" s="80">
        <v>4</v>
      </c>
      <c r="D986" s="30" t="s">
        <v>45</v>
      </c>
      <c r="E986" s="30" t="s">
        <v>50</v>
      </c>
      <c r="F986" s="30" t="s">
        <v>43</v>
      </c>
      <c r="G986" s="33">
        <v>2.4710264999999998</v>
      </c>
      <c r="H986" s="83" t="s">
        <v>88</v>
      </c>
    </row>
    <row r="987" spans="1:8" ht="16.5" customHeight="1" x14ac:dyDescent="0.25">
      <c r="A987" s="27">
        <v>45765</v>
      </c>
      <c r="B987" s="80">
        <v>2025</v>
      </c>
      <c r="C987" s="80">
        <v>4</v>
      </c>
      <c r="D987" s="30" t="s">
        <v>45</v>
      </c>
      <c r="E987" s="30" t="s">
        <v>50</v>
      </c>
      <c r="F987" s="30" t="s">
        <v>47</v>
      </c>
      <c r="G987" s="33">
        <v>0.93240000000000001</v>
      </c>
      <c r="H987" s="83" t="s">
        <v>88</v>
      </c>
    </row>
    <row r="988" spans="1:8" ht="16.5" customHeight="1" x14ac:dyDescent="0.25">
      <c r="A988" s="27">
        <v>45765</v>
      </c>
      <c r="B988" s="80">
        <v>2025</v>
      </c>
      <c r="C988" s="80">
        <v>4</v>
      </c>
      <c r="D988" s="30" t="s">
        <v>45</v>
      </c>
      <c r="E988" s="30" t="s">
        <v>54</v>
      </c>
      <c r="F988" s="30" t="s">
        <v>43</v>
      </c>
      <c r="G988" s="33">
        <v>4.0925000000000002</v>
      </c>
      <c r="H988" s="83" t="s">
        <v>88</v>
      </c>
    </row>
    <row r="989" spans="1:8" ht="16.5" customHeight="1" x14ac:dyDescent="0.25">
      <c r="A989" s="27">
        <v>45765</v>
      </c>
      <c r="B989" s="80">
        <v>2025</v>
      </c>
      <c r="C989" s="80">
        <v>4</v>
      </c>
      <c r="D989" s="30" t="s">
        <v>45</v>
      </c>
      <c r="E989" s="30" t="s">
        <v>61</v>
      </c>
      <c r="F989" s="30" t="s">
        <v>43</v>
      </c>
      <c r="G989" s="33">
        <v>4.2930000000000001</v>
      </c>
      <c r="H989" s="83" t="s">
        <v>89</v>
      </c>
    </row>
    <row r="990" spans="1:8" ht="16.5" customHeight="1" x14ac:dyDescent="0.25">
      <c r="A990" s="27">
        <v>45765</v>
      </c>
      <c r="B990" s="80">
        <v>2025</v>
      </c>
      <c r="C990" s="80">
        <v>4</v>
      </c>
      <c r="D990" s="30" t="s">
        <v>45</v>
      </c>
      <c r="E990" s="30" t="s">
        <v>64</v>
      </c>
      <c r="F990" s="30" t="s">
        <v>43</v>
      </c>
      <c r="G990" s="33">
        <v>16.32967</v>
      </c>
      <c r="H990" s="83" t="s">
        <v>89</v>
      </c>
    </row>
    <row r="991" spans="1:8" ht="16.5" customHeight="1" x14ac:dyDescent="0.25">
      <c r="A991" s="27">
        <v>45765</v>
      </c>
      <c r="B991" s="80">
        <v>2025</v>
      </c>
      <c r="C991" s="80">
        <v>4</v>
      </c>
      <c r="D991" s="30" t="s">
        <v>45</v>
      </c>
      <c r="E991" s="30" t="s">
        <v>66</v>
      </c>
      <c r="F991" s="30" t="s">
        <v>43</v>
      </c>
      <c r="G991" s="33">
        <v>18.6447</v>
      </c>
      <c r="H991" s="83" t="s">
        <v>89</v>
      </c>
    </row>
    <row r="992" spans="1:8" ht="16.5" customHeight="1" x14ac:dyDescent="0.25">
      <c r="A992" s="27">
        <v>45765</v>
      </c>
      <c r="B992" s="80">
        <v>2025</v>
      </c>
      <c r="C992" s="80">
        <v>4</v>
      </c>
      <c r="D992" s="30" t="s">
        <v>45</v>
      </c>
      <c r="E992" s="30" t="s">
        <v>68</v>
      </c>
      <c r="F992" s="30" t="s">
        <v>43</v>
      </c>
      <c r="G992" s="33">
        <v>1.7370000000000001</v>
      </c>
      <c r="H992" s="83" t="s">
        <v>89</v>
      </c>
    </row>
    <row r="993" spans="1:8" ht="16.5" customHeight="1" x14ac:dyDescent="0.25">
      <c r="A993" s="27">
        <v>45765</v>
      </c>
      <c r="B993" s="80">
        <v>2025</v>
      </c>
      <c r="C993" s="80">
        <v>4</v>
      </c>
      <c r="D993" s="30" t="s">
        <v>45</v>
      </c>
      <c r="E993" s="30" t="s">
        <v>68</v>
      </c>
      <c r="F993" s="30" t="s">
        <v>55</v>
      </c>
      <c r="G993" s="33">
        <v>0.84</v>
      </c>
      <c r="H993" s="83" t="s">
        <v>89</v>
      </c>
    </row>
    <row r="994" spans="1:8" ht="16.5" customHeight="1" x14ac:dyDescent="0.25">
      <c r="A994" s="27">
        <v>45765</v>
      </c>
      <c r="B994" s="80">
        <v>2025</v>
      </c>
      <c r="C994" s="80">
        <v>4</v>
      </c>
      <c r="D994" s="30" t="s">
        <v>45</v>
      </c>
      <c r="E994" s="30" t="s">
        <v>75</v>
      </c>
      <c r="F994" s="30" t="s">
        <v>43</v>
      </c>
      <c r="G994" s="33">
        <v>28.113613999999998</v>
      </c>
      <c r="H994" s="83" t="s">
        <v>48</v>
      </c>
    </row>
    <row r="995" spans="1:8" ht="16.5" customHeight="1" x14ac:dyDescent="0.25">
      <c r="A995" s="27">
        <v>45766</v>
      </c>
      <c r="B995" s="80">
        <v>2025</v>
      </c>
      <c r="C995" s="80">
        <v>4</v>
      </c>
      <c r="D995" s="30" t="s">
        <v>45</v>
      </c>
      <c r="E995" s="30" t="s">
        <v>50</v>
      </c>
      <c r="F995" s="30" t="s">
        <v>43</v>
      </c>
      <c r="G995" s="33">
        <v>1.0642499999999999</v>
      </c>
      <c r="H995" s="83" t="s">
        <v>88</v>
      </c>
    </row>
    <row r="996" spans="1:8" ht="16.5" customHeight="1" x14ac:dyDescent="0.25">
      <c r="A996" s="27">
        <v>45769</v>
      </c>
      <c r="B996" s="80">
        <v>2025</v>
      </c>
      <c r="C996" s="80">
        <v>4</v>
      </c>
      <c r="D996" s="30" t="s">
        <v>45</v>
      </c>
      <c r="E996" s="30" t="s">
        <v>38</v>
      </c>
      <c r="F996" s="30" t="s">
        <v>43</v>
      </c>
      <c r="G996" s="33">
        <v>2.38</v>
      </c>
      <c r="H996" s="83" t="s">
        <v>88</v>
      </c>
    </row>
    <row r="997" spans="1:8" ht="16.5" customHeight="1" x14ac:dyDescent="0.25">
      <c r="A997" s="27">
        <v>45769</v>
      </c>
      <c r="B997" s="80">
        <v>2025</v>
      </c>
      <c r="C997" s="80">
        <v>4</v>
      </c>
      <c r="D997" s="30" t="s">
        <v>45</v>
      </c>
      <c r="E997" s="30" t="s">
        <v>42</v>
      </c>
      <c r="F997" s="30" t="s">
        <v>43</v>
      </c>
      <c r="G997" s="33">
        <v>8.1820000000000004</v>
      </c>
      <c r="H997" s="83" t="s">
        <v>88</v>
      </c>
    </row>
    <row r="998" spans="1:8" ht="16.5" customHeight="1" x14ac:dyDescent="0.25">
      <c r="A998" s="27">
        <v>45769</v>
      </c>
      <c r="B998" s="80">
        <v>2025</v>
      </c>
      <c r="C998" s="80">
        <v>4</v>
      </c>
      <c r="D998" s="30" t="s">
        <v>45</v>
      </c>
      <c r="E998" s="30" t="s">
        <v>42</v>
      </c>
      <c r="F998" s="30" t="s">
        <v>51</v>
      </c>
      <c r="G998" s="33">
        <v>0.15</v>
      </c>
      <c r="H998" s="83" t="s">
        <v>88</v>
      </c>
    </row>
    <row r="999" spans="1:8" ht="16.5" customHeight="1" x14ac:dyDescent="0.25">
      <c r="A999" s="27">
        <v>45769</v>
      </c>
      <c r="B999" s="80">
        <v>2025</v>
      </c>
      <c r="C999" s="80">
        <v>4</v>
      </c>
      <c r="D999" s="30" t="s">
        <v>45</v>
      </c>
      <c r="E999" s="30" t="s">
        <v>46</v>
      </c>
      <c r="F999" s="30" t="s">
        <v>43</v>
      </c>
      <c r="G999" s="33">
        <v>23.675499599999998</v>
      </c>
      <c r="H999" s="83" t="s">
        <v>88</v>
      </c>
    </row>
    <row r="1000" spans="1:8" ht="16.5" customHeight="1" x14ac:dyDescent="0.25">
      <c r="A1000" s="27">
        <v>45769</v>
      </c>
      <c r="B1000" s="80">
        <v>2025</v>
      </c>
      <c r="C1000" s="80">
        <v>4</v>
      </c>
      <c r="D1000" s="30" t="s">
        <v>45</v>
      </c>
      <c r="E1000" s="30" t="s">
        <v>46</v>
      </c>
      <c r="F1000" s="30" t="s">
        <v>51</v>
      </c>
      <c r="G1000" s="33">
        <v>1.84416</v>
      </c>
      <c r="H1000" s="83" t="s">
        <v>88</v>
      </c>
    </row>
    <row r="1001" spans="1:8" ht="16.5" customHeight="1" x14ac:dyDescent="0.25">
      <c r="A1001" s="27">
        <v>45769</v>
      </c>
      <c r="B1001" s="80">
        <v>2025</v>
      </c>
      <c r="C1001" s="80">
        <v>4</v>
      </c>
      <c r="D1001" s="30" t="s">
        <v>45</v>
      </c>
      <c r="E1001" s="30" t="s">
        <v>50</v>
      </c>
      <c r="F1001" s="30" t="s">
        <v>43</v>
      </c>
      <c r="G1001" s="33">
        <v>1.4437614999999999</v>
      </c>
      <c r="H1001" s="83" t="s">
        <v>88</v>
      </c>
    </row>
    <row r="1002" spans="1:8" ht="16.5" customHeight="1" x14ac:dyDescent="0.25">
      <c r="A1002" s="27">
        <v>45769</v>
      </c>
      <c r="B1002" s="80">
        <v>2025</v>
      </c>
      <c r="C1002" s="80">
        <v>4</v>
      </c>
      <c r="D1002" s="30" t="s">
        <v>45</v>
      </c>
      <c r="E1002" s="30" t="s">
        <v>50</v>
      </c>
      <c r="F1002" s="30" t="s">
        <v>51</v>
      </c>
      <c r="G1002" s="33">
        <v>1.2727999999999999</v>
      </c>
      <c r="H1002" s="83" t="s">
        <v>88</v>
      </c>
    </row>
    <row r="1003" spans="1:8" ht="16.5" customHeight="1" x14ac:dyDescent="0.25">
      <c r="A1003" s="27">
        <v>45769</v>
      </c>
      <c r="B1003" s="80">
        <v>2025</v>
      </c>
      <c r="C1003" s="80">
        <v>4</v>
      </c>
      <c r="D1003" s="30" t="s">
        <v>45</v>
      </c>
      <c r="E1003" s="30" t="s">
        <v>50</v>
      </c>
      <c r="F1003" s="30" t="s">
        <v>58</v>
      </c>
      <c r="G1003" s="33">
        <v>0.61988799999999999</v>
      </c>
      <c r="H1003" s="83" t="s">
        <v>88</v>
      </c>
    </row>
    <row r="1004" spans="1:8" ht="16.5" customHeight="1" x14ac:dyDescent="0.25">
      <c r="A1004" s="27">
        <v>45769</v>
      </c>
      <c r="B1004" s="80">
        <v>2025</v>
      </c>
      <c r="C1004" s="80">
        <v>4</v>
      </c>
      <c r="D1004" s="30" t="s">
        <v>45</v>
      </c>
      <c r="E1004" s="30" t="s">
        <v>54</v>
      </c>
      <c r="F1004" s="30" t="s">
        <v>43</v>
      </c>
      <c r="G1004" s="33">
        <v>43.922499999999999</v>
      </c>
      <c r="H1004" s="83" t="s">
        <v>88</v>
      </c>
    </row>
    <row r="1005" spans="1:8" ht="16.5" customHeight="1" x14ac:dyDescent="0.25">
      <c r="A1005" s="27">
        <v>45770</v>
      </c>
      <c r="B1005" s="80">
        <v>2025</v>
      </c>
      <c r="C1005" s="80">
        <v>4</v>
      </c>
      <c r="D1005" s="30" t="s">
        <v>45</v>
      </c>
      <c r="E1005" s="30" t="s">
        <v>38</v>
      </c>
      <c r="F1005" s="30" t="s">
        <v>43</v>
      </c>
      <c r="G1005" s="33">
        <v>1.7975000000000001</v>
      </c>
      <c r="H1005" s="83" t="s">
        <v>88</v>
      </c>
    </row>
    <row r="1006" spans="1:8" ht="16.5" customHeight="1" x14ac:dyDescent="0.25">
      <c r="A1006" s="27">
        <v>45770</v>
      </c>
      <c r="B1006" s="80">
        <v>2025</v>
      </c>
      <c r="C1006" s="80">
        <v>4</v>
      </c>
      <c r="D1006" s="30" t="s">
        <v>45</v>
      </c>
      <c r="E1006" s="30" t="s">
        <v>46</v>
      </c>
      <c r="F1006" s="30" t="s">
        <v>43</v>
      </c>
      <c r="G1006" s="33">
        <v>1.060392</v>
      </c>
      <c r="H1006" s="83" t="s">
        <v>88</v>
      </c>
    </row>
    <row r="1007" spans="1:8" ht="16.5" customHeight="1" x14ac:dyDescent="0.25">
      <c r="A1007" s="27">
        <v>45770</v>
      </c>
      <c r="B1007" s="80">
        <v>2025</v>
      </c>
      <c r="C1007" s="80">
        <v>4</v>
      </c>
      <c r="D1007" s="30" t="s">
        <v>45</v>
      </c>
      <c r="E1007" s="30" t="s">
        <v>46</v>
      </c>
      <c r="F1007" s="30" t="s">
        <v>47</v>
      </c>
      <c r="G1007" s="33">
        <v>0.11752</v>
      </c>
      <c r="H1007" s="83" t="s">
        <v>88</v>
      </c>
    </row>
    <row r="1008" spans="1:8" ht="16.5" customHeight="1" x14ac:dyDescent="0.25">
      <c r="A1008" s="27">
        <v>45770</v>
      </c>
      <c r="B1008" s="80">
        <v>2025</v>
      </c>
      <c r="C1008" s="80">
        <v>4</v>
      </c>
      <c r="D1008" s="30" t="s">
        <v>45</v>
      </c>
      <c r="E1008" s="30" t="s">
        <v>46</v>
      </c>
      <c r="F1008" s="30" t="s">
        <v>51</v>
      </c>
      <c r="G1008" s="33">
        <v>0.28476000000000001</v>
      </c>
      <c r="H1008" s="83" t="s">
        <v>88</v>
      </c>
    </row>
    <row r="1009" spans="1:8" ht="16.5" customHeight="1" x14ac:dyDescent="0.25">
      <c r="A1009" s="27">
        <v>45770</v>
      </c>
      <c r="B1009" s="80">
        <v>2025</v>
      </c>
      <c r="C1009" s="80">
        <v>4</v>
      </c>
      <c r="D1009" s="30" t="s">
        <v>45</v>
      </c>
      <c r="E1009" s="30" t="s">
        <v>50</v>
      </c>
      <c r="F1009" s="30" t="s">
        <v>43</v>
      </c>
      <c r="G1009" s="33">
        <v>27.886866850000001</v>
      </c>
      <c r="H1009" s="83" t="s">
        <v>88</v>
      </c>
    </row>
    <row r="1010" spans="1:8" ht="16.5" customHeight="1" x14ac:dyDescent="0.25">
      <c r="A1010" s="27">
        <v>45770</v>
      </c>
      <c r="B1010" s="80">
        <v>2025</v>
      </c>
      <c r="C1010" s="80">
        <v>4</v>
      </c>
      <c r="D1010" s="30" t="s">
        <v>45</v>
      </c>
      <c r="E1010" s="30" t="s">
        <v>50</v>
      </c>
      <c r="F1010" s="30" t="s">
        <v>47</v>
      </c>
      <c r="G1010" s="33">
        <v>6.2345819999999996</v>
      </c>
      <c r="H1010" s="83" t="s">
        <v>88</v>
      </c>
    </row>
    <row r="1011" spans="1:8" ht="16.5" customHeight="1" x14ac:dyDescent="0.25">
      <c r="A1011" s="27">
        <v>45770</v>
      </c>
      <c r="B1011" s="80">
        <v>2025</v>
      </c>
      <c r="C1011" s="80">
        <v>4</v>
      </c>
      <c r="D1011" s="30" t="s">
        <v>45</v>
      </c>
      <c r="E1011" s="30" t="s">
        <v>50</v>
      </c>
      <c r="F1011" s="30" t="s">
        <v>58</v>
      </c>
      <c r="G1011" s="33">
        <v>4.5945795</v>
      </c>
      <c r="H1011" s="83" t="s">
        <v>88</v>
      </c>
    </row>
    <row r="1012" spans="1:8" ht="16.5" customHeight="1" x14ac:dyDescent="0.25">
      <c r="A1012" s="27">
        <v>45770</v>
      </c>
      <c r="B1012" s="80">
        <v>2025</v>
      </c>
      <c r="C1012" s="80">
        <v>4</v>
      </c>
      <c r="D1012" s="30" t="s">
        <v>45</v>
      </c>
      <c r="E1012" s="30" t="s">
        <v>54</v>
      </c>
      <c r="F1012" s="30" t="s">
        <v>43</v>
      </c>
      <c r="G1012" s="33">
        <v>5.2210000000000001</v>
      </c>
      <c r="H1012" s="83" t="s">
        <v>88</v>
      </c>
    </row>
    <row r="1013" spans="1:8" ht="16.5" customHeight="1" x14ac:dyDescent="0.25">
      <c r="A1013" s="27">
        <v>45770</v>
      </c>
      <c r="B1013" s="80">
        <v>2025</v>
      </c>
      <c r="C1013" s="80">
        <v>4</v>
      </c>
      <c r="D1013" s="30" t="s">
        <v>45</v>
      </c>
      <c r="E1013" s="30" t="s">
        <v>57</v>
      </c>
      <c r="F1013" s="30" t="s">
        <v>39</v>
      </c>
      <c r="G1013" s="33">
        <v>57.057000000000002</v>
      </c>
      <c r="H1013" s="83" t="s">
        <v>89</v>
      </c>
    </row>
    <row r="1014" spans="1:8" ht="16.5" customHeight="1" x14ac:dyDescent="0.25">
      <c r="A1014" s="27">
        <v>45770</v>
      </c>
      <c r="B1014" s="80">
        <v>2025</v>
      </c>
      <c r="C1014" s="80">
        <v>4</v>
      </c>
      <c r="D1014" s="30" t="s">
        <v>45</v>
      </c>
      <c r="E1014" s="30" t="s">
        <v>66</v>
      </c>
      <c r="F1014" s="30" t="s">
        <v>43</v>
      </c>
      <c r="G1014" s="33">
        <v>28.959800000000001</v>
      </c>
      <c r="H1014" s="83" t="s">
        <v>89</v>
      </c>
    </row>
    <row r="1015" spans="1:8" ht="16.5" customHeight="1" x14ac:dyDescent="0.25">
      <c r="A1015" s="27">
        <v>45770</v>
      </c>
      <c r="B1015" s="80">
        <v>2025</v>
      </c>
      <c r="C1015" s="80">
        <v>4</v>
      </c>
      <c r="D1015" s="30" t="s">
        <v>45</v>
      </c>
      <c r="E1015" s="30" t="s">
        <v>68</v>
      </c>
      <c r="F1015" s="30" t="s">
        <v>43</v>
      </c>
      <c r="G1015" s="33">
        <v>1.65</v>
      </c>
      <c r="H1015" s="83" t="s">
        <v>89</v>
      </c>
    </row>
    <row r="1016" spans="1:8" ht="16.5" customHeight="1" x14ac:dyDescent="0.25">
      <c r="A1016" s="27">
        <v>45770</v>
      </c>
      <c r="B1016" s="80">
        <v>2025</v>
      </c>
      <c r="C1016" s="80">
        <v>4</v>
      </c>
      <c r="D1016" s="30" t="s">
        <v>45</v>
      </c>
      <c r="E1016" s="30" t="s">
        <v>71</v>
      </c>
      <c r="F1016" s="30" t="s">
        <v>39</v>
      </c>
      <c r="G1016" s="33">
        <v>7.3735200000000001</v>
      </c>
      <c r="H1016" s="83" t="s">
        <v>89</v>
      </c>
    </row>
    <row r="1017" spans="1:8" ht="16.5" customHeight="1" x14ac:dyDescent="0.25">
      <c r="A1017" s="27">
        <v>45770</v>
      </c>
      <c r="B1017" s="80">
        <v>2025</v>
      </c>
      <c r="C1017" s="80">
        <v>4</v>
      </c>
      <c r="D1017" s="30" t="s">
        <v>45</v>
      </c>
      <c r="E1017" s="30" t="s">
        <v>73</v>
      </c>
      <c r="F1017" s="30" t="s">
        <v>39</v>
      </c>
      <c r="G1017" s="33">
        <v>23.070771000000001</v>
      </c>
      <c r="H1017" s="83" t="s">
        <v>89</v>
      </c>
    </row>
    <row r="1018" spans="1:8" ht="16.5" customHeight="1" x14ac:dyDescent="0.25">
      <c r="A1018" s="27">
        <v>45771</v>
      </c>
      <c r="B1018" s="80">
        <v>2025</v>
      </c>
      <c r="C1018" s="80">
        <v>4</v>
      </c>
      <c r="D1018" s="30" t="s">
        <v>45</v>
      </c>
      <c r="E1018" s="30" t="s">
        <v>38</v>
      </c>
      <c r="F1018" s="30" t="s">
        <v>43</v>
      </c>
      <c r="G1018" s="33">
        <v>47.290500000000002</v>
      </c>
      <c r="H1018" s="83" t="s">
        <v>88</v>
      </c>
    </row>
    <row r="1019" spans="1:8" ht="16.5" customHeight="1" x14ac:dyDescent="0.25">
      <c r="A1019" s="27">
        <v>45771</v>
      </c>
      <c r="B1019" s="80">
        <v>2025</v>
      </c>
      <c r="C1019" s="80">
        <v>4</v>
      </c>
      <c r="D1019" s="30" t="s">
        <v>45</v>
      </c>
      <c r="E1019" s="30" t="s">
        <v>46</v>
      </c>
      <c r="F1019" s="30" t="s">
        <v>43</v>
      </c>
      <c r="G1019" s="33">
        <v>2.6957680000000002</v>
      </c>
      <c r="H1019" s="83" t="s">
        <v>88</v>
      </c>
    </row>
    <row r="1020" spans="1:8" ht="16.5" customHeight="1" x14ac:dyDescent="0.25">
      <c r="A1020" s="27">
        <v>45771</v>
      </c>
      <c r="B1020" s="80">
        <v>2025</v>
      </c>
      <c r="C1020" s="80">
        <v>4</v>
      </c>
      <c r="D1020" s="30" t="s">
        <v>45</v>
      </c>
      <c r="E1020" s="30" t="s">
        <v>50</v>
      </c>
      <c r="F1020" s="30" t="s">
        <v>43</v>
      </c>
      <c r="G1020" s="33">
        <v>19.319977600000001</v>
      </c>
      <c r="H1020" s="83" t="s">
        <v>88</v>
      </c>
    </row>
    <row r="1021" spans="1:8" ht="16.5" customHeight="1" x14ac:dyDescent="0.25">
      <c r="A1021" s="27">
        <v>45771</v>
      </c>
      <c r="B1021" s="80">
        <v>2025</v>
      </c>
      <c r="C1021" s="80">
        <v>4</v>
      </c>
      <c r="D1021" s="30" t="s">
        <v>45</v>
      </c>
      <c r="E1021" s="30" t="s">
        <v>54</v>
      </c>
      <c r="F1021" s="30" t="s">
        <v>43</v>
      </c>
      <c r="G1021" s="33">
        <v>2.7774999999999999</v>
      </c>
      <c r="H1021" s="83" t="s">
        <v>88</v>
      </c>
    </row>
    <row r="1022" spans="1:8" ht="16.5" customHeight="1" x14ac:dyDescent="0.25">
      <c r="A1022" s="27">
        <v>45771</v>
      </c>
      <c r="B1022" s="80">
        <v>2025</v>
      </c>
      <c r="C1022" s="80">
        <v>4</v>
      </c>
      <c r="D1022" s="30" t="s">
        <v>45</v>
      </c>
      <c r="E1022" s="30" t="s">
        <v>57</v>
      </c>
      <c r="F1022" s="30" t="s">
        <v>43</v>
      </c>
      <c r="G1022" s="33">
        <v>22.040700000000001</v>
      </c>
      <c r="H1022" s="83" t="s">
        <v>89</v>
      </c>
    </row>
    <row r="1023" spans="1:8" ht="16.5" customHeight="1" x14ac:dyDescent="0.25">
      <c r="A1023" s="27">
        <v>45771</v>
      </c>
      <c r="B1023" s="80">
        <v>2025</v>
      </c>
      <c r="C1023" s="80">
        <v>4</v>
      </c>
      <c r="D1023" s="30" t="s">
        <v>45</v>
      </c>
      <c r="E1023" s="30" t="s">
        <v>66</v>
      </c>
      <c r="F1023" s="30" t="s">
        <v>43</v>
      </c>
      <c r="G1023" s="33">
        <v>3.6592500000000001</v>
      </c>
      <c r="H1023" s="83" t="s">
        <v>89</v>
      </c>
    </row>
    <row r="1024" spans="1:8" ht="16.5" customHeight="1" x14ac:dyDescent="0.25">
      <c r="A1024" s="27">
        <v>45771</v>
      </c>
      <c r="B1024" s="80">
        <v>2025</v>
      </c>
      <c r="C1024" s="80">
        <v>4</v>
      </c>
      <c r="D1024" s="30" t="s">
        <v>45</v>
      </c>
      <c r="E1024" s="30" t="s">
        <v>66</v>
      </c>
      <c r="F1024" s="30" t="s">
        <v>55</v>
      </c>
      <c r="G1024" s="33">
        <v>0.92</v>
      </c>
      <c r="H1024" s="83" t="s">
        <v>89</v>
      </c>
    </row>
    <row r="1025" spans="1:8" ht="16.5" customHeight="1" x14ac:dyDescent="0.25">
      <c r="A1025" s="27">
        <v>45771</v>
      </c>
      <c r="B1025" s="80">
        <v>2025</v>
      </c>
      <c r="C1025" s="80">
        <v>4</v>
      </c>
      <c r="D1025" s="30" t="s">
        <v>45</v>
      </c>
      <c r="E1025" s="30" t="s">
        <v>68</v>
      </c>
      <c r="F1025" s="30" t="s">
        <v>43</v>
      </c>
      <c r="G1025" s="33">
        <v>4.4202500000000002</v>
      </c>
      <c r="H1025" s="83" t="s">
        <v>89</v>
      </c>
    </row>
    <row r="1026" spans="1:8" ht="16.5" customHeight="1" x14ac:dyDescent="0.25">
      <c r="A1026" s="27">
        <v>45771</v>
      </c>
      <c r="B1026" s="80">
        <v>2025</v>
      </c>
      <c r="C1026" s="80">
        <v>4</v>
      </c>
      <c r="D1026" s="30" t="s">
        <v>45</v>
      </c>
      <c r="E1026" s="30" t="s">
        <v>71</v>
      </c>
      <c r="F1026" s="30" t="s">
        <v>43</v>
      </c>
      <c r="G1026" s="33">
        <v>2.35025</v>
      </c>
      <c r="H1026" s="83" t="s">
        <v>89</v>
      </c>
    </row>
    <row r="1027" spans="1:8" ht="16.5" customHeight="1" x14ac:dyDescent="0.25">
      <c r="A1027" s="27">
        <v>45771</v>
      </c>
      <c r="B1027" s="80">
        <v>2025</v>
      </c>
      <c r="C1027" s="80">
        <v>4</v>
      </c>
      <c r="D1027" s="30" t="s">
        <v>45</v>
      </c>
      <c r="E1027" s="30" t="s">
        <v>74</v>
      </c>
      <c r="F1027" s="30" t="s">
        <v>43</v>
      </c>
      <c r="G1027" s="33">
        <v>14.868969</v>
      </c>
      <c r="H1027" s="83" t="s">
        <v>89</v>
      </c>
    </row>
    <row r="1028" spans="1:8" ht="16.5" customHeight="1" x14ac:dyDescent="0.25">
      <c r="A1028" s="27">
        <v>45771</v>
      </c>
      <c r="B1028" s="80">
        <v>2025</v>
      </c>
      <c r="C1028" s="80">
        <v>4</v>
      </c>
      <c r="D1028" s="30" t="s">
        <v>45</v>
      </c>
      <c r="E1028" s="30" t="s">
        <v>75</v>
      </c>
      <c r="F1028" s="30" t="s">
        <v>43</v>
      </c>
      <c r="G1028" s="33">
        <v>1.4648699999999999</v>
      </c>
      <c r="H1028" s="83" t="s">
        <v>48</v>
      </c>
    </row>
    <row r="1029" spans="1:8" ht="16.5" customHeight="1" x14ac:dyDescent="0.25">
      <c r="A1029" s="27">
        <v>45772</v>
      </c>
      <c r="B1029" s="80">
        <v>2025</v>
      </c>
      <c r="C1029" s="80">
        <v>4</v>
      </c>
      <c r="D1029" s="30" t="s">
        <v>45</v>
      </c>
      <c r="E1029" s="30" t="s">
        <v>38</v>
      </c>
      <c r="F1029" s="30" t="s">
        <v>43</v>
      </c>
      <c r="G1029" s="33">
        <v>2.5840000000000001</v>
      </c>
      <c r="H1029" s="83" t="s">
        <v>88</v>
      </c>
    </row>
    <row r="1030" spans="1:8" ht="16.5" customHeight="1" x14ac:dyDescent="0.25">
      <c r="A1030" s="27">
        <v>45772</v>
      </c>
      <c r="B1030" s="80">
        <v>2025</v>
      </c>
      <c r="C1030" s="80">
        <v>4</v>
      </c>
      <c r="D1030" s="30" t="s">
        <v>45</v>
      </c>
      <c r="E1030" s="30" t="s">
        <v>42</v>
      </c>
      <c r="F1030" s="30" t="s">
        <v>43</v>
      </c>
      <c r="G1030" s="33">
        <v>1.3260000000000001</v>
      </c>
      <c r="H1030" s="83" t="s">
        <v>88</v>
      </c>
    </row>
    <row r="1031" spans="1:8" ht="16.5" customHeight="1" x14ac:dyDescent="0.25">
      <c r="A1031" s="27">
        <v>45772</v>
      </c>
      <c r="B1031" s="80">
        <v>2025</v>
      </c>
      <c r="C1031" s="80">
        <v>4</v>
      </c>
      <c r="D1031" s="30" t="s">
        <v>45</v>
      </c>
      <c r="E1031" s="30" t="s">
        <v>46</v>
      </c>
      <c r="F1031" s="30" t="s">
        <v>43</v>
      </c>
      <c r="G1031" s="33">
        <v>11.8324195</v>
      </c>
      <c r="H1031" s="83" t="s">
        <v>88</v>
      </c>
    </row>
    <row r="1032" spans="1:8" ht="16.5" customHeight="1" x14ac:dyDescent="0.25">
      <c r="A1032" s="27">
        <v>45772</v>
      </c>
      <c r="B1032" s="80">
        <v>2025</v>
      </c>
      <c r="C1032" s="80">
        <v>4</v>
      </c>
      <c r="D1032" s="30" t="s">
        <v>45</v>
      </c>
      <c r="E1032" s="30" t="s">
        <v>46</v>
      </c>
      <c r="F1032" s="30" t="s">
        <v>51</v>
      </c>
      <c r="G1032" s="33">
        <v>0.7006</v>
      </c>
      <c r="H1032" s="83" t="s">
        <v>88</v>
      </c>
    </row>
    <row r="1033" spans="1:8" ht="16.5" customHeight="1" x14ac:dyDescent="0.25">
      <c r="A1033" s="27">
        <v>45772</v>
      </c>
      <c r="B1033" s="80">
        <v>2025</v>
      </c>
      <c r="C1033" s="80">
        <v>4</v>
      </c>
      <c r="D1033" s="30" t="s">
        <v>45</v>
      </c>
      <c r="E1033" s="30" t="s">
        <v>50</v>
      </c>
      <c r="F1033" s="30" t="s">
        <v>43</v>
      </c>
      <c r="G1033" s="33">
        <v>9.5781349999999996</v>
      </c>
      <c r="H1033" s="83" t="s">
        <v>88</v>
      </c>
    </row>
    <row r="1034" spans="1:8" ht="16.5" customHeight="1" x14ac:dyDescent="0.25">
      <c r="A1034" s="27">
        <v>45772</v>
      </c>
      <c r="B1034" s="80">
        <v>2025</v>
      </c>
      <c r="C1034" s="80">
        <v>4</v>
      </c>
      <c r="D1034" s="30" t="s">
        <v>45</v>
      </c>
      <c r="E1034" s="30" t="s">
        <v>50</v>
      </c>
      <c r="F1034" s="30" t="s">
        <v>55</v>
      </c>
      <c r="G1034" s="33">
        <v>3.2674560000000001</v>
      </c>
      <c r="H1034" s="83" t="s">
        <v>88</v>
      </c>
    </row>
    <row r="1035" spans="1:8" ht="16.5" customHeight="1" x14ac:dyDescent="0.25">
      <c r="A1035" s="27">
        <v>45772</v>
      </c>
      <c r="B1035" s="80">
        <v>2025</v>
      </c>
      <c r="C1035" s="80">
        <v>4</v>
      </c>
      <c r="D1035" s="30" t="s">
        <v>45</v>
      </c>
      <c r="E1035" s="30" t="s">
        <v>50</v>
      </c>
      <c r="F1035" s="30" t="s">
        <v>58</v>
      </c>
      <c r="G1035" s="33">
        <v>5.6824946120000002</v>
      </c>
      <c r="H1035" s="83" t="s">
        <v>88</v>
      </c>
    </row>
    <row r="1036" spans="1:8" ht="16.5" customHeight="1" x14ac:dyDescent="0.25">
      <c r="A1036" s="27">
        <v>45772</v>
      </c>
      <c r="B1036" s="80">
        <v>2025</v>
      </c>
      <c r="C1036" s="80">
        <v>4</v>
      </c>
      <c r="D1036" s="30" t="s">
        <v>45</v>
      </c>
      <c r="E1036" s="30" t="s">
        <v>54</v>
      </c>
      <c r="F1036" s="30" t="s">
        <v>43</v>
      </c>
      <c r="G1036" s="33">
        <v>3.2284999999999999</v>
      </c>
      <c r="H1036" s="83" t="s">
        <v>88</v>
      </c>
    </row>
    <row r="1037" spans="1:8" ht="16.5" customHeight="1" x14ac:dyDescent="0.25">
      <c r="A1037" s="27">
        <v>45772</v>
      </c>
      <c r="B1037" s="80">
        <v>2025</v>
      </c>
      <c r="C1037" s="80">
        <v>4</v>
      </c>
      <c r="D1037" s="30" t="s">
        <v>45</v>
      </c>
      <c r="E1037" s="30" t="s">
        <v>54</v>
      </c>
      <c r="F1037" s="30" t="s">
        <v>58</v>
      </c>
      <c r="G1037" s="33">
        <v>0.14724999999999999</v>
      </c>
      <c r="H1037" s="83" t="s">
        <v>88</v>
      </c>
    </row>
    <row r="1038" spans="1:8" ht="16.5" customHeight="1" x14ac:dyDescent="0.25">
      <c r="A1038" s="27">
        <v>45772</v>
      </c>
      <c r="B1038" s="80">
        <v>2025</v>
      </c>
      <c r="C1038" s="80">
        <v>4</v>
      </c>
      <c r="D1038" s="30" t="s">
        <v>45</v>
      </c>
      <c r="E1038" s="30" t="s">
        <v>66</v>
      </c>
      <c r="F1038" s="30" t="s">
        <v>43</v>
      </c>
      <c r="G1038" s="33">
        <v>1.218</v>
      </c>
      <c r="H1038" s="83" t="s">
        <v>89</v>
      </c>
    </row>
    <row r="1039" spans="1:8" ht="16.5" customHeight="1" x14ac:dyDescent="0.25">
      <c r="A1039" s="27">
        <v>45772</v>
      </c>
      <c r="B1039" s="80">
        <v>2025</v>
      </c>
      <c r="C1039" s="80">
        <v>4</v>
      </c>
      <c r="D1039" s="30" t="s">
        <v>45</v>
      </c>
      <c r="E1039" s="30" t="s">
        <v>68</v>
      </c>
      <c r="F1039" s="30" t="s">
        <v>43</v>
      </c>
      <c r="G1039" s="33">
        <v>0.45</v>
      </c>
      <c r="H1039" s="83" t="s">
        <v>89</v>
      </c>
    </row>
    <row r="1040" spans="1:8" ht="16.5" customHeight="1" x14ac:dyDescent="0.25">
      <c r="A1040" s="27">
        <v>45772</v>
      </c>
      <c r="B1040" s="80">
        <v>2025</v>
      </c>
      <c r="C1040" s="80">
        <v>4</v>
      </c>
      <c r="D1040" s="30" t="s">
        <v>45</v>
      </c>
      <c r="E1040" s="30" t="s">
        <v>71</v>
      </c>
      <c r="F1040" s="30" t="s">
        <v>43</v>
      </c>
      <c r="G1040" s="33">
        <v>2.3199999999999998</v>
      </c>
      <c r="H1040" s="83" t="s">
        <v>89</v>
      </c>
    </row>
    <row r="1041" spans="1:8" ht="16.5" customHeight="1" x14ac:dyDescent="0.25">
      <c r="A1041" s="27">
        <v>45775</v>
      </c>
      <c r="B1041" s="80">
        <v>2025</v>
      </c>
      <c r="C1041" s="80">
        <v>4</v>
      </c>
      <c r="D1041" s="30" t="s">
        <v>45</v>
      </c>
      <c r="E1041" s="30" t="s">
        <v>38</v>
      </c>
      <c r="F1041" s="30" t="s">
        <v>43</v>
      </c>
      <c r="G1041" s="33">
        <v>1.19</v>
      </c>
      <c r="H1041" s="83" t="s">
        <v>88</v>
      </c>
    </row>
    <row r="1042" spans="1:8" ht="16.5" customHeight="1" x14ac:dyDescent="0.25">
      <c r="A1042" s="27">
        <v>45775</v>
      </c>
      <c r="B1042" s="80">
        <v>2025</v>
      </c>
      <c r="C1042" s="80">
        <v>4</v>
      </c>
      <c r="D1042" s="30" t="s">
        <v>45</v>
      </c>
      <c r="E1042" s="30" t="s">
        <v>42</v>
      </c>
      <c r="F1042" s="30" t="s">
        <v>43</v>
      </c>
      <c r="G1042" s="33">
        <v>1.175</v>
      </c>
      <c r="H1042" s="83" t="s">
        <v>88</v>
      </c>
    </row>
    <row r="1043" spans="1:8" ht="16.5" customHeight="1" x14ac:dyDescent="0.25">
      <c r="A1043" s="27">
        <v>45775</v>
      </c>
      <c r="B1043" s="80">
        <v>2025</v>
      </c>
      <c r="C1043" s="80">
        <v>4</v>
      </c>
      <c r="D1043" s="30" t="s">
        <v>45</v>
      </c>
      <c r="E1043" s="30" t="s">
        <v>46</v>
      </c>
      <c r="F1043" s="30" t="s">
        <v>43</v>
      </c>
      <c r="G1043" s="33">
        <v>1.2862499999999999</v>
      </c>
      <c r="H1043" s="83" t="s">
        <v>88</v>
      </c>
    </row>
    <row r="1044" spans="1:8" ht="16.5" customHeight="1" x14ac:dyDescent="0.25">
      <c r="A1044" s="27">
        <v>45775</v>
      </c>
      <c r="B1044" s="80">
        <v>2025</v>
      </c>
      <c r="C1044" s="80">
        <v>4</v>
      </c>
      <c r="D1044" s="30" t="s">
        <v>45</v>
      </c>
      <c r="E1044" s="30" t="s">
        <v>50</v>
      </c>
      <c r="F1044" s="30" t="s">
        <v>43</v>
      </c>
      <c r="G1044" s="33">
        <v>13.5962669</v>
      </c>
      <c r="H1044" s="83" t="s">
        <v>88</v>
      </c>
    </row>
    <row r="1045" spans="1:8" ht="16.5" customHeight="1" x14ac:dyDescent="0.25">
      <c r="A1045" s="27">
        <v>45775</v>
      </c>
      <c r="B1045" s="80">
        <v>2025</v>
      </c>
      <c r="C1045" s="80">
        <v>4</v>
      </c>
      <c r="D1045" s="30" t="s">
        <v>45</v>
      </c>
      <c r="E1045" s="30" t="s">
        <v>50</v>
      </c>
      <c r="F1045" s="30" t="s">
        <v>55</v>
      </c>
      <c r="G1045" s="33">
        <v>0.72240000000000004</v>
      </c>
      <c r="H1045" s="83" t="s">
        <v>88</v>
      </c>
    </row>
    <row r="1046" spans="1:8" ht="16.5" customHeight="1" x14ac:dyDescent="0.25">
      <c r="A1046" s="27">
        <v>45775</v>
      </c>
      <c r="B1046" s="80">
        <v>2025</v>
      </c>
      <c r="C1046" s="80">
        <v>4</v>
      </c>
      <c r="D1046" s="30" t="s">
        <v>45</v>
      </c>
      <c r="E1046" s="30" t="s">
        <v>50</v>
      </c>
      <c r="F1046" s="30" t="s">
        <v>58</v>
      </c>
      <c r="G1046" s="33">
        <v>0.94330499999999995</v>
      </c>
      <c r="H1046" s="83" t="s">
        <v>88</v>
      </c>
    </row>
    <row r="1047" spans="1:8" ht="16.5" customHeight="1" x14ac:dyDescent="0.25">
      <c r="A1047" s="27">
        <v>45775</v>
      </c>
      <c r="B1047" s="80">
        <v>2025</v>
      </c>
      <c r="C1047" s="80">
        <v>4</v>
      </c>
      <c r="D1047" s="30" t="s">
        <v>45</v>
      </c>
      <c r="E1047" s="30" t="s">
        <v>54</v>
      </c>
      <c r="F1047" s="30" t="s">
        <v>43</v>
      </c>
      <c r="G1047" s="33">
        <v>20.649450000000002</v>
      </c>
      <c r="H1047" s="83" t="s">
        <v>88</v>
      </c>
    </row>
    <row r="1048" spans="1:8" ht="16.5" customHeight="1" x14ac:dyDescent="0.25">
      <c r="A1048" s="27">
        <v>45775</v>
      </c>
      <c r="B1048" s="80">
        <v>2025</v>
      </c>
      <c r="C1048" s="80">
        <v>4</v>
      </c>
      <c r="D1048" s="30" t="s">
        <v>45</v>
      </c>
      <c r="E1048" s="30" t="s">
        <v>61</v>
      </c>
      <c r="F1048" s="30" t="s">
        <v>43</v>
      </c>
      <c r="G1048" s="33">
        <v>0.90159999999999996</v>
      </c>
      <c r="H1048" s="83" t="s">
        <v>89</v>
      </c>
    </row>
    <row r="1049" spans="1:8" ht="16.5" customHeight="1" x14ac:dyDescent="0.25">
      <c r="A1049" s="27">
        <v>45775</v>
      </c>
      <c r="B1049" s="80">
        <v>2025</v>
      </c>
      <c r="C1049" s="80">
        <v>4</v>
      </c>
      <c r="D1049" s="30" t="s">
        <v>45</v>
      </c>
      <c r="E1049" s="30" t="s">
        <v>66</v>
      </c>
      <c r="F1049" s="30" t="s">
        <v>43</v>
      </c>
      <c r="G1049" s="33">
        <v>6.9046000000000003</v>
      </c>
      <c r="H1049" s="83" t="s">
        <v>89</v>
      </c>
    </row>
    <row r="1050" spans="1:8" ht="16.5" customHeight="1" x14ac:dyDescent="0.25">
      <c r="A1050" s="27">
        <v>45775</v>
      </c>
      <c r="B1050" s="80">
        <v>2025</v>
      </c>
      <c r="C1050" s="80">
        <v>4</v>
      </c>
      <c r="D1050" s="30" t="s">
        <v>45</v>
      </c>
      <c r="E1050" s="30" t="s">
        <v>68</v>
      </c>
      <c r="F1050" s="30" t="s">
        <v>43</v>
      </c>
      <c r="G1050" s="33">
        <v>7.5780000000000003</v>
      </c>
      <c r="H1050" s="83" t="s">
        <v>89</v>
      </c>
    </row>
    <row r="1051" spans="1:8" ht="16.5" customHeight="1" x14ac:dyDescent="0.25">
      <c r="A1051" s="27">
        <v>45775</v>
      </c>
      <c r="B1051" s="80">
        <v>2025</v>
      </c>
      <c r="C1051" s="80">
        <v>4</v>
      </c>
      <c r="D1051" s="30" t="s">
        <v>45</v>
      </c>
      <c r="E1051" s="30" t="s">
        <v>71</v>
      </c>
      <c r="F1051" s="30" t="s">
        <v>43</v>
      </c>
      <c r="G1051" s="33">
        <v>4.7789999999999999</v>
      </c>
      <c r="H1051" s="83" t="s">
        <v>89</v>
      </c>
    </row>
    <row r="1052" spans="1:8" ht="16.5" customHeight="1" x14ac:dyDescent="0.25">
      <c r="A1052" s="27">
        <v>45775</v>
      </c>
      <c r="B1052" s="80">
        <v>2025</v>
      </c>
      <c r="C1052" s="80">
        <v>4</v>
      </c>
      <c r="D1052" s="30" t="s">
        <v>45</v>
      </c>
      <c r="E1052" s="30" t="s">
        <v>71</v>
      </c>
      <c r="F1052" s="30" t="s">
        <v>55</v>
      </c>
      <c r="G1052" s="33">
        <v>1.29</v>
      </c>
      <c r="H1052" s="83" t="s">
        <v>89</v>
      </c>
    </row>
    <row r="1053" spans="1:8" ht="16.5" customHeight="1" x14ac:dyDescent="0.25">
      <c r="A1053" s="27">
        <v>45776</v>
      </c>
      <c r="B1053" s="80">
        <v>2025</v>
      </c>
      <c r="C1053" s="80">
        <v>4</v>
      </c>
      <c r="D1053" s="30" t="s">
        <v>45</v>
      </c>
      <c r="E1053" s="30" t="s">
        <v>50</v>
      </c>
      <c r="F1053" s="30" t="s">
        <v>43</v>
      </c>
      <c r="G1053" s="33">
        <v>10.219175999999999</v>
      </c>
      <c r="H1053" s="83" t="s">
        <v>88</v>
      </c>
    </row>
    <row r="1054" spans="1:8" ht="16.5" customHeight="1" x14ac:dyDescent="0.25">
      <c r="A1054" s="27">
        <v>45776</v>
      </c>
      <c r="B1054" s="80">
        <v>2025</v>
      </c>
      <c r="C1054" s="80">
        <v>4</v>
      </c>
      <c r="D1054" s="30" t="s">
        <v>45</v>
      </c>
      <c r="E1054" s="30" t="s">
        <v>50</v>
      </c>
      <c r="F1054" s="30" t="s">
        <v>55</v>
      </c>
      <c r="G1054" s="33">
        <v>4.11564</v>
      </c>
      <c r="H1054" s="83" t="s">
        <v>88</v>
      </c>
    </row>
    <row r="1055" spans="1:8" ht="16.5" customHeight="1" x14ac:dyDescent="0.25">
      <c r="A1055" s="27">
        <v>45776</v>
      </c>
      <c r="B1055" s="80">
        <v>2025</v>
      </c>
      <c r="C1055" s="80">
        <v>4</v>
      </c>
      <c r="D1055" s="30" t="s">
        <v>45</v>
      </c>
      <c r="E1055" s="30" t="s">
        <v>50</v>
      </c>
      <c r="F1055" s="30" t="s">
        <v>58</v>
      </c>
      <c r="G1055" s="33">
        <v>3.0840480000000001</v>
      </c>
      <c r="H1055" s="83" t="s">
        <v>88</v>
      </c>
    </row>
    <row r="1056" spans="1:8" ht="16.5" customHeight="1" x14ac:dyDescent="0.25">
      <c r="A1056" s="27">
        <v>45776</v>
      </c>
      <c r="B1056" s="80">
        <v>2025</v>
      </c>
      <c r="C1056" s="80">
        <v>4</v>
      </c>
      <c r="D1056" s="30" t="s">
        <v>45</v>
      </c>
      <c r="E1056" s="30" t="s">
        <v>54</v>
      </c>
      <c r="F1056" s="30" t="s">
        <v>43</v>
      </c>
      <c r="G1056" s="33">
        <v>4.1135000000000002</v>
      </c>
      <c r="H1056" s="83" t="s">
        <v>88</v>
      </c>
    </row>
    <row r="1057" spans="1:8" ht="16.5" customHeight="1" x14ac:dyDescent="0.25">
      <c r="A1057" s="27">
        <v>45776</v>
      </c>
      <c r="B1057" s="80">
        <v>2025</v>
      </c>
      <c r="C1057" s="80">
        <v>4</v>
      </c>
      <c r="D1057" s="30" t="s">
        <v>45</v>
      </c>
      <c r="E1057" s="30" t="s">
        <v>66</v>
      </c>
      <c r="F1057" s="30" t="s">
        <v>43</v>
      </c>
      <c r="G1057" s="33">
        <v>25.751000000000001</v>
      </c>
      <c r="H1057" s="83" t="s">
        <v>89</v>
      </c>
    </row>
    <row r="1058" spans="1:8" ht="16.5" customHeight="1" x14ac:dyDescent="0.25">
      <c r="A1058" s="27">
        <v>45776</v>
      </c>
      <c r="B1058" s="80">
        <v>2025</v>
      </c>
      <c r="C1058" s="80">
        <v>4</v>
      </c>
      <c r="D1058" s="30" t="s">
        <v>45</v>
      </c>
      <c r="E1058" s="30" t="s">
        <v>68</v>
      </c>
      <c r="F1058" s="30" t="s">
        <v>43</v>
      </c>
      <c r="G1058" s="33">
        <v>2.7160000000000002</v>
      </c>
      <c r="H1058" s="83" t="s">
        <v>89</v>
      </c>
    </row>
    <row r="1059" spans="1:8" ht="16.5" customHeight="1" x14ac:dyDescent="0.25">
      <c r="A1059" s="27">
        <v>45776</v>
      </c>
      <c r="B1059" s="80">
        <v>2025</v>
      </c>
      <c r="C1059" s="80">
        <v>4</v>
      </c>
      <c r="D1059" s="30" t="s">
        <v>45</v>
      </c>
      <c r="E1059" s="30" t="s">
        <v>71</v>
      </c>
      <c r="F1059" s="30" t="s">
        <v>43</v>
      </c>
      <c r="G1059" s="33">
        <v>12.648350000000001</v>
      </c>
      <c r="H1059" s="83" t="s">
        <v>89</v>
      </c>
    </row>
    <row r="1060" spans="1:8" ht="16.5" customHeight="1" x14ac:dyDescent="0.25">
      <c r="A1060" s="27">
        <v>45776</v>
      </c>
      <c r="B1060" s="80">
        <v>2025</v>
      </c>
      <c r="C1060" s="80">
        <v>4</v>
      </c>
      <c r="D1060" s="30" t="s">
        <v>45</v>
      </c>
      <c r="E1060" s="30" t="s">
        <v>75</v>
      </c>
      <c r="F1060" s="30" t="s">
        <v>43</v>
      </c>
      <c r="G1060" s="33">
        <v>101.07677</v>
      </c>
      <c r="H1060" s="83" t="s">
        <v>48</v>
      </c>
    </row>
    <row r="1061" spans="1:8" ht="16.5" customHeight="1" x14ac:dyDescent="0.25">
      <c r="A1061" s="27">
        <v>45777</v>
      </c>
      <c r="B1061" s="80">
        <v>2025</v>
      </c>
      <c r="C1061" s="80">
        <v>4</v>
      </c>
      <c r="D1061" s="30" t="s">
        <v>45</v>
      </c>
      <c r="E1061" s="30" t="s">
        <v>38</v>
      </c>
      <c r="F1061" s="30" t="s">
        <v>43</v>
      </c>
      <c r="G1061" s="33">
        <v>1.83565</v>
      </c>
      <c r="H1061" s="83" t="s">
        <v>88</v>
      </c>
    </row>
    <row r="1062" spans="1:8" ht="16.5" customHeight="1" x14ac:dyDescent="0.25">
      <c r="A1062" s="27">
        <v>45777</v>
      </c>
      <c r="B1062" s="80">
        <v>2025</v>
      </c>
      <c r="C1062" s="80">
        <v>4</v>
      </c>
      <c r="D1062" s="30" t="s">
        <v>45</v>
      </c>
      <c r="E1062" s="30" t="s">
        <v>38</v>
      </c>
      <c r="F1062" s="30" t="s">
        <v>55</v>
      </c>
      <c r="G1062" s="33">
        <v>2.5676000000000001</v>
      </c>
      <c r="H1062" s="83" t="s">
        <v>88</v>
      </c>
    </row>
    <row r="1063" spans="1:8" ht="16.5" customHeight="1" x14ac:dyDescent="0.25">
      <c r="A1063" s="27">
        <v>45777</v>
      </c>
      <c r="B1063" s="80">
        <v>2025</v>
      </c>
      <c r="C1063" s="80">
        <v>4</v>
      </c>
      <c r="D1063" s="30" t="s">
        <v>45</v>
      </c>
      <c r="E1063" s="30" t="s">
        <v>38</v>
      </c>
      <c r="F1063" s="30" t="s">
        <v>58</v>
      </c>
      <c r="G1063" s="33">
        <v>0.54910000000000003</v>
      </c>
      <c r="H1063" s="83" t="s">
        <v>88</v>
      </c>
    </row>
    <row r="1064" spans="1:8" ht="16.5" customHeight="1" x14ac:dyDescent="0.25">
      <c r="A1064" s="27">
        <v>45777</v>
      </c>
      <c r="B1064" s="80">
        <v>2025</v>
      </c>
      <c r="C1064" s="80">
        <v>4</v>
      </c>
      <c r="D1064" s="30" t="s">
        <v>45</v>
      </c>
      <c r="E1064" s="30" t="s">
        <v>42</v>
      </c>
      <c r="F1064" s="30" t="s">
        <v>43</v>
      </c>
      <c r="G1064" s="33">
        <v>9.9345999999999997</v>
      </c>
      <c r="H1064" s="83" t="s">
        <v>88</v>
      </c>
    </row>
    <row r="1065" spans="1:8" ht="16.5" customHeight="1" x14ac:dyDescent="0.25">
      <c r="A1065" s="27">
        <v>45777</v>
      </c>
      <c r="B1065" s="80">
        <v>2025</v>
      </c>
      <c r="C1065" s="80">
        <v>4</v>
      </c>
      <c r="D1065" s="30" t="s">
        <v>45</v>
      </c>
      <c r="E1065" s="30" t="s">
        <v>42</v>
      </c>
      <c r="F1065" s="30" t="s">
        <v>55</v>
      </c>
      <c r="G1065" s="33">
        <v>0.35</v>
      </c>
      <c r="H1065" s="83" t="s">
        <v>88</v>
      </c>
    </row>
    <row r="1066" spans="1:8" ht="16.5" customHeight="1" x14ac:dyDescent="0.25">
      <c r="A1066" s="27">
        <v>45777</v>
      </c>
      <c r="B1066" s="80">
        <v>2025</v>
      </c>
      <c r="C1066" s="80">
        <v>4</v>
      </c>
      <c r="D1066" s="30" t="s">
        <v>45</v>
      </c>
      <c r="E1066" s="30" t="s">
        <v>46</v>
      </c>
      <c r="F1066" s="30" t="s">
        <v>43</v>
      </c>
      <c r="G1066" s="33">
        <v>6.0846510299999998</v>
      </c>
      <c r="H1066" s="83" t="s">
        <v>88</v>
      </c>
    </row>
    <row r="1067" spans="1:8" ht="16.5" customHeight="1" x14ac:dyDescent="0.25">
      <c r="A1067" s="27">
        <v>45777</v>
      </c>
      <c r="B1067" s="80">
        <v>2025</v>
      </c>
      <c r="C1067" s="80">
        <v>4</v>
      </c>
      <c r="D1067" s="30" t="s">
        <v>45</v>
      </c>
      <c r="E1067" s="30" t="s">
        <v>50</v>
      </c>
      <c r="F1067" s="30" t="s">
        <v>39</v>
      </c>
      <c r="G1067" s="33">
        <v>5.0322924999999996</v>
      </c>
      <c r="H1067" s="83" t="s">
        <v>88</v>
      </c>
    </row>
    <row r="1068" spans="1:8" ht="16.5" customHeight="1" x14ac:dyDescent="0.25">
      <c r="A1068" s="27">
        <v>45777</v>
      </c>
      <c r="B1068" s="80">
        <v>2025</v>
      </c>
      <c r="C1068" s="80">
        <v>4</v>
      </c>
      <c r="D1068" s="30" t="s">
        <v>45</v>
      </c>
      <c r="E1068" s="30" t="s">
        <v>50</v>
      </c>
      <c r="F1068" s="30" t="s">
        <v>43</v>
      </c>
      <c r="G1068" s="33">
        <v>127.77654769999999</v>
      </c>
      <c r="H1068" s="83" t="s">
        <v>88</v>
      </c>
    </row>
    <row r="1069" spans="1:8" ht="16.5" customHeight="1" x14ac:dyDescent="0.25">
      <c r="A1069" s="27">
        <v>45777</v>
      </c>
      <c r="B1069" s="80">
        <v>2025</v>
      </c>
      <c r="C1069" s="80">
        <v>4</v>
      </c>
      <c r="D1069" s="30" t="s">
        <v>45</v>
      </c>
      <c r="E1069" s="30" t="s">
        <v>50</v>
      </c>
      <c r="F1069" s="30" t="s">
        <v>47</v>
      </c>
      <c r="G1069" s="33">
        <v>0.62160000000000004</v>
      </c>
      <c r="H1069" s="83" t="s">
        <v>88</v>
      </c>
    </row>
    <row r="1070" spans="1:8" ht="16.5" customHeight="1" x14ac:dyDescent="0.25">
      <c r="A1070" s="27">
        <v>45777</v>
      </c>
      <c r="B1070" s="80">
        <v>2025</v>
      </c>
      <c r="C1070" s="80">
        <v>4</v>
      </c>
      <c r="D1070" s="30" t="s">
        <v>45</v>
      </c>
      <c r="E1070" s="30" t="s">
        <v>50</v>
      </c>
      <c r="F1070" s="30" t="s">
        <v>51</v>
      </c>
      <c r="G1070" s="33">
        <v>0.25800000000000001</v>
      </c>
      <c r="H1070" s="83" t="s">
        <v>88</v>
      </c>
    </row>
    <row r="1071" spans="1:8" ht="16.5" customHeight="1" x14ac:dyDescent="0.25">
      <c r="A1071" s="27">
        <v>45777</v>
      </c>
      <c r="B1071" s="80">
        <v>2025</v>
      </c>
      <c r="C1071" s="80">
        <v>4</v>
      </c>
      <c r="D1071" s="30" t="s">
        <v>45</v>
      </c>
      <c r="E1071" s="30" t="s">
        <v>54</v>
      </c>
      <c r="F1071" s="30" t="s">
        <v>43</v>
      </c>
      <c r="G1071" s="33">
        <v>9.7149999999999999</v>
      </c>
      <c r="H1071" s="83" t="s">
        <v>88</v>
      </c>
    </row>
    <row r="1072" spans="1:8" ht="16.5" customHeight="1" x14ac:dyDescent="0.25">
      <c r="A1072" s="27">
        <v>45777</v>
      </c>
      <c r="B1072" s="80">
        <v>2025</v>
      </c>
      <c r="C1072" s="80">
        <v>4</v>
      </c>
      <c r="D1072" s="30" t="s">
        <v>45</v>
      </c>
      <c r="E1072" s="30" t="s">
        <v>54</v>
      </c>
      <c r="F1072" s="30" t="s">
        <v>51</v>
      </c>
      <c r="G1072" s="33">
        <v>3.08</v>
      </c>
      <c r="H1072" s="83" t="s">
        <v>88</v>
      </c>
    </row>
    <row r="1073" spans="1:8" ht="16.5" customHeight="1" x14ac:dyDescent="0.25">
      <c r="A1073" s="27">
        <v>45777</v>
      </c>
      <c r="B1073" s="80">
        <v>2025</v>
      </c>
      <c r="C1073" s="80">
        <v>4</v>
      </c>
      <c r="D1073" s="30" t="s">
        <v>45</v>
      </c>
      <c r="E1073" s="30" t="s">
        <v>68</v>
      </c>
      <c r="F1073" s="30" t="s">
        <v>43</v>
      </c>
      <c r="G1073" s="33">
        <v>4.6574999999999998</v>
      </c>
      <c r="H1073" s="83" t="s">
        <v>89</v>
      </c>
    </row>
    <row r="1074" spans="1:8" ht="16.5" customHeight="1" x14ac:dyDescent="0.25">
      <c r="A1074" s="27">
        <v>45778</v>
      </c>
      <c r="B1074" s="80">
        <v>2025</v>
      </c>
      <c r="C1074" s="80">
        <v>5</v>
      </c>
      <c r="D1074" s="30" t="s">
        <v>7</v>
      </c>
      <c r="E1074" s="30" t="s">
        <v>50</v>
      </c>
      <c r="F1074" s="30" t="s">
        <v>47</v>
      </c>
      <c r="G1074" s="33">
        <v>2.1756000000000002</v>
      </c>
      <c r="H1074" s="83" t="s">
        <v>88</v>
      </c>
    </row>
    <row r="1075" spans="1:8" ht="16.5" customHeight="1" x14ac:dyDescent="0.25">
      <c r="A1075" s="27">
        <v>45779</v>
      </c>
      <c r="B1075" s="80">
        <v>2025</v>
      </c>
      <c r="C1075" s="80">
        <v>5</v>
      </c>
      <c r="D1075" s="30" t="s">
        <v>7</v>
      </c>
      <c r="E1075" s="30" t="s">
        <v>38</v>
      </c>
      <c r="F1075" s="30" t="s">
        <v>43</v>
      </c>
      <c r="G1075" s="33">
        <v>0.56000000000000005</v>
      </c>
      <c r="H1075" s="83" t="s">
        <v>88</v>
      </c>
    </row>
    <row r="1076" spans="1:8" ht="16.5" customHeight="1" x14ac:dyDescent="0.25">
      <c r="A1076" s="27">
        <v>45779</v>
      </c>
      <c r="B1076" s="80">
        <v>2025</v>
      </c>
      <c r="C1076" s="80">
        <v>5</v>
      </c>
      <c r="D1076" s="30" t="s">
        <v>7</v>
      </c>
      <c r="E1076" s="30" t="s">
        <v>50</v>
      </c>
      <c r="F1076" s="30" t="s">
        <v>43</v>
      </c>
      <c r="G1076" s="33">
        <v>5.4091516500000001</v>
      </c>
      <c r="H1076" s="83" t="s">
        <v>88</v>
      </c>
    </row>
    <row r="1077" spans="1:8" ht="16.5" customHeight="1" x14ac:dyDescent="0.25">
      <c r="A1077" s="27">
        <v>45779</v>
      </c>
      <c r="B1077" s="80">
        <v>2025</v>
      </c>
      <c r="C1077" s="80">
        <v>5</v>
      </c>
      <c r="D1077" s="30" t="s">
        <v>7</v>
      </c>
      <c r="E1077" s="30" t="s">
        <v>66</v>
      </c>
      <c r="F1077" s="30" t="s">
        <v>43</v>
      </c>
      <c r="G1077" s="33">
        <v>2.8860000000000001</v>
      </c>
      <c r="H1077" s="83" t="s">
        <v>89</v>
      </c>
    </row>
    <row r="1078" spans="1:8" ht="16.5" customHeight="1" x14ac:dyDescent="0.25">
      <c r="A1078" s="27">
        <v>45779</v>
      </c>
      <c r="B1078" s="80">
        <v>2025</v>
      </c>
      <c r="C1078" s="80">
        <v>5</v>
      </c>
      <c r="D1078" s="30" t="s">
        <v>7</v>
      </c>
      <c r="E1078" s="30" t="s">
        <v>74</v>
      </c>
      <c r="F1078" s="30" t="s">
        <v>43</v>
      </c>
      <c r="G1078" s="33">
        <v>29.837900000000001</v>
      </c>
      <c r="H1078" s="83" t="s">
        <v>89</v>
      </c>
    </row>
    <row r="1079" spans="1:8" ht="16.5" customHeight="1" x14ac:dyDescent="0.25">
      <c r="A1079" s="27">
        <v>45779</v>
      </c>
      <c r="B1079" s="80">
        <v>2025</v>
      </c>
      <c r="C1079" s="80">
        <v>5</v>
      </c>
      <c r="D1079" s="30" t="s">
        <v>7</v>
      </c>
      <c r="E1079" s="30" t="s">
        <v>76</v>
      </c>
      <c r="F1079" s="30" t="s">
        <v>43</v>
      </c>
      <c r="G1079" s="33">
        <v>115.754</v>
      </c>
      <c r="H1079" s="83" t="s">
        <v>48</v>
      </c>
    </row>
    <row r="1080" spans="1:8" ht="16.5" customHeight="1" x14ac:dyDescent="0.25">
      <c r="A1080" s="27">
        <v>45780</v>
      </c>
      <c r="B1080" s="80">
        <v>2025</v>
      </c>
      <c r="C1080" s="80">
        <v>5</v>
      </c>
      <c r="D1080" s="30" t="s">
        <v>7</v>
      </c>
      <c r="E1080" s="30" t="s">
        <v>50</v>
      </c>
      <c r="F1080" s="30" t="s">
        <v>51</v>
      </c>
      <c r="G1080" s="33">
        <v>0.50739999999999996</v>
      </c>
      <c r="H1080" s="83" t="s">
        <v>88</v>
      </c>
    </row>
    <row r="1081" spans="1:8" ht="16.5" customHeight="1" x14ac:dyDescent="0.25">
      <c r="A1081" s="27">
        <v>45780</v>
      </c>
      <c r="B1081" s="80">
        <v>2025</v>
      </c>
      <c r="C1081" s="80">
        <v>5</v>
      </c>
      <c r="D1081" s="30" t="s">
        <v>7</v>
      </c>
      <c r="E1081" s="30" t="s">
        <v>50</v>
      </c>
      <c r="F1081" s="30" t="s">
        <v>58</v>
      </c>
      <c r="G1081" s="33">
        <v>3.0099999999999998E-2</v>
      </c>
      <c r="H1081" s="83" t="s">
        <v>88</v>
      </c>
    </row>
    <row r="1082" spans="1:8" ht="16.5" customHeight="1" x14ac:dyDescent="0.25">
      <c r="A1082" s="27">
        <v>45782</v>
      </c>
      <c r="B1082" s="80">
        <v>2025</v>
      </c>
      <c r="C1082" s="80">
        <v>5</v>
      </c>
      <c r="D1082" s="30" t="s">
        <v>7</v>
      </c>
      <c r="E1082" s="30" t="s">
        <v>38</v>
      </c>
      <c r="F1082" s="30" t="s">
        <v>43</v>
      </c>
      <c r="G1082" s="33">
        <v>5.3567999999999998</v>
      </c>
      <c r="H1082" s="83" t="s">
        <v>88</v>
      </c>
    </row>
    <row r="1083" spans="1:8" ht="16.5" customHeight="1" x14ac:dyDescent="0.25">
      <c r="A1083" s="27">
        <v>45782</v>
      </c>
      <c r="B1083" s="80">
        <v>2025</v>
      </c>
      <c r="C1083" s="80">
        <v>5</v>
      </c>
      <c r="D1083" s="30" t="s">
        <v>7</v>
      </c>
      <c r="E1083" s="30" t="s">
        <v>46</v>
      </c>
      <c r="F1083" s="30" t="s">
        <v>43</v>
      </c>
      <c r="G1083" s="33">
        <v>3.8405271999999999</v>
      </c>
      <c r="H1083" s="83" t="s">
        <v>88</v>
      </c>
    </row>
    <row r="1084" spans="1:8" ht="16.5" customHeight="1" x14ac:dyDescent="0.25">
      <c r="A1084" s="27">
        <v>45782</v>
      </c>
      <c r="B1084" s="80">
        <v>2025</v>
      </c>
      <c r="C1084" s="80">
        <v>5</v>
      </c>
      <c r="D1084" s="30" t="s">
        <v>7</v>
      </c>
      <c r="E1084" s="30" t="s">
        <v>46</v>
      </c>
      <c r="F1084" s="30" t="s">
        <v>55</v>
      </c>
      <c r="G1084" s="33">
        <v>0.32595000000000002</v>
      </c>
      <c r="H1084" s="83" t="s">
        <v>88</v>
      </c>
    </row>
    <row r="1085" spans="1:8" ht="16.5" customHeight="1" x14ac:dyDescent="0.25">
      <c r="A1085" s="27">
        <v>45782</v>
      </c>
      <c r="B1085" s="80">
        <v>2025</v>
      </c>
      <c r="C1085" s="80">
        <v>5</v>
      </c>
      <c r="D1085" s="30" t="s">
        <v>7</v>
      </c>
      <c r="E1085" s="30" t="s">
        <v>46</v>
      </c>
      <c r="F1085" s="30" t="s">
        <v>58</v>
      </c>
      <c r="G1085" s="33">
        <v>0.40950449999999999</v>
      </c>
      <c r="H1085" s="83" t="s">
        <v>88</v>
      </c>
    </row>
    <row r="1086" spans="1:8" ht="16.5" customHeight="1" x14ac:dyDescent="0.25">
      <c r="A1086" s="27">
        <v>45782</v>
      </c>
      <c r="B1086" s="80">
        <v>2025</v>
      </c>
      <c r="C1086" s="80">
        <v>5</v>
      </c>
      <c r="D1086" s="30" t="s">
        <v>7</v>
      </c>
      <c r="E1086" s="30" t="s">
        <v>50</v>
      </c>
      <c r="F1086" s="30" t="s">
        <v>43</v>
      </c>
      <c r="G1086" s="33">
        <v>2.5964944000000001</v>
      </c>
      <c r="H1086" s="83" t="s">
        <v>88</v>
      </c>
    </row>
    <row r="1087" spans="1:8" ht="16.5" customHeight="1" x14ac:dyDescent="0.25">
      <c r="A1087" s="27">
        <v>45782</v>
      </c>
      <c r="B1087" s="80">
        <v>2025</v>
      </c>
      <c r="C1087" s="80">
        <v>5</v>
      </c>
      <c r="D1087" s="30" t="s">
        <v>7</v>
      </c>
      <c r="E1087" s="30" t="s">
        <v>50</v>
      </c>
      <c r="F1087" s="30" t="s">
        <v>47</v>
      </c>
      <c r="G1087" s="33">
        <v>0.1419</v>
      </c>
      <c r="H1087" s="83" t="s">
        <v>88</v>
      </c>
    </row>
    <row r="1088" spans="1:8" ht="16.5" customHeight="1" x14ac:dyDescent="0.25">
      <c r="A1088" s="27">
        <v>45782</v>
      </c>
      <c r="B1088" s="80">
        <v>2025</v>
      </c>
      <c r="C1088" s="80">
        <v>5</v>
      </c>
      <c r="D1088" s="30" t="s">
        <v>7</v>
      </c>
      <c r="E1088" s="30" t="s">
        <v>50</v>
      </c>
      <c r="F1088" s="30" t="s">
        <v>51</v>
      </c>
      <c r="G1088" s="33">
        <v>1.5136000000000001</v>
      </c>
      <c r="H1088" s="83" t="s">
        <v>88</v>
      </c>
    </row>
    <row r="1089" spans="1:8" ht="16.5" customHeight="1" x14ac:dyDescent="0.25">
      <c r="A1089" s="27">
        <v>45782</v>
      </c>
      <c r="B1089" s="80">
        <v>2025</v>
      </c>
      <c r="C1089" s="80">
        <v>5</v>
      </c>
      <c r="D1089" s="30" t="s">
        <v>7</v>
      </c>
      <c r="E1089" s="30" t="s">
        <v>50</v>
      </c>
      <c r="F1089" s="30" t="s">
        <v>58</v>
      </c>
      <c r="G1089" s="33">
        <v>3.0099999999999998E-2</v>
      </c>
      <c r="H1089" s="83" t="s">
        <v>88</v>
      </c>
    </row>
    <row r="1090" spans="1:8" ht="16.5" customHeight="1" x14ac:dyDescent="0.25">
      <c r="A1090" s="27">
        <v>45782</v>
      </c>
      <c r="B1090" s="80">
        <v>2025</v>
      </c>
      <c r="C1090" s="80">
        <v>5</v>
      </c>
      <c r="D1090" s="30" t="s">
        <v>7</v>
      </c>
      <c r="E1090" s="30" t="s">
        <v>54</v>
      </c>
      <c r="F1090" s="30" t="s">
        <v>43</v>
      </c>
      <c r="G1090" s="33">
        <v>2.3624999999999998</v>
      </c>
      <c r="H1090" s="83" t="s">
        <v>88</v>
      </c>
    </row>
    <row r="1091" spans="1:8" ht="16.5" customHeight="1" x14ac:dyDescent="0.25">
      <c r="A1091" s="27">
        <v>45782</v>
      </c>
      <c r="B1091" s="80">
        <v>2025</v>
      </c>
      <c r="C1091" s="80">
        <v>5</v>
      </c>
      <c r="D1091" s="30" t="s">
        <v>7</v>
      </c>
      <c r="E1091" s="30" t="s">
        <v>64</v>
      </c>
      <c r="F1091" s="30" t="s">
        <v>43</v>
      </c>
      <c r="G1091" s="33">
        <v>14.083500000000001</v>
      </c>
      <c r="H1091" s="83" t="s">
        <v>89</v>
      </c>
    </row>
    <row r="1092" spans="1:8" ht="16.5" customHeight="1" x14ac:dyDescent="0.25">
      <c r="A1092" s="27">
        <v>45782</v>
      </c>
      <c r="B1092" s="80">
        <v>2025</v>
      </c>
      <c r="C1092" s="80">
        <v>5</v>
      </c>
      <c r="D1092" s="30" t="s">
        <v>7</v>
      </c>
      <c r="E1092" s="30" t="s">
        <v>68</v>
      </c>
      <c r="F1092" s="30" t="s">
        <v>43</v>
      </c>
      <c r="G1092" s="33">
        <v>0.43</v>
      </c>
      <c r="H1092" s="83" t="s">
        <v>89</v>
      </c>
    </row>
    <row r="1093" spans="1:8" ht="16.5" customHeight="1" x14ac:dyDescent="0.25">
      <c r="A1093" s="27">
        <v>45782</v>
      </c>
      <c r="B1093" s="80">
        <v>2025</v>
      </c>
      <c r="C1093" s="80">
        <v>5</v>
      </c>
      <c r="D1093" s="30" t="s">
        <v>7</v>
      </c>
      <c r="E1093" s="30" t="s">
        <v>73</v>
      </c>
      <c r="F1093" s="30" t="s">
        <v>43</v>
      </c>
      <c r="G1093" s="33">
        <v>4.907</v>
      </c>
      <c r="H1093" s="83" t="s">
        <v>89</v>
      </c>
    </row>
    <row r="1094" spans="1:8" ht="16.5" customHeight="1" x14ac:dyDescent="0.25">
      <c r="A1094" s="27">
        <v>45782</v>
      </c>
      <c r="B1094" s="80">
        <v>2025</v>
      </c>
      <c r="C1094" s="80">
        <v>5</v>
      </c>
      <c r="D1094" s="30" t="s">
        <v>7</v>
      </c>
      <c r="E1094" s="30" t="s">
        <v>76</v>
      </c>
      <c r="F1094" s="30" t="s">
        <v>43</v>
      </c>
      <c r="G1094" s="33">
        <v>17.73</v>
      </c>
      <c r="H1094" s="83" t="s">
        <v>48</v>
      </c>
    </row>
    <row r="1095" spans="1:8" ht="16.5" customHeight="1" x14ac:dyDescent="0.25">
      <c r="A1095" s="27">
        <v>45783</v>
      </c>
      <c r="B1095" s="80">
        <v>2025</v>
      </c>
      <c r="C1095" s="80">
        <v>5</v>
      </c>
      <c r="D1095" s="30" t="s">
        <v>7</v>
      </c>
      <c r="E1095" s="30" t="s">
        <v>38</v>
      </c>
      <c r="F1095" s="30" t="s">
        <v>43</v>
      </c>
      <c r="G1095" s="33">
        <v>5.5469999999999997</v>
      </c>
      <c r="H1095" s="83" t="s">
        <v>88</v>
      </c>
    </row>
    <row r="1096" spans="1:8" ht="16.5" customHeight="1" x14ac:dyDescent="0.25">
      <c r="A1096" s="27">
        <v>45783</v>
      </c>
      <c r="B1096" s="80">
        <v>2025</v>
      </c>
      <c r="C1096" s="80">
        <v>5</v>
      </c>
      <c r="D1096" s="30" t="s">
        <v>7</v>
      </c>
      <c r="E1096" s="30" t="s">
        <v>38</v>
      </c>
      <c r="F1096" s="30" t="s">
        <v>47</v>
      </c>
      <c r="G1096" s="33">
        <v>0.56000000000000005</v>
      </c>
      <c r="H1096" s="83" t="s">
        <v>88</v>
      </c>
    </row>
    <row r="1097" spans="1:8" ht="16.5" customHeight="1" x14ac:dyDescent="0.25">
      <c r="A1097" s="27">
        <v>45783</v>
      </c>
      <c r="B1097" s="80">
        <v>2025</v>
      </c>
      <c r="C1097" s="80">
        <v>5</v>
      </c>
      <c r="D1097" s="30" t="s">
        <v>7</v>
      </c>
      <c r="E1097" s="30" t="s">
        <v>42</v>
      </c>
      <c r="F1097" s="30" t="s">
        <v>58</v>
      </c>
      <c r="G1097" s="33">
        <v>1.29067</v>
      </c>
      <c r="H1097" s="83" t="s">
        <v>88</v>
      </c>
    </row>
    <row r="1098" spans="1:8" ht="16.5" customHeight="1" x14ac:dyDescent="0.25">
      <c r="A1098" s="27">
        <v>45783</v>
      </c>
      <c r="B1098" s="80">
        <v>2025</v>
      </c>
      <c r="C1098" s="80">
        <v>5</v>
      </c>
      <c r="D1098" s="30" t="s">
        <v>7</v>
      </c>
      <c r="E1098" s="30" t="s">
        <v>50</v>
      </c>
      <c r="F1098" s="30" t="s">
        <v>43</v>
      </c>
      <c r="G1098" s="33">
        <v>4.1106455999999998</v>
      </c>
      <c r="H1098" s="83" t="s">
        <v>88</v>
      </c>
    </row>
    <row r="1099" spans="1:8" ht="16.5" customHeight="1" x14ac:dyDescent="0.25">
      <c r="A1099" s="27">
        <v>45783</v>
      </c>
      <c r="B1099" s="80">
        <v>2025</v>
      </c>
      <c r="C1099" s="80">
        <v>5</v>
      </c>
      <c r="D1099" s="30" t="s">
        <v>7</v>
      </c>
      <c r="E1099" s="30" t="s">
        <v>50</v>
      </c>
      <c r="F1099" s="30" t="s">
        <v>47</v>
      </c>
      <c r="G1099" s="33">
        <v>1.2432000000000001</v>
      </c>
      <c r="H1099" s="83" t="s">
        <v>88</v>
      </c>
    </row>
    <row r="1100" spans="1:8" ht="16.5" customHeight="1" x14ac:dyDescent="0.25">
      <c r="A1100" s="27">
        <v>45783</v>
      </c>
      <c r="B1100" s="80">
        <v>2025</v>
      </c>
      <c r="C1100" s="80">
        <v>5</v>
      </c>
      <c r="D1100" s="30" t="s">
        <v>7</v>
      </c>
      <c r="E1100" s="30" t="s">
        <v>50</v>
      </c>
      <c r="F1100" s="30" t="s">
        <v>58</v>
      </c>
      <c r="G1100" s="33">
        <v>7.3965838560000003</v>
      </c>
      <c r="H1100" s="83" t="s">
        <v>88</v>
      </c>
    </row>
    <row r="1101" spans="1:8" ht="16.5" customHeight="1" x14ac:dyDescent="0.25">
      <c r="A1101" s="27">
        <v>45783</v>
      </c>
      <c r="B1101" s="80">
        <v>2025</v>
      </c>
      <c r="C1101" s="80">
        <v>5</v>
      </c>
      <c r="D1101" s="30" t="s">
        <v>7</v>
      </c>
      <c r="E1101" s="30" t="s">
        <v>54</v>
      </c>
      <c r="F1101" s="30" t="s">
        <v>43</v>
      </c>
      <c r="G1101" s="33">
        <v>2.1</v>
      </c>
      <c r="H1101" s="83" t="s">
        <v>88</v>
      </c>
    </row>
    <row r="1102" spans="1:8" ht="16.5" customHeight="1" x14ac:dyDescent="0.25">
      <c r="A1102" s="27">
        <v>45783</v>
      </c>
      <c r="B1102" s="80">
        <v>2025</v>
      </c>
      <c r="C1102" s="80">
        <v>5</v>
      </c>
      <c r="D1102" s="30" t="s">
        <v>7</v>
      </c>
      <c r="E1102" s="30" t="s">
        <v>61</v>
      </c>
      <c r="F1102" s="30" t="s">
        <v>55</v>
      </c>
      <c r="G1102" s="33">
        <v>44.114400000000003</v>
      </c>
      <c r="H1102" s="83" t="s">
        <v>89</v>
      </c>
    </row>
    <row r="1103" spans="1:8" ht="16.5" customHeight="1" x14ac:dyDescent="0.25">
      <c r="A1103" s="27">
        <v>45783</v>
      </c>
      <c r="B1103" s="80">
        <v>2025</v>
      </c>
      <c r="C1103" s="80">
        <v>5</v>
      </c>
      <c r="D1103" s="30" t="s">
        <v>7</v>
      </c>
      <c r="E1103" s="30" t="s">
        <v>66</v>
      </c>
      <c r="F1103" s="30" t="s">
        <v>43</v>
      </c>
      <c r="G1103" s="33">
        <v>6.23508</v>
      </c>
      <c r="H1103" s="83" t="s">
        <v>89</v>
      </c>
    </row>
    <row r="1104" spans="1:8" ht="16.5" customHeight="1" x14ac:dyDescent="0.25">
      <c r="A1104" s="27">
        <v>45783</v>
      </c>
      <c r="B1104" s="80">
        <v>2025</v>
      </c>
      <c r="C1104" s="80">
        <v>5</v>
      </c>
      <c r="D1104" s="30" t="s">
        <v>7</v>
      </c>
      <c r="E1104" s="30" t="s">
        <v>68</v>
      </c>
      <c r="F1104" s="30" t="s">
        <v>43</v>
      </c>
      <c r="G1104" s="33">
        <v>1.3447499999999999</v>
      </c>
      <c r="H1104" s="83" t="s">
        <v>89</v>
      </c>
    </row>
    <row r="1105" spans="1:8" ht="16.5" customHeight="1" x14ac:dyDescent="0.25">
      <c r="A1105" s="27">
        <v>45783</v>
      </c>
      <c r="B1105" s="80">
        <v>2025</v>
      </c>
      <c r="C1105" s="80">
        <v>5</v>
      </c>
      <c r="D1105" s="30" t="s">
        <v>7</v>
      </c>
      <c r="E1105" s="30" t="s">
        <v>71</v>
      </c>
      <c r="F1105" s="30" t="s">
        <v>43</v>
      </c>
      <c r="G1105" s="33">
        <v>0.36575000000000002</v>
      </c>
      <c r="H1105" s="83" t="s">
        <v>89</v>
      </c>
    </row>
    <row r="1106" spans="1:8" ht="16.5" customHeight="1" x14ac:dyDescent="0.25">
      <c r="A1106" s="27">
        <v>45783</v>
      </c>
      <c r="B1106" s="80">
        <v>2025</v>
      </c>
      <c r="C1106" s="80">
        <v>5</v>
      </c>
      <c r="D1106" s="30" t="s">
        <v>7</v>
      </c>
      <c r="E1106" s="30" t="s">
        <v>75</v>
      </c>
      <c r="F1106" s="30" t="s">
        <v>43</v>
      </c>
      <c r="G1106" s="33">
        <v>6.2059150000000001</v>
      </c>
      <c r="H1106" s="83" t="s">
        <v>48</v>
      </c>
    </row>
    <row r="1107" spans="1:8" ht="16.5" customHeight="1" x14ac:dyDescent="0.25">
      <c r="A1107" s="27">
        <v>45783</v>
      </c>
      <c r="B1107" s="80">
        <v>2025</v>
      </c>
      <c r="C1107" s="80">
        <v>5</v>
      </c>
      <c r="D1107" s="30" t="s">
        <v>7</v>
      </c>
      <c r="E1107" s="30" t="s">
        <v>75</v>
      </c>
      <c r="F1107" s="30" t="s">
        <v>55</v>
      </c>
      <c r="G1107" s="33">
        <v>0.49</v>
      </c>
      <c r="H1107" s="83" t="s">
        <v>48</v>
      </c>
    </row>
    <row r="1108" spans="1:8" ht="16.5" customHeight="1" x14ac:dyDescent="0.25">
      <c r="A1108" s="27">
        <v>45784</v>
      </c>
      <c r="B1108" s="80">
        <v>2025</v>
      </c>
      <c r="C1108" s="80">
        <v>5</v>
      </c>
      <c r="D1108" s="30" t="s">
        <v>7</v>
      </c>
      <c r="E1108" s="30" t="s">
        <v>38</v>
      </c>
      <c r="F1108" s="30" t="s">
        <v>43</v>
      </c>
      <c r="G1108" s="33">
        <v>10.327</v>
      </c>
      <c r="H1108" s="83" t="s">
        <v>88</v>
      </c>
    </row>
    <row r="1109" spans="1:8" ht="16.5" customHeight="1" x14ac:dyDescent="0.25">
      <c r="A1109" s="27">
        <v>45784</v>
      </c>
      <c r="B1109" s="80">
        <v>2025</v>
      </c>
      <c r="C1109" s="80">
        <v>5</v>
      </c>
      <c r="D1109" s="30" t="s">
        <v>7</v>
      </c>
      <c r="E1109" s="30" t="s">
        <v>46</v>
      </c>
      <c r="F1109" s="30" t="s">
        <v>43</v>
      </c>
      <c r="G1109" s="33">
        <v>14.6995702</v>
      </c>
      <c r="H1109" s="83" t="s">
        <v>88</v>
      </c>
    </row>
    <row r="1110" spans="1:8" ht="16.5" customHeight="1" x14ac:dyDescent="0.25">
      <c r="A1110" s="27">
        <v>45784</v>
      </c>
      <c r="B1110" s="80">
        <v>2025</v>
      </c>
      <c r="C1110" s="80">
        <v>5</v>
      </c>
      <c r="D1110" s="30" t="s">
        <v>7</v>
      </c>
      <c r="E1110" s="30" t="s">
        <v>50</v>
      </c>
      <c r="F1110" s="30" t="s">
        <v>43</v>
      </c>
      <c r="G1110" s="33">
        <v>4.1906840000000001</v>
      </c>
      <c r="H1110" s="83" t="s">
        <v>88</v>
      </c>
    </row>
    <row r="1111" spans="1:8" ht="16.5" customHeight="1" x14ac:dyDescent="0.25">
      <c r="A1111" s="27">
        <v>45784</v>
      </c>
      <c r="B1111" s="80">
        <v>2025</v>
      </c>
      <c r="C1111" s="80">
        <v>5</v>
      </c>
      <c r="D1111" s="30" t="s">
        <v>7</v>
      </c>
      <c r="E1111" s="30" t="s">
        <v>50</v>
      </c>
      <c r="F1111" s="30" t="s">
        <v>47</v>
      </c>
      <c r="G1111" s="33">
        <v>1.8620000000000001</v>
      </c>
      <c r="H1111" s="83" t="s">
        <v>88</v>
      </c>
    </row>
    <row r="1112" spans="1:8" ht="16.5" customHeight="1" x14ac:dyDescent="0.25">
      <c r="A1112" s="27">
        <v>45784</v>
      </c>
      <c r="B1112" s="80">
        <v>2025</v>
      </c>
      <c r="C1112" s="80">
        <v>5</v>
      </c>
      <c r="D1112" s="30" t="s">
        <v>7</v>
      </c>
      <c r="E1112" s="30" t="s">
        <v>50</v>
      </c>
      <c r="F1112" s="30" t="s">
        <v>58</v>
      </c>
      <c r="G1112" s="33">
        <v>4.9139398999999999</v>
      </c>
      <c r="H1112" s="83" t="s">
        <v>88</v>
      </c>
    </row>
    <row r="1113" spans="1:8" ht="16.5" customHeight="1" x14ac:dyDescent="0.25">
      <c r="A1113" s="27">
        <v>45784</v>
      </c>
      <c r="B1113" s="80">
        <v>2025</v>
      </c>
      <c r="C1113" s="80">
        <v>5</v>
      </c>
      <c r="D1113" s="30" t="s">
        <v>7</v>
      </c>
      <c r="E1113" s="30" t="s">
        <v>54</v>
      </c>
      <c r="F1113" s="30" t="s">
        <v>43</v>
      </c>
      <c r="G1113" s="33">
        <v>3.9561000000000002</v>
      </c>
      <c r="H1113" s="83" t="s">
        <v>88</v>
      </c>
    </row>
    <row r="1114" spans="1:8" ht="16.5" customHeight="1" x14ac:dyDescent="0.25">
      <c r="A1114" s="27">
        <v>45784</v>
      </c>
      <c r="B1114" s="80">
        <v>2025</v>
      </c>
      <c r="C1114" s="80">
        <v>5</v>
      </c>
      <c r="D1114" s="30" t="s">
        <v>7</v>
      </c>
      <c r="E1114" s="30" t="s">
        <v>66</v>
      </c>
      <c r="F1114" s="30" t="s">
        <v>43</v>
      </c>
      <c r="G1114" s="33">
        <v>9.6300000000000008</v>
      </c>
      <c r="H1114" s="83" t="s">
        <v>89</v>
      </c>
    </row>
    <row r="1115" spans="1:8" ht="16.5" customHeight="1" x14ac:dyDescent="0.25">
      <c r="A1115" s="27">
        <v>45784</v>
      </c>
      <c r="B1115" s="80">
        <v>2025</v>
      </c>
      <c r="C1115" s="80">
        <v>5</v>
      </c>
      <c r="D1115" s="30" t="s">
        <v>7</v>
      </c>
      <c r="E1115" s="30" t="s">
        <v>68</v>
      </c>
      <c r="F1115" s="30" t="s">
        <v>43</v>
      </c>
      <c r="G1115" s="33">
        <v>1.605</v>
      </c>
      <c r="H1115" s="83" t="s">
        <v>89</v>
      </c>
    </row>
    <row r="1116" spans="1:8" ht="16.5" customHeight="1" x14ac:dyDescent="0.25">
      <c r="A1116" s="27">
        <v>45784</v>
      </c>
      <c r="B1116" s="80">
        <v>2025</v>
      </c>
      <c r="C1116" s="80">
        <v>5</v>
      </c>
      <c r="D1116" s="30" t="s">
        <v>7</v>
      </c>
      <c r="E1116" s="30" t="s">
        <v>68</v>
      </c>
      <c r="F1116" s="30" t="s">
        <v>55</v>
      </c>
      <c r="G1116" s="33">
        <v>3.2</v>
      </c>
      <c r="H1116" s="83" t="s">
        <v>89</v>
      </c>
    </row>
    <row r="1117" spans="1:8" ht="16.5" customHeight="1" x14ac:dyDescent="0.25">
      <c r="A1117" s="27">
        <v>45784</v>
      </c>
      <c r="B1117" s="80">
        <v>2025</v>
      </c>
      <c r="C1117" s="80">
        <v>5</v>
      </c>
      <c r="D1117" s="30" t="s">
        <v>7</v>
      </c>
      <c r="E1117" s="30" t="s">
        <v>75</v>
      </c>
      <c r="F1117" s="30" t="s">
        <v>43</v>
      </c>
      <c r="G1117" s="33">
        <v>26.840509999999998</v>
      </c>
      <c r="H1117" s="83" t="s">
        <v>48</v>
      </c>
    </row>
    <row r="1118" spans="1:8" ht="16.5" customHeight="1" x14ac:dyDescent="0.25">
      <c r="A1118" s="27">
        <v>45785</v>
      </c>
      <c r="B1118" s="80">
        <v>2025</v>
      </c>
      <c r="C1118" s="80">
        <v>5</v>
      </c>
      <c r="D1118" s="30" t="s">
        <v>7</v>
      </c>
      <c r="E1118" s="30" t="s">
        <v>50</v>
      </c>
      <c r="F1118" s="30" t="s">
        <v>47</v>
      </c>
      <c r="G1118" s="33">
        <v>0.31080000000000002</v>
      </c>
      <c r="H1118" s="83" t="s">
        <v>88</v>
      </c>
    </row>
    <row r="1119" spans="1:8" ht="16.5" customHeight="1" x14ac:dyDescent="0.25">
      <c r="A1119" s="27">
        <v>45786</v>
      </c>
      <c r="B1119" s="80">
        <v>2025</v>
      </c>
      <c r="C1119" s="80">
        <v>5</v>
      </c>
      <c r="D1119" s="30" t="s">
        <v>7</v>
      </c>
      <c r="E1119" s="30" t="s">
        <v>42</v>
      </c>
      <c r="F1119" s="30" t="s">
        <v>43</v>
      </c>
      <c r="G1119" s="33">
        <v>7.9779</v>
      </c>
      <c r="H1119" s="83" t="s">
        <v>88</v>
      </c>
    </row>
    <row r="1120" spans="1:8" ht="16.5" customHeight="1" x14ac:dyDescent="0.25">
      <c r="A1120" s="27">
        <v>45786</v>
      </c>
      <c r="B1120" s="80">
        <v>2025</v>
      </c>
      <c r="C1120" s="80">
        <v>5</v>
      </c>
      <c r="D1120" s="30" t="s">
        <v>7</v>
      </c>
      <c r="E1120" s="30" t="s">
        <v>46</v>
      </c>
      <c r="F1120" s="30" t="s">
        <v>43</v>
      </c>
      <c r="G1120" s="33">
        <v>0.23611499999999999</v>
      </c>
      <c r="H1120" s="83" t="s">
        <v>88</v>
      </c>
    </row>
    <row r="1121" spans="1:8" ht="16.5" customHeight="1" x14ac:dyDescent="0.25">
      <c r="A1121" s="27">
        <v>45786</v>
      </c>
      <c r="B1121" s="80">
        <v>2025</v>
      </c>
      <c r="C1121" s="80">
        <v>5</v>
      </c>
      <c r="D1121" s="30" t="s">
        <v>7</v>
      </c>
      <c r="E1121" s="30" t="s">
        <v>50</v>
      </c>
      <c r="F1121" s="30" t="s">
        <v>43</v>
      </c>
      <c r="G1121" s="33">
        <v>64.369594000000006</v>
      </c>
      <c r="H1121" s="83" t="s">
        <v>88</v>
      </c>
    </row>
    <row r="1122" spans="1:8" ht="16.5" customHeight="1" x14ac:dyDescent="0.25">
      <c r="A1122" s="27">
        <v>45786</v>
      </c>
      <c r="B1122" s="80">
        <v>2025</v>
      </c>
      <c r="C1122" s="80">
        <v>5</v>
      </c>
      <c r="D1122" s="30" t="s">
        <v>7</v>
      </c>
      <c r="E1122" s="30" t="s">
        <v>50</v>
      </c>
      <c r="F1122" s="30" t="s">
        <v>47</v>
      </c>
      <c r="G1122" s="33">
        <v>9.4415999999999993</v>
      </c>
      <c r="H1122" s="83" t="s">
        <v>88</v>
      </c>
    </row>
    <row r="1123" spans="1:8" ht="16.5" customHeight="1" x14ac:dyDescent="0.25">
      <c r="A1123" s="27">
        <v>45786</v>
      </c>
      <c r="B1123" s="80">
        <v>2025</v>
      </c>
      <c r="C1123" s="80">
        <v>5</v>
      </c>
      <c r="D1123" s="30" t="s">
        <v>7</v>
      </c>
      <c r="E1123" s="30" t="s">
        <v>50</v>
      </c>
      <c r="F1123" s="30" t="s">
        <v>58</v>
      </c>
      <c r="G1123" s="33">
        <v>0.37822800000000001</v>
      </c>
      <c r="H1123" s="83" t="s">
        <v>88</v>
      </c>
    </row>
    <row r="1124" spans="1:8" ht="16.5" customHeight="1" x14ac:dyDescent="0.25">
      <c r="A1124" s="27">
        <v>45786</v>
      </c>
      <c r="B1124" s="80">
        <v>2025</v>
      </c>
      <c r="C1124" s="80">
        <v>5</v>
      </c>
      <c r="D1124" s="30" t="s">
        <v>7</v>
      </c>
      <c r="E1124" s="30" t="s">
        <v>54</v>
      </c>
      <c r="F1124" s="30" t="s">
        <v>43</v>
      </c>
      <c r="G1124" s="33">
        <v>3.3940000000000001</v>
      </c>
      <c r="H1124" s="83" t="s">
        <v>88</v>
      </c>
    </row>
    <row r="1125" spans="1:8" ht="16.5" customHeight="1" x14ac:dyDescent="0.25">
      <c r="A1125" s="27">
        <v>45786</v>
      </c>
      <c r="B1125" s="80">
        <v>2025</v>
      </c>
      <c r="C1125" s="80">
        <v>5</v>
      </c>
      <c r="D1125" s="30" t="s">
        <v>7</v>
      </c>
      <c r="E1125" s="30" t="s">
        <v>57</v>
      </c>
      <c r="F1125" s="30" t="s">
        <v>43</v>
      </c>
      <c r="G1125" s="33">
        <v>78.89</v>
      </c>
      <c r="H1125" s="83" t="s">
        <v>89</v>
      </c>
    </row>
    <row r="1126" spans="1:8" ht="16.5" customHeight="1" x14ac:dyDescent="0.25">
      <c r="A1126" s="27">
        <v>45786</v>
      </c>
      <c r="B1126" s="80">
        <v>2025</v>
      </c>
      <c r="C1126" s="80">
        <v>5</v>
      </c>
      <c r="D1126" s="30" t="s">
        <v>7</v>
      </c>
      <c r="E1126" s="30" t="s">
        <v>66</v>
      </c>
      <c r="F1126" s="30" t="s">
        <v>43</v>
      </c>
      <c r="G1126" s="33">
        <v>0.48060000000000003</v>
      </c>
      <c r="H1126" s="83" t="s">
        <v>89</v>
      </c>
    </row>
    <row r="1127" spans="1:8" ht="16.5" customHeight="1" x14ac:dyDescent="0.25">
      <c r="A1127" s="27">
        <v>45789</v>
      </c>
      <c r="B1127" s="80">
        <v>2025</v>
      </c>
      <c r="C1127" s="80">
        <v>5</v>
      </c>
      <c r="D1127" s="30" t="s">
        <v>7</v>
      </c>
      <c r="E1127" s="30" t="s">
        <v>38</v>
      </c>
      <c r="F1127" s="30" t="s">
        <v>43</v>
      </c>
      <c r="G1127" s="33">
        <v>7.4142000000000001</v>
      </c>
      <c r="H1127" s="83" t="s">
        <v>88</v>
      </c>
    </row>
    <row r="1128" spans="1:8" ht="16.5" customHeight="1" x14ac:dyDescent="0.25">
      <c r="A1128" s="27">
        <v>45789</v>
      </c>
      <c r="B1128" s="80">
        <v>2025</v>
      </c>
      <c r="C1128" s="80">
        <v>5</v>
      </c>
      <c r="D1128" s="30" t="s">
        <v>7</v>
      </c>
      <c r="E1128" s="30" t="s">
        <v>38</v>
      </c>
      <c r="F1128" s="30" t="s">
        <v>51</v>
      </c>
      <c r="G1128" s="33">
        <v>0.69</v>
      </c>
      <c r="H1128" s="83" t="s">
        <v>88</v>
      </c>
    </row>
    <row r="1129" spans="1:8" ht="16.5" customHeight="1" x14ac:dyDescent="0.25">
      <c r="A1129" s="27">
        <v>45789</v>
      </c>
      <c r="B1129" s="80">
        <v>2025</v>
      </c>
      <c r="C1129" s="80">
        <v>5</v>
      </c>
      <c r="D1129" s="30" t="s">
        <v>7</v>
      </c>
      <c r="E1129" s="30" t="s">
        <v>38</v>
      </c>
      <c r="F1129" s="30" t="s">
        <v>55</v>
      </c>
      <c r="G1129" s="33">
        <v>0.56000000000000005</v>
      </c>
      <c r="H1129" s="83" t="s">
        <v>88</v>
      </c>
    </row>
    <row r="1130" spans="1:8" ht="16.5" customHeight="1" x14ac:dyDescent="0.25">
      <c r="A1130" s="27">
        <v>45789</v>
      </c>
      <c r="B1130" s="80">
        <v>2025</v>
      </c>
      <c r="C1130" s="80">
        <v>5</v>
      </c>
      <c r="D1130" s="30" t="s">
        <v>7</v>
      </c>
      <c r="E1130" s="30" t="s">
        <v>42</v>
      </c>
      <c r="F1130" s="30" t="s">
        <v>43</v>
      </c>
      <c r="G1130" s="33">
        <v>3.1840000000000002</v>
      </c>
      <c r="H1130" s="83" t="s">
        <v>88</v>
      </c>
    </row>
    <row r="1131" spans="1:8" ht="16.5" customHeight="1" x14ac:dyDescent="0.25">
      <c r="A1131" s="27">
        <v>45789</v>
      </c>
      <c r="B1131" s="80">
        <v>2025</v>
      </c>
      <c r="C1131" s="80">
        <v>5</v>
      </c>
      <c r="D1131" s="30" t="s">
        <v>7</v>
      </c>
      <c r="E1131" s="30" t="s">
        <v>42</v>
      </c>
      <c r="F1131" s="30" t="s">
        <v>55</v>
      </c>
      <c r="G1131" s="33">
        <v>7</v>
      </c>
      <c r="H1131" s="83" t="s">
        <v>88</v>
      </c>
    </row>
    <row r="1132" spans="1:8" ht="16.5" customHeight="1" x14ac:dyDescent="0.25">
      <c r="A1132" s="27">
        <v>45789</v>
      </c>
      <c r="B1132" s="80">
        <v>2025</v>
      </c>
      <c r="C1132" s="80">
        <v>5</v>
      </c>
      <c r="D1132" s="30" t="s">
        <v>7</v>
      </c>
      <c r="E1132" s="30" t="s">
        <v>50</v>
      </c>
      <c r="F1132" s="30" t="s">
        <v>43</v>
      </c>
      <c r="G1132" s="33">
        <v>19.074746999999999</v>
      </c>
      <c r="H1132" s="83" t="s">
        <v>88</v>
      </c>
    </row>
    <row r="1133" spans="1:8" ht="16.5" customHeight="1" x14ac:dyDescent="0.25">
      <c r="A1133" s="27">
        <v>45789</v>
      </c>
      <c r="B1133" s="80">
        <v>2025</v>
      </c>
      <c r="C1133" s="80">
        <v>5</v>
      </c>
      <c r="D1133" s="30" t="s">
        <v>7</v>
      </c>
      <c r="E1133" s="30" t="s">
        <v>50</v>
      </c>
      <c r="F1133" s="30" t="s">
        <v>47</v>
      </c>
      <c r="G1133" s="33">
        <v>2.3829099999999999</v>
      </c>
      <c r="H1133" s="83" t="s">
        <v>88</v>
      </c>
    </row>
    <row r="1134" spans="1:8" ht="16.5" customHeight="1" x14ac:dyDescent="0.25">
      <c r="A1134" s="27">
        <v>45789</v>
      </c>
      <c r="B1134" s="80">
        <v>2025</v>
      </c>
      <c r="C1134" s="80">
        <v>5</v>
      </c>
      <c r="D1134" s="30" t="s">
        <v>7</v>
      </c>
      <c r="E1134" s="30" t="s">
        <v>50</v>
      </c>
      <c r="F1134" s="30" t="s">
        <v>55</v>
      </c>
      <c r="G1134" s="33">
        <v>0.79795845600000004</v>
      </c>
      <c r="H1134" s="83" t="s">
        <v>88</v>
      </c>
    </row>
    <row r="1135" spans="1:8" ht="16.5" customHeight="1" x14ac:dyDescent="0.25">
      <c r="A1135" s="27">
        <v>45789</v>
      </c>
      <c r="B1135" s="80">
        <v>2025</v>
      </c>
      <c r="C1135" s="80">
        <v>5</v>
      </c>
      <c r="D1135" s="30" t="s">
        <v>7</v>
      </c>
      <c r="E1135" s="30" t="s">
        <v>50</v>
      </c>
      <c r="F1135" s="30" t="s">
        <v>58</v>
      </c>
      <c r="G1135" s="33">
        <v>1.8441842939999999</v>
      </c>
      <c r="H1135" s="83" t="s">
        <v>88</v>
      </c>
    </row>
    <row r="1136" spans="1:8" ht="16.5" customHeight="1" x14ac:dyDescent="0.25">
      <c r="A1136" s="27">
        <v>45789</v>
      </c>
      <c r="B1136" s="80">
        <v>2025</v>
      </c>
      <c r="C1136" s="80">
        <v>5</v>
      </c>
      <c r="D1136" s="30" t="s">
        <v>7</v>
      </c>
      <c r="E1136" s="30" t="s">
        <v>54</v>
      </c>
      <c r="F1136" s="30" t="s">
        <v>43</v>
      </c>
      <c r="G1136" s="33">
        <v>2.7280000000000002</v>
      </c>
      <c r="H1136" s="83" t="s">
        <v>88</v>
      </c>
    </row>
    <row r="1137" spans="1:8" ht="16.5" customHeight="1" x14ac:dyDescent="0.25">
      <c r="A1137" s="27">
        <v>45789</v>
      </c>
      <c r="B1137" s="80">
        <v>2025</v>
      </c>
      <c r="C1137" s="80">
        <v>5</v>
      </c>
      <c r="D1137" s="30" t="s">
        <v>7</v>
      </c>
      <c r="E1137" s="30" t="s">
        <v>57</v>
      </c>
      <c r="F1137" s="30" t="s">
        <v>43</v>
      </c>
      <c r="G1137" s="33">
        <v>9.4309999999999992</v>
      </c>
      <c r="H1137" s="83" t="s">
        <v>89</v>
      </c>
    </row>
    <row r="1138" spans="1:8" ht="16.5" customHeight="1" x14ac:dyDescent="0.25">
      <c r="A1138" s="27">
        <v>45789</v>
      </c>
      <c r="B1138" s="80">
        <v>2025</v>
      </c>
      <c r="C1138" s="80">
        <v>5</v>
      </c>
      <c r="D1138" s="30" t="s">
        <v>7</v>
      </c>
      <c r="E1138" s="30" t="s">
        <v>61</v>
      </c>
      <c r="F1138" s="30" t="s">
        <v>43</v>
      </c>
      <c r="G1138" s="33">
        <v>2.2799999999999998</v>
      </c>
      <c r="H1138" s="83" t="s">
        <v>89</v>
      </c>
    </row>
    <row r="1139" spans="1:8" ht="16.5" customHeight="1" x14ac:dyDescent="0.25">
      <c r="A1139" s="27">
        <v>45789</v>
      </c>
      <c r="B1139" s="80">
        <v>2025</v>
      </c>
      <c r="C1139" s="80">
        <v>5</v>
      </c>
      <c r="D1139" s="30" t="s">
        <v>7</v>
      </c>
      <c r="E1139" s="30" t="s">
        <v>66</v>
      </c>
      <c r="F1139" s="30" t="s">
        <v>43</v>
      </c>
      <c r="G1139" s="33">
        <v>7.0724999999999998</v>
      </c>
      <c r="H1139" s="83" t="s">
        <v>89</v>
      </c>
    </row>
    <row r="1140" spans="1:8" ht="16.5" customHeight="1" x14ac:dyDescent="0.25">
      <c r="A1140" s="27">
        <v>45789</v>
      </c>
      <c r="B1140" s="80">
        <v>2025</v>
      </c>
      <c r="C1140" s="80">
        <v>5</v>
      </c>
      <c r="D1140" s="30" t="s">
        <v>7</v>
      </c>
      <c r="E1140" s="30" t="s">
        <v>74</v>
      </c>
      <c r="F1140" s="30" t="s">
        <v>43</v>
      </c>
      <c r="G1140" s="33">
        <v>2.8132000000000001</v>
      </c>
      <c r="H1140" s="83" t="s">
        <v>89</v>
      </c>
    </row>
    <row r="1141" spans="1:8" ht="16.5" customHeight="1" x14ac:dyDescent="0.25">
      <c r="A1141" s="27">
        <v>45789</v>
      </c>
      <c r="B1141" s="80">
        <v>2025</v>
      </c>
      <c r="C1141" s="80">
        <v>5</v>
      </c>
      <c r="D1141" s="30" t="s">
        <v>7</v>
      </c>
      <c r="E1141" s="30" t="s">
        <v>75</v>
      </c>
      <c r="F1141" s="30" t="s">
        <v>43</v>
      </c>
      <c r="G1141" s="33">
        <v>40.031739999999999</v>
      </c>
      <c r="H1141" s="83" t="s">
        <v>48</v>
      </c>
    </row>
    <row r="1142" spans="1:8" ht="16.5" customHeight="1" x14ac:dyDescent="0.25">
      <c r="A1142" s="27">
        <v>45789</v>
      </c>
      <c r="B1142" s="80">
        <v>2025</v>
      </c>
      <c r="C1142" s="80">
        <v>5</v>
      </c>
      <c r="D1142" s="30" t="s">
        <v>7</v>
      </c>
      <c r="E1142" s="30" t="s">
        <v>76</v>
      </c>
      <c r="F1142" s="30" t="s">
        <v>39</v>
      </c>
      <c r="G1142" s="33">
        <v>60.868858000000003</v>
      </c>
      <c r="H1142" s="83" t="s">
        <v>48</v>
      </c>
    </row>
    <row r="1143" spans="1:8" ht="16.5" customHeight="1" x14ac:dyDescent="0.25">
      <c r="A1143" s="27">
        <v>45790</v>
      </c>
      <c r="B1143" s="80">
        <v>2025</v>
      </c>
      <c r="C1143" s="80">
        <v>5</v>
      </c>
      <c r="D1143" s="30" t="s">
        <v>7</v>
      </c>
      <c r="E1143" s="30" t="s">
        <v>38</v>
      </c>
      <c r="F1143" s="30" t="s">
        <v>43</v>
      </c>
      <c r="G1143" s="33">
        <v>13.587999999999999</v>
      </c>
      <c r="H1143" s="83" t="s">
        <v>88</v>
      </c>
    </row>
    <row r="1144" spans="1:8" ht="16.5" customHeight="1" x14ac:dyDescent="0.25">
      <c r="A1144" s="27">
        <v>45790</v>
      </c>
      <c r="B1144" s="80">
        <v>2025</v>
      </c>
      <c r="C1144" s="80">
        <v>5</v>
      </c>
      <c r="D1144" s="30" t="s">
        <v>7</v>
      </c>
      <c r="E1144" s="30" t="s">
        <v>42</v>
      </c>
      <c r="F1144" s="30" t="s">
        <v>43</v>
      </c>
      <c r="G1144" s="33">
        <v>1.0369999999999999</v>
      </c>
      <c r="H1144" s="83" t="s">
        <v>88</v>
      </c>
    </row>
    <row r="1145" spans="1:8" ht="16.5" customHeight="1" x14ac:dyDescent="0.25">
      <c r="A1145" s="27">
        <v>45790</v>
      </c>
      <c r="B1145" s="80">
        <v>2025</v>
      </c>
      <c r="C1145" s="80">
        <v>5</v>
      </c>
      <c r="D1145" s="30" t="s">
        <v>7</v>
      </c>
      <c r="E1145" s="30" t="s">
        <v>46</v>
      </c>
      <c r="F1145" s="30" t="s">
        <v>43</v>
      </c>
      <c r="G1145" s="33">
        <v>2.120784</v>
      </c>
      <c r="H1145" s="83" t="s">
        <v>88</v>
      </c>
    </row>
    <row r="1146" spans="1:8" ht="16.5" customHeight="1" x14ac:dyDescent="0.25">
      <c r="A1146" s="27">
        <v>45790</v>
      </c>
      <c r="B1146" s="80">
        <v>2025</v>
      </c>
      <c r="C1146" s="80">
        <v>5</v>
      </c>
      <c r="D1146" s="30" t="s">
        <v>7</v>
      </c>
      <c r="E1146" s="30" t="s">
        <v>46</v>
      </c>
      <c r="F1146" s="30" t="s">
        <v>47</v>
      </c>
      <c r="G1146" s="33">
        <v>0.18079999999999999</v>
      </c>
      <c r="H1146" s="83" t="s">
        <v>88</v>
      </c>
    </row>
    <row r="1147" spans="1:8" ht="16.5" customHeight="1" x14ac:dyDescent="0.25">
      <c r="A1147" s="27">
        <v>45790</v>
      </c>
      <c r="B1147" s="80">
        <v>2025</v>
      </c>
      <c r="C1147" s="80">
        <v>5</v>
      </c>
      <c r="D1147" s="30" t="s">
        <v>7</v>
      </c>
      <c r="E1147" s="30" t="s">
        <v>46</v>
      </c>
      <c r="F1147" s="30" t="s">
        <v>51</v>
      </c>
      <c r="G1147" s="33">
        <v>0.41583999999999999</v>
      </c>
      <c r="H1147" s="83" t="s">
        <v>88</v>
      </c>
    </row>
    <row r="1148" spans="1:8" ht="16.5" customHeight="1" x14ac:dyDescent="0.25">
      <c r="A1148" s="27">
        <v>45790</v>
      </c>
      <c r="B1148" s="80">
        <v>2025</v>
      </c>
      <c r="C1148" s="80">
        <v>5</v>
      </c>
      <c r="D1148" s="30" t="s">
        <v>7</v>
      </c>
      <c r="E1148" s="30" t="s">
        <v>46</v>
      </c>
      <c r="F1148" s="30" t="s">
        <v>55</v>
      </c>
      <c r="G1148" s="33">
        <v>1.0885119999999999</v>
      </c>
      <c r="H1148" s="83" t="s">
        <v>88</v>
      </c>
    </row>
    <row r="1149" spans="1:8" ht="16.5" customHeight="1" x14ac:dyDescent="0.25">
      <c r="A1149" s="27">
        <v>45790</v>
      </c>
      <c r="B1149" s="80">
        <v>2025</v>
      </c>
      <c r="C1149" s="80">
        <v>5</v>
      </c>
      <c r="D1149" s="30" t="s">
        <v>7</v>
      </c>
      <c r="E1149" s="30" t="s">
        <v>46</v>
      </c>
      <c r="F1149" s="30" t="s">
        <v>58</v>
      </c>
      <c r="G1149" s="33">
        <v>0.36872100000000002</v>
      </c>
      <c r="H1149" s="83" t="s">
        <v>88</v>
      </c>
    </row>
    <row r="1150" spans="1:8" ht="16.5" customHeight="1" x14ac:dyDescent="0.25">
      <c r="A1150" s="27">
        <v>45790</v>
      </c>
      <c r="B1150" s="80">
        <v>2025</v>
      </c>
      <c r="C1150" s="80">
        <v>5</v>
      </c>
      <c r="D1150" s="30" t="s">
        <v>7</v>
      </c>
      <c r="E1150" s="30" t="s">
        <v>50</v>
      </c>
      <c r="F1150" s="30" t="s">
        <v>43</v>
      </c>
      <c r="G1150" s="33">
        <v>44.9149034</v>
      </c>
      <c r="H1150" s="83" t="s">
        <v>88</v>
      </c>
    </row>
    <row r="1151" spans="1:8" ht="16.5" customHeight="1" x14ac:dyDescent="0.25">
      <c r="A1151" s="27">
        <v>45790</v>
      </c>
      <c r="B1151" s="80">
        <v>2025</v>
      </c>
      <c r="C1151" s="80">
        <v>5</v>
      </c>
      <c r="D1151" s="30" t="s">
        <v>7</v>
      </c>
      <c r="E1151" s="30" t="s">
        <v>50</v>
      </c>
      <c r="F1151" s="30" t="s">
        <v>47</v>
      </c>
      <c r="G1151" s="33">
        <v>0.62160000000000004</v>
      </c>
      <c r="H1151" s="83" t="s">
        <v>88</v>
      </c>
    </row>
    <row r="1152" spans="1:8" ht="16.5" customHeight="1" x14ac:dyDescent="0.25">
      <c r="A1152" s="27">
        <v>45790</v>
      </c>
      <c r="B1152" s="80">
        <v>2025</v>
      </c>
      <c r="C1152" s="80">
        <v>5</v>
      </c>
      <c r="D1152" s="30" t="s">
        <v>7</v>
      </c>
      <c r="E1152" s="30" t="s">
        <v>50</v>
      </c>
      <c r="F1152" s="30" t="s">
        <v>58</v>
      </c>
      <c r="G1152" s="33">
        <v>26.406898672000001</v>
      </c>
      <c r="H1152" s="83" t="s">
        <v>88</v>
      </c>
    </row>
    <row r="1153" spans="1:8" ht="16.5" customHeight="1" x14ac:dyDescent="0.25">
      <c r="A1153" s="27">
        <v>45790</v>
      </c>
      <c r="B1153" s="80">
        <v>2025</v>
      </c>
      <c r="C1153" s="80">
        <v>5</v>
      </c>
      <c r="D1153" s="30" t="s">
        <v>7</v>
      </c>
      <c r="E1153" s="30" t="s">
        <v>54</v>
      </c>
      <c r="F1153" s="30" t="s">
        <v>43</v>
      </c>
      <c r="G1153" s="33">
        <v>3.21225</v>
      </c>
      <c r="H1153" s="83" t="s">
        <v>88</v>
      </c>
    </row>
    <row r="1154" spans="1:8" ht="16.5" customHeight="1" x14ac:dyDescent="0.25">
      <c r="A1154" s="27">
        <v>45790</v>
      </c>
      <c r="B1154" s="80">
        <v>2025</v>
      </c>
      <c r="C1154" s="80">
        <v>5</v>
      </c>
      <c r="D1154" s="30" t="s">
        <v>7</v>
      </c>
      <c r="E1154" s="30" t="s">
        <v>61</v>
      </c>
      <c r="F1154" s="30" t="s">
        <v>43</v>
      </c>
      <c r="G1154" s="33">
        <v>0.56159999999999999</v>
      </c>
      <c r="H1154" s="83" t="s">
        <v>89</v>
      </c>
    </row>
    <row r="1155" spans="1:8" ht="16.5" customHeight="1" x14ac:dyDescent="0.25">
      <c r="A1155" s="27">
        <v>45790</v>
      </c>
      <c r="B1155" s="80">
        <v>2025</v>
      </c>
      <c r="C1155" s="80">
        <v>5</v>
      </c>
      <c r="D1155" s="30" t="s">
        <v>7</v>
      </c>
      <c r="E1155" s="30" t="s">
        <v>64</v>
      </c>
      <c r="F1155" s="30" t="s">
        <v>43</v>
      </c>
      <c r="G1155" s="33">
        <v>2.1419999999999999</v>
      </c>
      <c r="H1155" s="83" t="s">
        <v>89</v>
      </c>
    </row>
    <row r="1156" spans="1:8" ht="16.5" customHeight="1" x14ac:dyDescent="0.25">
      <c r="A1156" s="27">
        <v>45790</v>
      </c>
      <c r="B1156" s="80">
        <v>2025</v>
      </c>
      <c r="C1156" s="80">
        <v>5</v>
      </c>
      <c r="D1156" s="30" t="s">
        <v>7</v>
      </c>
      <c r="E1156" s="30" t="s">
        <v>66</v>
      </c>
      <c r="F1156" s="30" t="s">
        <v>43</v>
      </c>
      <c r="G1156" s="33">
        <v>1.4684999999999999</v>
      </c>
      <c r="H1156" s="83" t="s">
        <v>89</v>
      </c>
    </row>
    <row r="1157" spans="1:8" ht="16.5" customHeight="1" x14ac:dyDescent="0.25">
      <c r="A1157" s="27">
        <v>45790</v>
      </c>
      <c r="B1157" s="80">
        <v>2025</v>
      </c>
      <c r="C1157" s="80">
        <v>5</v>
      </c>
      <c r="D1157" s="30" t="s">
        <v>7</v>
      </c>
      <c r="E1157" s="30" t="s">
        <v>66</v>
      </c>
      <c r="F1157" s="30" t="s">
        <v>55</v>
      </c>
      <c r="G1157" s="33">
        <v>0.84</v>
      </c>
      <c r="H1157" s="83" t="s">
        <v>89</v>
      </c>
    </row>
    <row r="1158" spans="1:8" ht="16.5" customHeight="1" x14ac:dyDescent="0.25">
      <c r="A1158" s="27">
        <v>45790</v>
      </c>
      <c r="B1158" s="80">
        <v>2025</v>
      </c>
      <c r="C1158" s="80">
        <v>5</v>
      </c>
      <c r="D1158" s="30" t="s">
        <v>7</v>
      </c>
      <c r="E1158" s="30" t="s">
        <v>71</v>
      </c>
      <c r="F1158" s="30" t="s">
        <v>39</v>
      </c>
      <c r="G1158" s="33">
        <v>5.4633039999999999</v>
      </c>
      <c r="H1158" s="83" t="s">
        <v>89</v>
      </c>
    </row>
    <row r="1159" spans="1:8" ht="16.5" customHeight="1" x14ac:dyDescent="0.25">
      <c r="A1159" s="27">
        <v>45790</v>
      </c>
      <c r="B1159" s="80">
        <v>2025</v>
      </c>
      <c r="C1159" s="80">
        <v>5</v>
      </c>
      <c r="D1159" s="30" t="s">
        <v>7</v>
      </c>
      <c r="E1159" s="30" t="s">
        <v>71</v>
      </c>
      <c r="F1159" s="30" t="s">
        <v>43</v>
      </c>
      <c r="G1159" s="33">
        <v>0.28594999999999998</v>
      </c>
      <c r="H1159" s="83" t="s">
        <v>89</v>
      </c>
    </row>
    <row r="1160" spans="1:8" ht="16.5" customHeight="1" x14ac:dyDescent="0.25">
      <c r="A1160" s="27">
        <v>45791</v>
      </c>
      <c r="B1160" s="80">
        <v>2025</v>
      </c>
      <c r="C1160" s="80">
        <v>5</v>
      </c>
      <c r="D1160" s="30" t="s">
        <v>7</v>
      </c>
      <c r="E1160" s="30" t="s">
        <v>38</v>
      </c>
      <c r="F1160" s="30" t="s">
        <v>43</v>
      </c>
      <c r="G1160" s="33">
        <v>7.2590000000000003</v>
      </c>
      <c r="H1160" s="83" t="s">
        <v>88</v>
      </c>
    </row>
    <row r="1161" spans="1:8" ht="16.5" customHeight="1" x14ac:dyDescent="0.25">
      <c r="A1161" s="27">
        <v>45791</v>
      </c>
      <c r="B1161" s="80">
        <v>2025</v>
      </c>
      <c r="C1161" s="80">
        <v>5</v>
      </c>
      <c r="D1161" s="30" t="s">
        <v>7</v>
      </c>
      <c r="E1161" s="30" t="s">
        <v>42</v>
      </c>
      <c r="F1161" s="30" t="s">
        <v>43</v>
      </c>
      <c r="G1161" s="33">
        <v>49.850999999999999</v>
      </c>
      <c r="H1161" s="83" t="s">
        <v>88</v>
      </c>
    </row>
    <row r="1162" spans="1:8" ht="16.5" customHeight="1" x14ac:dyDescent="0.25">
      <c r="A1162" s="27">
        <v>45791</v>
      </c>
      <c r="B1162" s="80">
        <v>2025</v>
      </c>
      <c r="C1162" s="80">
        <v>5</v>
      </c>
      <c r="D1162" s="30" t="s">
        <v>7</v>
      </c>
      <c r="E1162" s="30" t="s">
        <v>46</v>
      </c>
      <c r="F1162" s="30" t="s">
        <v>43</v>
      </c>
      <c r="G1162" s="33">
        <v>10.7976656</v>
      </c>
      <c r="H1162" s="83" t="s">
        <v>88</v>
      </c>
    </row>
    <row r="1163" spans="1:8" ht="16.5" customHeight="1" x14ac:dyDescent="0.25">
      <c r="A1163" s="27">
        <v>45791</v>
      </c>
      <c r="B1163" s="80">
        <v>2025</v>
      </c>
      <c r="C1163" s="80">
        <v>5</v>
      </c>
      <c r="D1163" s="30" t="s">
        <v>7</v>
      </c>
      <c r="E1163" s="30" t="s">
        <v>46</v>
      </c>
      <c r="F1163" s="30" t="s">
        <v>55</v>
      </c>
      <c r="G1163" s="33">
        <v>0.76189649999999998</v>
      </c>
      <c r="H1163" s="83" t="s">
        <v>88</v>
      </c>
    </row>
    <row r="1164" spans="1:8" ht="16.5" customHeight="1" x14ac:dyDescent="0.25">
      <c r="A1164" s="27">
        <v>45791</v>
      </c>
      <c r="B1164" s="80">
        <v>2025</v>
      </c>
      <c r="C1164" s="80">
        <v>5</v>
      </c>
      <c r="D1164" s="30" t="s">
        <v>7</v>
      </c>
      <c r="E1164" s="30" t="s">
        <v>50</v>
      </c>
      <c r="F1164" s="30" t="s">
        <v>39</v>
      </c>
      <c r="G1164" s="33">
        <v>2.58704</v>
      </c>
      <c r="H1164" s="83" t="s">
        <v>88</v>
      </c>
    </row>
    <row r="1165" spans="1:8" ht="16.5" customHeight="1" x14ac:dyDescent="0.25">
      <c r="A1165" s="27">
        <v>45791</v>
      </c>
      <c r="B1165" s="80">
        <v>2025</v>
      </c>
      <c r="C1165" s="80">
        <v>5</v>
      </c>
      <c r="D1165" s="30" t="s">
        <v>7</v>
      </c>
      <c r="E1165" s="30" t="s">
        <v>50</v>
      </c>
      <c r="F1165" s="30" t="s">
        <v>43</v>
      </c>
      <c r="G1165" s="33">
        <v>47.6431355</v>
      </c>
      <c r="H1165" s="83" t="s">
        <v>88</v>
      </c>
    </row>
    <row r="1166" spans="1:8" ht="16.5" customHeight="1" x14ac:dyDescent="0.25">
      <c r="A1166" s="27">
        <v>45791</v>
      </c>
      <c r="B1166" s="80">
        <v>2025</v>
      </c>
      <c r="C1166" s="80">
        <v>5</v>
      </c>
      <c r="D1166" s="30" t="s">
        <v>7</v>
      </c>
      <c r="E1166" s="30" t="s">
        <v>50</v>
      </c>
      <c r="F1166" s="30" t="s">
        <v>47</v>
      </c>
      <c r="G1166" s="33">
        <v>0.93240000000000001</v>
      </c>
      <c r="H1166" s="83" t="s">
        <v>88</v>
      </c>
    </row>
    <row r="1167" spans="1:8" ht="16.5" customHeight="1" x14ac:dyDescent="0.25">
      <c r="A1167" s="27">
        <v>45791</v>
      </c>
      <c r="B1167" s="80">
        <v>2025</v>
      </c>
      <c r="C1167" s="80">
        <v>5</v>
      </c>
      <c r="D1167" s="30" t="s">
        <v>7</v>
      </c>
      <c r="E1167" s="30" t="s">
        <v>50</v>
      </c>
      <c r="F1167" s="30" t="s">
        <v>51</v>
      </c>
      <c r="G1167" s="33">
        <v>0.50739999999999996</v>
      </c>
      <c r="H1167" s="83" t="s">
        <v>88</v>
      </c>
    </row>
    <row r="1168" spans="1:8" ht="16.5" customHeight="1" x14ac:dyDescent="0.25">
      <c r="A1168" s="27">
        <v>45791</v>
      </c>
      <c r="B1168" s="80">
        <v>2025</v>
      </c>
      <c r="C1168" s="80">
        <v>5</v>
      </c>
      <c r="D1168" s="30" t="s">
        <v>7</v>
      </c>
      <c r="E1168" s="30" t="s">
        <v>50</v>
      </c>
      <c r="F1168" s="30" t="s">
        <v>58</v>
      </c>
      <c r="G1168" s="33">
        <v>1.7315100000000001</v>
      </c>
      <c r="H1168" s="83" t="s">
        <v>88</v>
      </c>
    </row>
    <row r="1169" spans="1:8" ht="16.5" customHeight="1" x14ac:dyDescent="0.25">
      <c r="A1169" s="27">
        <v>45791</v>
      </c>
      <c r="B1169" s="80">
        <v>2025</v>
      </c>
      <c r="C1169" s="80">
        <v>5</v>
      </c>
      <c r="D1169" s="30" t="s">
        <v>7</v>
      </c>
      <c r="E1169" s="30" t="s">
        <v>54</v>
      </c>
      <c r="F1169" s="30" t="s">
        <v>43</v>
      </c>
      <c r="G1169" s="33">
        <v>1.6559999999999999</v>
      </c>
      <c r="H1169" s="83" t="s">
        <v>88</v>
      </c>
    </row>
    <row r="1170" spans="1:8" ht="16.5" customHeight="1" x14ac:dyDescent="0.25">
      <c r="A1170" s="27">
        <v>45791</v>
      </c>
      <c r="B1170" s="80">
        <v>2025</v>
      </c>
      <c r="C1170" s="80">
        <v>5</v>
      </c>
      <c r="D1170" s="30" t="s">
        <v>7</v>
      </c>
      <c r="E1170" s="30" t="s">
        <v>61</v>
      </c>
      <c r="F1170" s="30" t="s">
        <v>43</v>
      </c>
      <c r="G1170" s="33">
        <v>1.9617599999999999</v>
      </c>
      <c r="H1170" s="83" t="s">
        <v>89</v>
      </c>
    </row>
    <row r="1171" spans="1:8" ht="16.5" customHeight="1" x14ac:dyDescent="0.25">
      <c r="A1171" s="27">
        <v>45791</v>
      </c>
      <c r="B1171" s="80">
        <v>2025</v>
      </c>
      <c r="C1171" s="80">
        <v>5</v>
      </c>
      <c r="D1171" s="30" t="s">
        <v>7</v>
      </c>
      <c r="E1171" s="30" t="s">
        <v>66</v>
      </c>
      <c r="F1171" s="30" t="s">
        <v>43</v>
      </c>
      <c r="G1171" s="33">
        <v>1.06</v>
      </c>
      <c r="H1171" s="83" t="s">
        <v>89</v>
      </c>
    </row>
    <row r="1172" spans="1:8" ht="16.5" customHeight="1" x14ac:dyDescent="0.25">
      <c r="A1172" s="27">
        <v>45791</v>
      </c>
      <c r="B1172" s="80">
        <v>2025</v>
      </c>
      <c r="C1172" s="80">
        <v>5</v>
      </c>
      <c r="D1172" s="30" t="s">
        <v>7</v>
      </c>
      <c r="E1172" s="30" t="s">
        <v>68</v>
      </c>
      <c r="F1172" s="30" t="s">
        <v>43</v>
      </c>
      <c r="G1172" s="33">
        <v>2.5579999999999998</v>
      </c>
      <c r="H1172" s="83" t="s">
        <v>89</v>
      </c>
    </row>
    <row r="1173" spans="1:8" ht="16.5" customHeight="1" x14ac:dyDescent="0.25">
      <c r="A1173" s="27">
        <v>45791</v>
      </c>
      <c r="B1173" s="80">
        <v>2025</v>
      </c>
      <c r="C1173" s="80">
        <v>5</v>
      </c>
      <c r="D1173" s="30" t="s">
        <v>7</v>
      </c>
      <c r="E1173" s="30" t="s">
        <v>75</v>
      </c>
      <c r="F1173" s="30" t="s">
        <v>43</v>
      </c>
      <c r="G1173" s="33">
        <v>31.86947</v>
      </c>
      <c r="H1173" s="83" t="s">
        <v>48</v>
      </c>
    </row>
    <row r="1174" spans="1:8" ht="16.5" customHeight="1" x14ac:dyDescent="0.25">
      <c r="A1174" s="27">
        <v>45792</v>
      </c>
      <c r="B1174" s="80">
        <v>2025</v>
      </c>
      <c r="C1174" s="80">
        <v>5</v>
      </c>
      <c r="D1174" s="30" t="s">
        <v>7</v>
      </c>
      <c r="E1174" s="30" t="s">
        <v>38</v>
      </c>
      <c r="F1174" s="30" t="s">
        <v>43</v>
      </c>
      <c r="G1174" s="33">
        <v>8.5990000000000002</v>
      </c>
      <c r="H1174" s="83" t="s">
        <v>88</v>
      </c>
    </row>
    <row r="1175" spans="1:8" ht="16.5" customHeight="1" x14ac:dyDescent="0.25">
      <c r="A1175" s="27">
        <v>45792</v>
      </c>
      <c r="B1175" s="80">
        <v>2025</v>
      </c>
      <c r="C1175" s="80">
        <v>5</v>
      </c>
      <c r="D1175" s="30" t="s">
        <v>7</v>
      </c>
      <c r="E1175" s="30" t="s">
        <v>42</v>
      </c>
      <c r="F1175" s="30" t="s">
        <v>43</v>
      </c>
      <c r="G1175" s="33">
        <v>11.832000000000001</v>
      </c>
      <c r="H1175" s="83" t="s">
        <v>88</v>
      </c>
    </row>
    <row r="1176" spans="1:8" ht="16.5" customHeight="1" x14ac:dyDescent="0.25">
      <c r="A1176" s="27">
        <v>45792</v>
      </c>
      <c r="B1176" s="80">
        <v>2025</v>
      </c>
      <c r="C1176" s="80">
        <v>5</v>
      </c>
      <c r="D1176" s="30" t="s">
        <v>7</v>
      </c>
      <c r="E1176" s="30" t="s">
        <v>42</v>
      </c>
      <c r="F1176" s="30" t="s">
        <v>55</v>
      </c>
      <c r="G1176" s="33">
        <v>0.72</v>
      </c>
      <c r="H1176" s="83" t="s">
        <v>88</v>
      </c>
    </row>
    <row r="1177" spans="1:8" ht="16.5" customHeight="1" x14ac:dyDescent="0.25">
      <c r="A1177" s="27">
        <v>45792</v>
      </c>
      <c r="B1177" s="80">
        <v>2025</v>
      </c>
      <c r="C1177" s="80">
        <v>5</v>
      </c>
      <c r="D1177" s="30" t="s">
        <v>7</v>
      </c>
      <c r="E1177" s="30" t="s">
        <v>46</v>
      </c>
      <c r="F1177" s="30" t="s">
        <v>43</v>
      </c>
      <c r="G1177" s="33">
        <v>11.645348625</v>
      </c>
      <c r="H1177" s="83" t="s">
        <v>88</v>
      </c>
    </row>
    <row r="1178" spans="1:8" ht="16.5" customHeight="1" x14ac:dyDescent="0.25">
      <c r="A1178" s="27">
        <v>45792</v>
      </c>
      <c r="B1178" s="80">
        <v>2025</v>
      </c>
      <c r="C1178" s="80">
        <v>5</v>
      </c>
      <c r="D1178" s="30" t="s">
        <v>7</v>
      </c>
      <c r="E1178" s="30" t="s">
        <v>50</v>
      </c>
      <c r="F1178" s="30" t="s">
        <v>43</v>
      </c>
      <c r="G1178" s="33">
        <v>27.525343800000002</v>
      </c>
      <c r="H1178" s="83" t="s">
        <v>88</v>
      </c>
    </row>
    <row r="1179" spans="1:8" ht="16.5" customHeight="1" x14ac:dyDescent="0.25">
      <c r="A1179" s="27">
        <v>45792</v>
      </c>
      <c r="B1179" s="80">
        <v>2025</v>
      </c>
      <c r="C1179" s="80">
        <v>5</v>
      </c>
      <c r="D1179" s="30" t="s">
        <v>7</v>
      </c>
      <c r="E1179" s="30" t="s">
        <v>50</v>
      </c>
      <c r="F1179" s="30" t="s">
        <v>58</v>
      </c>
      <c r="G1179" s="33">
        <v>36.365952</v>
      </c>
      <c r="H1179" s="83" t="s">
        <v>88</v>
      </c>
    </row>
    <row r="1180" spans="1:8" ht="16.5" customHeight="1" x14ac:dyDescent="0.25">
      <c r="A1180" s="27">
        <v>45792</v>
      </c>
      <c r="B1180" s="80">
        <v>2025</v>
      </c>
      <c r="C1180" s="80">
        <v>5</v>
      </c>
      <c r="D1180" s="30" t="s">
        <v>7</v>
      </c>
      <c r="E1180" s="30" t="s">
        <v>54</v>
      </c>
      <c r="F1180" s="30" t="s">
        <v>43</v>
      </c>
      <c r="G1180" s="33">
        <v>3.6875</v>
      </c>
      <c r="H1180" s="83" t="s">
        <v>88</v>
      </c>
    </row>
    <row r="1181" spans="1:8" ht="16.5" customHeight="1" x14ac:dyDescent="0.25">
      <c r="A1181" s="27">
        <v>45792</v>
      </c>
      <c r="B1181" s="80">
        <v>2025</v>
      </c>
      <c r="C1181" s="80">
        <v>5</v>
      </c>
      <c r="D1181" s="30" t="s">
        <v>7</v>
      </c>
      <c r="E1181" s="30" t="s">
        <v>57</v>
      </c>
      <c r="F1181" s="30" t="s">
        <v>43</v>
      </c>
      <c r="G1181" s="33">
        <v>8.8800000000000008</v>
      </c>
      <c r="H1181" s="83" t="s">
        <v>89</v>
      </c>
    </row>
    <row r="1182" spans="1:8" ht="16.5" customHeight="1" x14ac:dyDescent="0.25">
      <c r="A1182" s="27">
        <v>45792</v>
      </c>
      <c r="B1182" s="80">
        <v>2025</v>
      </c>
      <c r="C1182" s="80">
        <v>5</v>
      </c>
      <c r="D1182" s="30" t="s">
        <v>7</v>
      </c>
      <c r="E1182" s="30" t="s">
        <v>57</v>
      </c>
      <c r="F1182" s="30" t="s">
        <v>55</v>
      </c>
      <c r="G1182" s="33">
        <v>1.764</v>
      </c>
      <c r="H1182" s="83" t="s">
        <v>89</v>
      </c>
    </row>
    <row r="1183" spans="1:8" ht="16.5" customHeight="1" x14ac:dyDescent="0.25">
      <c r="A1183" s="27">
        <v>45792</v>
      </c>
      <c r="B1183" s="80">
        <v>2025</v>
      </c>
      <c r="C1183" s="80">
        <v>5</v>
      </c>
      <c r="D1183" s="30" t="s">
        <v>7</v>
      </c>
      <c r="E1183" s="30" t="s">
        <v>61</v>
      </c>
      <c r="F1183" s="30" t="s">
        <v>43</v>
      </c>
      <c r="G1183" s="33">
        <v>1.7875000000000001</v>
      </c>
      <c r="H1183" s="83" t="s">
        <v>89</v>
      </c>
    </row>
    <row r="1184" spans="1:8" ht="16.5" customHeight="1" x14ac:dyDescent="0.25">
      <c r="A1184" s="27">
        <v>45792</v>
      </c>
      <c r="B1184" s="80">
        <v>2025</v>
      </c>
      <c r="C1184" s="80">
        <v>5</v>
      </c>
      <c r="D1184" s="30" t="s">
        <v>7</v>
      </c>
      <c r="E1184" s="30" t="s">
        <v>66</v>
      </c>
      <c r="F1184" s="30" t="s">
        <v>43</v>
      </c>
      <c r="G1184" s="33">
        <v>13.914999999999999</v>
      </c>
      <c r="H1184" s="83" t="s">
        <v>89</v>
      </c>
    </row>
    <row r="1185" spans="1:8" ht="16.5" customHeight="1" x14ac:dyDescent="0.25">
      <c r="A1185" s="27">
        <v>45792</v>
      </c>
      <c r="B1185" s="80">
        <v>2025</v>
      </c>
      <c r="C1185" s="80">
        <v>5</v>
      </c>
      <c r="D1185" s="30" t="s">
        <v>7</v>
      </c>
      <c r="E1185" s="30" t="s">
        <v>68</v>
      </c>
      <c r="F1185" s="30" t="s">
        <v>43</v>
      </c>
      <c r="G1185" s="33">
        <v>6.6464999999999996</v>
      </c>
      <c r="H1185" s="83" t="s">
        <v>89</v>
      </c>
    </row>
    <row r="1186" spans="1:8" ht="16.5" customHeight="1" x14ac:dyDescent="0.25">
      <c r="A1186" s="27">
        <v>45792</v>
      </c>
      <c r="B1186" s="80">
        <v>2025</v>
      </c>
      <c r="C1186" s="80">
        <v>5</v>
      </c>
      <c r="D1186" s="30" t="s">
        <v>7</v>
      </c>
      <c r="E1186" s="30" t="s">
        <v>71</v>
      </c>
      <c r="F1186" s="30" t="s">
        <v>43</v>
      </c>
      <c r="G1186" s="33">
        <v>10.023</v>
      </c>
      <c r="H1186" s="83" t="s">
        <v>89</v>
      </c>
    </row>
    <row r="1187" spans="1:8" ht="16.5" customHeight="1" x14ac:dyDescent="0.25">
      <c r="A1187" s="27">
        <v>45792</v>
      </c>
      <c r="B1187" s="80">
        <v>2025</v>
      </c>
      <c r="C1187" s="80">
        <v>5</v>
      </c>
      <c r="D1187" s="30" t="s">
        <v>7</v>
      </c>
      <c r="E1187" s="30" t="s">
        <v>74</v>
      </c>
      <c r="F1187" s="30" t="s">
        <v>43</v>
      </c>
      <c r="G1187" s="33">
        <v>38.4447975</v>
      </c>
      <c r="H1187" s="83" t="s">
        <v>89</v>
      </c>
    </row>
    <row r="1188" spans="1:8" ht="16.5" customHeight="1" x14ac:dyDescent="0.25">
      <c r="A1188" s="27">
        <v>45792</v>
      </c>
      <c r="B1188" s="80">
        <v>2025</v>
      </c>
      <c r="C1188" s="80">
        <v>5</v>
      </c>
      <c r="D1188" s="30" t="s">
        <v>7</v>
      </c>
      <c r="E1188" s="30" t="s">
        <v>75</v>
      </c>
      <c r="F1188" s="30" t="s">
        <v>43</v>
      </c>
      <c r="G1188" s="33">
        <v>38.645732500000001</v>
      </c>
      <c r="H1188" s="83" t="s">
        <v>48</v>
      </c>
    </row>
    <row r="1189" spans="1:8" ht="16.5" customHeight="1" x14ac:dyDescent="0.25">
      <c r="A1189" s="27">
        <v>45793</v>
      </c>
      <c r="B1189" s="80">
        <v>2025</v>
      </c>
      <c r="C1189" s="80">
        <v>5</v>
      </c>
      <c r="D1189" s="30" t="s">
        <v>7</v>
      </c>
      <c r="E1189" s="30" t="s">
        <v>38</v>
      </c>
      <c r="F1189" s="30" t="s">
        <v>43</v>
      </c>
      <c r="G1189" s="33">
        <v>4.2460000000000004</v>
      </c>
      <c r="H1189" s="83" t="s">
        <v>88</v>
      </c>
    </row>
    <row r="1190" spans="1:8" ht="16.5" customHeight="1" x14ac:dyDescent="0.25">
      <c r="A1190" s="27">
        <v>45793</v>
      </c>
      <c r="B1190" s="80">
        <v>2025</v>
      </c>
      <c r="C1190" s="80">
        <v>5</v>
      </c>
      <c r="D1190" s="30" t="s">
        <v>7</v>
      </c>
      <c r="E1190" s="30" t="s">
        <v>42</v>
      </c>
      <c r="F1190" s="30" t="s">
        <v>43</v>
      </c>
      <c r="G1190" s="33">
        <v>51.847999999999999</v>
      </c>
      <c r="H1190" s="83" t="s">
        <v>88</v>
      </c>
    </row>
    <row r="1191" spans="1:8" ht="16.5" customHeight="1" x14ac:dyDescent="0.25">
      <c r="A1191" s="27">
        <v>45793</v>
      </c>
      <c r="B1191" s="80">
        <v>2025</v>
      </c>
      <c r="C1191" s="80">
        <v>5</v>
      </c>
      <c r="D1191" s="30" t="s">
        <v>7</v>
      </c>
      <c r="E1191" s="30" t="s">
        <v>46</v>
      </c>
      <c r="F1191" s="30" t="s">
        <v>43</v>
      </c>
      <c r="G1191" s="33">
        <v>3.18533</v>
      </c>
      <c r="H1191" s="83" t="s">
        <v>88</v>
      </c>
    </row>
    <row r="1192" spans="1:8" ht="16.5" customHeight="1" x14ac:dyDescent="0.25">
      <c r="A1192" s="27">
        <v>45793</v>
      </c>
      <c r="B1192" s="80">
        <v>2025</v>
      </c>
      <c r="C1192" s="80">
        <v>5</v>
      </c>
      <c r="D1192" s="30" t="s">
        <v>7</v>
      </c>
      <c r="E1192" s="30" t="s">
        <v>50</v>
      </c>
      <c r="F1192" s="30" t="s">
        <v>43</v>
      </c>
      <c r="G1192" s="33">
        <v>9.5619101999999998</v>
      </c>
      <c r="H1192" s="83" t="s">
        <v>88</v>
      </c>
    </row>
    <row r="1193" spans="1:8" ht="16.5" customHeight="1" x14ac:dyDescent="0.25">
      <c r="A1193" s="27">
        <v>45793</v>
      </c>
      <c r="B1193" s="80">
        <v>2025</v>
      </c>
      <c r="C1193" s="80">
        <v>5</v>
      </c>
      <c r="D1193" s="30" t="s">
        <v>7</v>
      </c>
      <c r="E1193" s="30" t="s">
        <v>50</v>
      </c>
      <c r="F1193" s="30" t="s">
        <v>47</v>
      </c>
      <c r="G1193" s="33">
        <v>0.62160000000000004</v>
      </c>
      <c r="H1193" s="83" t="s">
        <v>88</v>
      </c>
    </row>
    <row r="1194" spans="1:8" ht="16.5" customHeight="1" x14ac:dyDescent="0.25">
      <c r="A1194" s="27">
        <v>45793</v>
      </c>
      <c r="B1194" s="80">
        <v>2025</v>
      </c>
      <c r="C1194" s="80">
        <v>5</v>
      </c>
      <c r="D1194" s="30" t="s">
        <v>7</v>
      </c>
      <c r="E1194" s="30" t="s">
        <v>54</v>
      </c>
      <c r="F1194" s="30" t="s">
        <v>43</v>
      </c>
      <c r="G1194" s="33">
        <v>5.2874999999999996</v>
      </c>
      <c r="H1194" s="83" t="s">
        <v>88</v>
      </c>
    </row>
    <row r="1195" spans="1:8" ht="16.5" customHeight="1" x14ac:dyDescent="0.25">
      <c r="A1195" s="27">
        <v>45793</v>
      </c>
      <c r="B1195" s="80">
        <v>2025</v>
      </c>
      <c r="C1195" s="80">
        <v>5</v>
      </c>
      <c r="D1195" s="30" t="s">
        <v>7</v>
      </c>
      <c r="E1195" s="30" t="s">
        <v>61</v>
      </c>
      <c r="F1195" s="30" t="s">
        <v>43</v>
      </c>
      <c r="G1195" s="33">
        <v>5.4550000000000001</v>
      </c>
      <c r="H1195" s="83" t="s">
        <v>89</v>
      </c>
    </row>
    <row r="1196" spans="1:8" ht="16.5" customHeight="1" x14ac:dyDescent="0.25">
      <c r="A1196" s="27">
        <v>45793</v>
      </c>
      <c r="B1196" s="80">
        <v>2025</v>
      </c>
      <c r="C1196" s="80">
        <v>5</v>
      </c>
      <c r="D1196" s="30" t="s">
        <v>7</v>
      </c>
      <c r="E1196" s="30" t="s">
        <v>66</v>
      </c>
      <c r="F1196" s="30" t="s">
        <v>39</v>
      </c>
      <c r="G1196" s="33">
        <v>6.3525</v>
      </c>
      <c r="H1196" s="83" t="s">
        <v>89</v>
      </c>
    </row>
    <row r="1197" spans="1:8" ht="16.5" customHeight="1" x14ac:dyDescent="0.25">
      <c r="A1197" s="27">
        <v>45793</v>
      </c>
      <c r="B1197" s="80">
        <v>2025</v>
      </c>
      <c r="C1197" s="80">
        <v>5</v>
      </c>
      <c r="D1197" s="30" t="s">
        <v>7</v>
      </c>
      <c r="E1197" s="30" t="s">
        <v>66</v>
      </c>
      <c r="F1197" s="30" t="s">
        <v>43</v>
      </c>
      <c r="G1197" s="33">
        <v>0.5</v>
      </c>
      <c r="H1197" s="83" t="s">
        <v>89</v>
      </c>
    </row>
    <row r="1198" spans="1:8" ht="16.5" customHeight="1" x14ac:dyDescent="0.25">
      <c r="A1198" s="27">
        <v>45793</v>
      </c>
      <c r="B1198" s="80">
        <v>2025</v>
      </c>
      <c r="C1198" s="80">
        <v>5</v>
      </c>
      <c r="D1198" s="30" t="s">
        <v>7</v>
      </c>
      <c r="E1198" s="30" t="s">
        <v>68</v>
      </c>
      <c r="F1198" s="30" t="s">
        <v>43</v>
      </c>
      <c r="G1198" s="33">
        <v>2.6779999999999999</v>
      </c>
      <c r="H1198" s="83" t="s">
        <v>89</v>
      </c>
    </row>
    <row r="1199" spans="1:8" ht="16.5" customHeight="1" x14ac:dyDescent="0.25">
      <c r="A1199" s="27">
        <v>45793</v>
      </c>
      <c r="B1199" s="80">
        <v>2025</v>
      </c>
      <c r="C1199" s="80">
        <v>5</v>
      </c>
      <c r="D1199" s="30" t="s">
        <v>7</v>
      </c>
      <c r="E1199" s="30" t="s">
        <v>71</v>
      </c>
      <c r="F1199" s="30" t="s">
        <v>43</v>
      </c>
      <c r="G1199" s="33">
        <v>3.105</v>
      </c>
      <c r="H1199" s="83" t="s">
        <v>89</v>
      </c>
    </row>
    <row r="1200" spans="1:8" ht="16.5" customHeight="1" x14ac:dyDescent="0.25">
      <c r="A1200" s="27">
        <v>45793</v>
      </c>
      <c r="B1200" s="80">
        <v>2025</v>
      </c>
      <c r="C1200" s="80">
        <v>5</v>
      </c>
      <c r="D1200" s="30" t="s">
        <v>7</v>
      </c>
      <c r="E1200" s="30" t="s">
        <v>73</v>
      </c>
      <c r="F1200" s="30" t="s">
        <v>51</v>
      </c>
      <c r="G1200" s="33">
        <v>3.1</v>
      </c>
      <c r="H1200" s="83" t="s">
        <v>89</v>
      </c>
    </row>
    <row r="1201" spans="1:8" ht="16.5" customHeight="1" x14ac:dyDescent="0.25">
      <c r="A1201" s="27">
        <v>45794</v>
      </c>
      <c r="B1201" s="80">
        <v>2025</v>
      </c>
      <c r="C1201" s="80">
        <v>5</v>
      </c>
      <c r="D1201" s="30" t="s">
        <v>7</v>
      </c>
      <c r="E1201" s="30" t="s">
        <v>50</v>
      </c>
      <c r="F1201" s="30" t="s">
        <v>51</v>
      </c>
      <c r="G1201" s="33">
        <v>0.6321</v>
      </c>
      <c r="H1201" s="83" t="s">
        <v>88</v>
      </c>
    </row>
    <row r="1202" spans="1:8" ht="16.5" customHeight="1" x14ac:dyDescent="0.25">
      <c r="A1202" s="27">
        <v>45796</v>
      </c>
      <c r="B1202" s="80">
        <v>2025</v>
      </c>
      <c r="C1202" s="80">
        <v>5</v>
      </c>
      <c r="D1202" s="30" t="s">
        <v>7</v>
      </c>
      <c r="E1202" s="30" t="s">
        <v>38</v>
      </c>
      <c r="F1202" s="30" t="s">
        <v>43</v>
      </c>
      <c r="G1202" s="33">
        <v>8.8474459999999997</v>
      </c>
      <c r="H1202" s="83" t="s">
        <v>88</v>
      </c>
    </row>
    <row r="1203" spans="1:8" ht="16.5" customHeight="1" x14ac:dyDescent="0.25">
      <c r="A1203" s="27">
        <v>45796</v>
      </c>
      <c r="B1203" s="80">
        <v>2025</v>
      </c>
      <c r="C1203" s="80">
        <v>5</v>
      </c>
      <c r="D1203" s="30" t="s">
        <v>7</v>
      </c>
      <c r="E1203" s="30" t="s">
        <v>42</v>
      </c>
      <c r="F1203" s="30" t="s">
        <v>43</v>
      </c>
      <c r="G1203" s="33">
        <v>2.9326699999999999</v>
      </c>
      <c r="H1203" s="83" t="s">
        <v>88</v>
      </c>
    </row>
    <row r="1204" spans="1:8" ht="16.5" customHeight="1" x14ac:dyDescent="0.25">
      <c r="A1204" s="27">
        <v>45796</v>
      </c>
      <c r="B1204" s="80">
        <v>2025</v>
      </c>
      <c r="C1204" s="80">
        <v>5</v>
      </c>
      <c r="D1204" s="30" t="s">
        <v>7</v>
      </c>
      <c r="E1204" s="30" t="s">
        <v>42</v>
      </c>
      <c r="F1204" s="30" t="s">
        <v>55</v>
      </c>
      <c r="G1204" s="33">
        <v>0.36</v>
      </c>
      <c r="H1204" s="83" t="s">
        <v>88</v>
      </c>
    </row>
    <row r="1205" spans="1:8" ht="16.5" customHeight="1" x14ac:dyDescent="0.25">
      <c r="A1205" s="27">
        <v>45796</v>
      </c>
      <c r="B1205" s="80">
        <v>2025</v>
      </c>
      <c r="C1205" s="80">
        <v>5</v>
      </c>
      <c r="D1205" s="30" t="s">
        <v>7</v>
      </c>
      <c r="E1205" s="30" t="s">
        <v>46</v>
      </c>
      <c r="F1205" s="30" t="s">
        <v>43</v>
      </c>
      <c r="G1205" s="33">
        <v>4.4854222000000004</v>
      </c>
      <c r="H1205" s="83" t="s">
        <v>88</v>
      </c>
    </row>
    <row r="1206" spans="1:8" ht="16.5" customHeight="1" x14ac:dyDescent="0.25">
      <c r="A1206" s="27">
        <v>45796</v>
      </c>
      <c r="B1206" s="80">
        <v>2025</v>
      </c>
      <c r="C1206" s="80">
        <v>5</v>
      </c>
      <c r="D1206" s="30" t="s">
        <v>7</v>
      </c>
      <c r="E1206" s="30" t="s">
        <v>50</v>
      </c>
      <c r="F1206" s="30" t="s">
        <v>43</v>
      </c>
      <c r="G1206" s="33">
        <v>178.0031558</v>
      </c>
      <c r="H1206" s="83" t="s">
        <v>88</v>
      </c>
    </row>
    <row r="1207" spans="1:8" ht="16.5" customHeight="1" x14ac:dyDescent="0.25">
      <c r="A1207" s="27">
        <v>45796</v>
      </c>
      <c r="B1207" s="80">
        <v>2025</v>
      </c>
      <c r="C1207" s="80">
        <v>5</v>
      </c>
      <c r="D1207" s="30" t="s">
        <v>7</v>
      </c>
      <c r="E1207" s="30" t="s">
        <v>50</v>
      </c>
      <c r="F1207" s="30" t="s">
        <v>55</v>
      </c>
      <c r="G1207" s="33">
        <v>7.2601787199999999</v>
      </c>
      <c r="H1207" s="83" t="s">
        <v>88</v>
      </c>
    </row>
    <row r="1208" spans="1:8" ht="16.5" customHeight="1" x14ac:dyDescent="0.25">
      <c r="A1208" s="27">
        <v>45796</v>
      </c>
      <c r="B1208" s="80">
        <v>2025</v>
      </c>
      <c r="C1208" s="80">
        <v>5</v>
      </c>
      <c r="D1208" s="30" t="s">
        <v>7</v>
      </c>
      <c r="E1208" s="30" t="s">
        <v>50</v>
      </c>
      <c r="F1208" s="30" t="s">
        <v>58</v>
      </c>
      <c r="G1208" s="33">
        <v>4.1494355000000001</v>
      </c>
      <c r="H1208" s="83" t="s">
        <v>88</v>
      </c>
    </row>
    <row r="1209" spans="1:8" ht="16.5" customHeight="1" x14ac:dyDescent="0.25">
      <c r="A1209" s="27">
        <v>45796</v>
      </c>
      <c r="B1209" s="80">
        <v>2025</v>
      </c>
      <c r="C1209" s="80">
        <v>5</v>
      </c>
      <c r="D1209" s="30" t="s">
        <v>7</v>
      </c>
      <c r="E1209" s="30" t="s">
        <v>54</v>
      </c>
      <c r="F1209" s="30" t="s">
        <v>43</v>
      </c>
      <c r="G1209" s="33">
        <v>3.2829999999999999</v>
      </c>
      <c r="H1209" s="83" t="s">
        <v>88</v>
      </c>
    </row>
    <row r="1210" spans="1:8" ht="16.5" customHeight="1" x14ac:dyDescent="0.25">
      <c r="A1210" s="27">
        <v>45796</v>
      </c>
      <c r="B1210" s="80">
        <v>2025</v>
      </c>
      <c r="C1210" s="80">
        <v>5</v>
      </c>
      <c r="D1210" s="30" t="s">
        <v>7</v>
      </c>
      <c r="E1210" s="30" t="s">
        <v>66</v>
      </c>
      <c r="F1210" s="30" t="s">
        <v>39</v>
      </c>
      <c r="G1210" s="33">
        <v>22.2376</v>
      </c>
      <c r="H1210" s="83" t="s">
        <v>89</v>
      </c>
    </row>
    <row r="1211" spans="1:8" ht="16.5" customHeight="1" x14ac:dyDescent="0.25">
      <c r="A1211" s="27">
        <v>45796</v>
      </c>
      <c r="B1211" s="80">
        <v>2025</v>
      </c>
      <c r="C1211" s="80">
        <v>5</v>
      </c>
      <c r="D1211" s="30" t="s">
        <v>7</v>
      </c>
      <c r="E1211" s="30" t="s">
        <v>66</v>
      </c>
      <c r="F1211" s="30" t="s">
        <v>43</v>
      </c>
      <c r="G1211" s="33">
        <v>1.28525</v>
      </c>
      <c r="H1211" s="83" t="s">
        <v>89</v>
      </c>
    </row>
    <row r="1212" spans="1:8" ht="16.5" customHeight="1" x14ac:dyDescent="0.25">
      <c r="A1212" s="27">
        <v>45796</v>
      </c>
      <c r="B1212" s="80">
        <v>2025</v>
      </c>
      <c r="C1212" s="80">
        <v>5</v>
      </c>
      <c r="D1212" s="30" t="s">
        <v>7</v>
      </c>
      <c r="E1212" s="30" t="s">
        <v>68</v>
      </c>
      <c r="F1212" s="30" t="s">
        <v>43</v>
      </c>
      <c r="G1212" s="33">
        <v>2.7949999999999999</v>
      </c>
      <c r="H1212" s="83" t="s">
        <v>89</v>
      </c>
    </row>
    <row r="1213" spans="1:8" ht="16.5" customHeight="1" x14ac:dyDescent="0.25">
      <c r="A1213" s="27">
        <v>45796</v>
      </c>
      <c r="B1213" s="80">
        <v>2025</v>
      </c>
      <c r="C1213" s="80">
        <v>5</v>
      </c>
      <c r="D1213" s="30" t="s">
        <v>7</v>
      </c>
      <c r="E1213" s="30" t="s">
        <v>71</v>
      </c>
      <c r="F1213" s="30" t="s">
        <v>43</v>
      </c>
      <c r="G1213" s="33">
        <v>2.12954</v>
      </c>
      <c r="H1213" s="83" t="s">
        <v>89</v>
      </c>
    </row>
    <row r="1214" spans="1:8" ht="16.5" customHeight="1" x14ac:dyDescent="0.25">
      <c r="A1214" s="27">
        <v>45796</v>
      </c>
      <c r="B1214" s="80">
        <v>2025</v>
      </c>
      <c r="C1214" s="80">
        <v>5</v>
      </c>
      <c r="D1214" s="30" t="s">
        <v>7</v>
      </c>
      <c r="E1214" s="30" t="s">
        <v>75</v>
      </c>
      <c r="F1214" s="30" t="s">
        <v>43</v>
      </c>
      <c r="G1214" s="33">
        <v>15.1361215</v>
      </c>
      <c r="H1214" s="83" t="s">
        <v>48</v>
      </c>
    </row>
    <row r="1215" spans="1:8" ht="16.5" customHeight="1" x14ac:dyDescent="0.25">
      <c r="A1215" s="27">
        <v>45797</v>
      </c>
      <c r="B1215" s="80">
        <v>2025</v>
      </c>
      <c r="C1215" s="80">
        <v>5</v>
      </c>
      <c r="D1215" s="30" t="s">
        <v>7</v>
      </c>
      <c r="E1215" s="30" t="s">
        <v>38</v>
      </c>
      <c r="F1215" s="30" t="s">
        <v>43</v>
      </c>
      <c r="G1215" s="33">
        <v>53.303249999999998</v>
      </c>
      <c r="H1215" s="83" t="s">
        <v>88</v>
      </c>
    </row>
    <row r="1216" spans="1:8" ht="16.5" customHeight="1" x14ac:dyDescent="0.25">
      <c r="A1216" s="27">
        <v>45797</v>
      </c>
      <c r="B1216" s="80">
        <v>2025</v>
      </c>
      <c r="C1216" s="80">
        <v>5</v>
      </c>
      <c r="D1216" s="30" t="s">
        <v>7</v>
      </c>
      <c r="E1216" s="30" t="s">
        <v>42</v>
      </c>
      <c r="F1216" s="30" t="s">
        <v>43</v>
      </c>
      <c r="G1216" s="33">
        <v>1.03887</v>
      </c>
      <c r="H1216" s="83" t="s">
        <v>88</v>
      </c>
    </row>
    <row r="1217" spans="1:8" ht="16.5" customHeight="1" x14ac:dyDescent="0.25">
      <c r="A1217" s="27">
        <v>45797</v>
      </c>
      <c r="B1217" s="80">
        <v>2025</v>
      </c>
      <c r="C1217" s="80">
        <v>5</v>
      </c>
      <c r="D1217" s="30" t="s">
        <v>7</v>
      </c>
      <c r="E1217" s="30" t="s">
        <v>46</v>
      </c>
      <c r="F1217" s="30" t="s">
        <v>47</v>
      </c>
      <c r="G1217" s="33">
        <v>0.129135</v>
      </c>
      <c r="H1217" s="83" t="s">
        <v>88</v>
      </c>
    </row>
    <row r="1218" spans="1:8" ht="16.5" customHeight="1" x14ac:dyDescent="0.25">
      <c r="A1218" s="27">
        <v>45797</v>
      </c>
      <c r="B1218" s="80">
        <v>2025</v>
      </c>
      <c r="C1218" s="80">
        <v>5</v>
      </c>
      <c r="D1218" s="30" t="s">
        <v>7</v>
      </c>
      <c r="E1218" s="30" t="s">
        <v>46</v>
      </c>
      <c r="F1218" s="30" t="s">
        <v>55</v>
      </c>
      <c r="G1218" s="33">
        <v>0.23244300000000001</v>
      </c>
      <c r="H1218" s="83" t="s">
        <v>88</v>
      </c>
    </row>
    <row r="1219" spans="1:8" ht="16.5" customHeight="1" x14ac:dyDescent="0.25">
      <c r="A1219" s="27">
        <v>45797</v>
      </c>
      <c r="B1219" s="80">
        <v>2025</v>
      </c>
      <c r="C1219" s="80">
        <v>5</v>
      </c>
      <c r="D1219" s="30" t="s">
        <v>7</v>
      </c>
      <c r="E1219" s="30" t="s">
        <v>50</v>
      </c>
      <c r="F1219" s="30" t="s">
        <v>43</v>
      </c>
      <c r="G1219" s="33">
        <v>32.206806</v>
      </c>
      <c r="H1219" s="83" t="s">
        <v>88</v>
      </c>
    </row>
    <row r="1220" spans="1:8" ht="16.5" customHeight="1" x14ac:dyDescent="0.25">
      <c r="A1220" s="27">
        <v>45797</v>
      </c>
      <c r="B1220" s="80">
        <v>2025</v>
      </c>
      <c r="C1220" s="80">
        <v>5</v>
      </c>
      <c r="D1220" s="30" t="s">
        <v>7</v>
      </c>
      <c r="E1220" s="30" t="s">
        <v>54</v>
      </c>
      <c r="F1220" s="30" t="s">
        <v>43</v>
      </c>
      <c r="G1220" s="33">
        <v>1.98</v>
      </c>
      <c r="H1220" s="83" t="s">
        <v>88</v>
      </c>
    </row>
    <row r="1221" spans="1:8" ht="16.5" customHeight="1" x14ac:dyDescent="0.25">
      <c r="A1221" s="27">
        <v>45797</v>
      </c>
      <c r="B1221" s="80">
        <v>2025</v>
      </c>
      <c r="C1221" s="80">
        <v>5</v>
      </c>
      <c r="D1221" s="30" t="s">
        <v>7</v>
      </c>
      <c r="E1221" s="30" t="s">
        <v>66</v>
      </c>
      <c r="F1221" s="30" t="s">
        <v>43</v>
      </c>
      <c r="G1221" s="33">
        <v>2.4750000000000001</v>
      </c>
      <c r="H1221" s="83" t="s">
        <v>89</v>
      </c>
    </row>
    <row r="1222" spans="1:8" ht="16.5" customHeight="1" x14ac:dyDescent="0.25">
      <c r="A1222" s="27">
        <v>45797</v>
      </c>
      <c r="B1222" s="80">
        <v>2025</v>
      </c>
      <c r="C1222" s="80">
        <v>5</v>
      </c>
      <c r="D1222" s="30" t="s">
        <v>7</v>
      </c>
      <c r="E1222" s="30" t="s">
        <v>71</v>
      </c>
      <c r="F1222" s="30" t="s">
        <v>43</v>
      </c>
      <c r="G1222" s="33">
        <v>6.21</v>
      </c>
      <c r="H1222" s="83" t="s">
        <v>89</v>
      </c>
    </row>
    <row r="1223" spans="1:8" ht="16.5" customHeight="1" x14ac:dyDescent="0.25">
      <c r="A1223" s="27">
        <v>45798</v>
      </c>
      <c r="B1223" s="80">
        <v>2025</v>
      </c>
      <c r="C1223" s="80">
        <v>5</v>
      </c>
      <c r="D1223" s="30" t="s">
        <v>7</v>
      </c>
      <c r="E1223" s="30" t="s">
        <v>38</v>
      </c>
      <c r="F1223" s="30" t="s">
        <v>43</v>
      </c>
      <c r="G1223" s="33">
        <v>46.433999999999997</v>
      </c>
      <c r="H1223" s="83" t="s">
        <v>88</v>
      </c>
    </row>
    <row r="1224" spans="1:8" ht="16.5" customHeight="1" x14ac:dyDescent="0.25">
      <c r="A1224" s="27">
        <v>45798</v>
      </c>
      <c r="B1224" s="80">
        <v>2025</v>
      </c>
      <c r="C1224" s="80">
        <v>5</v>
      </c>
      <c r="D1224" s="30" t="s">
        <v>7</v>
      </c>
      <c r="E1224" s="30" t="s">
        <v>42</v>
      </c>
      <c r="F1224" s="30" t="s">
        <v>43</v>
      </c>
      <c r="G1224" s="33">
        <v>7.5125000000000002</v>
      </c>
      <c r="H1224" s="83" t="s">
        <v>88</v>
      </c>
    </row>
    <row r="1225" spans="1:8" ht="16.5" customHeight="1" x14ac:dyDescent="0.25">
      <c r="A1225" s="27">
        <v>45798</v>
      </c>
      <c r="B1225" s="80">
        <v>2025</v>
      </c>
      <c r="C1225" s="80">
        <v>5</v>
      </c>
      <c r="D1225" s="30" t="s">
        <v>7</v>
      </c>
      <c r="E1225" s="30" t="s">
        <v>46</v>
      </c>
      <c r="F1225" s="30" t="s">
        <v>43</v>
      </c>
      <c r="G1225" s="33">
        <v>4.3664715000000003</v>
      </c>
      <c r="H1225" s="83" t="s">
        <v>88</v>
      </c>
    </row>
    <row r="1226" spans="1:8" ht="16.5" customHeight="1" x14ac:dyDescent="0.25">
      <c r="A1226" s="27">
        <v>45798</v>
      </c>
      <c r="B1226" s="80">
        <v>2025</v>
      </c>
      <c r="C1226" s="80">
        <v>5</v>
      </c>
      <c r="D1226" s="30" t="s">
        <v>7</v>
      </c>
      <c r="E1226" s="30" t="s">
        <v>46</v>
      </c>
      <c r="F1226" s="30" t="s">
        <v>58</v>
      </c>
      <c r="G1226" s="33">
        <v>2.2397137499999999</v>
      </c>
      <c r="H1226" s="83" t="s">
        <v>88</v>
      </c>
    </row>
    <row r="1227" spans="1:8" ht="16.5" customHeight="1" x14ac:dyDescent="0.25">
      <c r="A1227" s="27">
        <v>45798</v>
      </c>
      <c r="B1227" s="80">
        <v>2025</v>
      </c>
      <c r="C1227" s="80">
        <v>5</v>
      </c>
      <c r="D1227" s="30" t="s">
        <v>7</v>
      </c>
      <c r="E1227" s="30" t="s">
        <v>50</v>
      </c>
      <c r="F1227" s="30" t="s">
        <v>43</v>
      </c>
      <c r="G1227" s="33">
        <v>7.5494775499999998</v>
      </c>
      <c r="H1227" s="83" t="s">
        <v>88</v>
      </c>
    </row>
    <row r="1228" spans="1:8" ht="16.5" customHeight="1" x14ac:dyDescent="0.25">
      <c r="A1228" s="27">
        <v>45798</v>
      </c>
      <c r="B1228" s="80">
        <v>2025</v>
      </c>
      <c r="C1228" s="80">
        <v>5</v>
      </c>
      <c r="D1228" s="30" t="s">
        <v>7</v>
      </c>
      <c r="E1228" s="30" t="s">
        <v>50</v>
      </c>
      <c r="F1228" s="30" t="s">
        <v>47</v>
      </c>
      <c r="G1228" s="33">
        <v>0.57025000000000003</v>
      </c>
      <c r="H1228" s="83" t="s">
        <v>88</v>
      </c>
    </row>
    <row r="1229" spans="1:8" ht="16.5" customHeight="1" x14ac:dyDescent="0.25">
      <c r="A1229" s="27">
        <v>45798</v>
      </c>
      <c r="B1229" s="80">
        <v>2025</v>
      </c>
      <c r="C1229" s="80">
        <v>5</v>
      </c>
      <c r="D1229" s="30" t="s">
        <v>7</v>
      </c>
      <c r="E1229" s="30" t="s">
        <v>50</v>
      </c>
      <c r="F1229" s="30" t="s">
        <v>58</v>
      </c>
      <c r="G1229" s="33">
        <v>0.16505775</v>
      </c>
      <c r="H1229" s="83" t="s">
        <v>88</v>
      </c>
    </row>
    <row r="1230" spans="1:8" ht="16.5" customHeight="1" x14ac:dyDescent="0.25">
      <c r="A1230" s="27">
        <v>45798</v>
      </c>
      <c r="B1230" s="80">
        <v>2025</v>
      </c>
      <c r="C1230" s="80">
        <v>5</v>
      </c>
      <c r="D1230" s="30" t="s">
        <v>7</v>
      </c>
      <c r="E1230" s="30" t="s">
        <v>54</v>
      </c>
      <c r="F1230" s="30" t="s">
        <v>43</v>
      </c>
      <c r="G1230" s="33">
        <v>1.425</v>
      </c>
      <c r="H1230" s="83" t="s">
        <v>88</v>
      </c>
    </row>
    <row r="1231" spans="1:8" ht="16.5" customHeight="1" x14ac:dyDescent="0.25">
      <c r="A1231" s="27">
        <v>45798</v>
      </c>
      <c r="B1231" s="80">
        <v>2025</v>
      </c>
      <c r="C1231" s="80">
        <v>5</v>
      </c>
      <c r="D1231" s="30" t="s">
        <v>7</v>
      </c>
      <c r="E1231" s="30" t="s">
        <v>66</v>
      </c>
      <c r="F1231" s="30" t="s">
        <v>43</v>
      </c>
      <c r="G1231" s="33">
        <v>7.5265000000000004</v>
      </c>
      <c r="H1231" s="83" t="s">
        <v>89</v>
      </c>
    </row>
    <row r="1232" spans="1:8" ht="16.5" customHeight="1" x14ac:dyDescent="0.25">
      <c r="A1232" s="27">
        <v>45798</v>
      </c>
      <c r="B1232" s="80">
        <v>2025</v>
      </c>
      <c r="C1232" s="80">
        <v>5</v>
      </c>
      <c r="D1232" s="30" t="s">
        <v>7</v>
      </c>
      <c r="E1232" s="30" t="s">
        <v>68</v>
      </c>
      <c r="F1232" s="30" t="s">
        <v>43</v>
      </c>
      <c r="G1232" s="33">
        <v>1.2649999999999999</v>
      </c>
      <c r="H1232" s="83" t="s">
        <v>89</v>
      </c>
    </row>
    <row r="1233" spans="1:8" ht="16.5" customHeight="1" x14ac:dyDescent="0.25">
      <c r="A1233" s="27">
        <v>45798</v>
      </c>
      <c r="B1233" s="80">
        <v>2025</v>
      </c>
      <c r="C1233" s="80">
        <v>5</v>
      </c>
      <c r="D1233" s="30" t="s">
        <v>7</v>
      </c>
      <c r="E1233" s="30" t="s">
        <v>75</v>
      </c>
      <c r="F1233" s="30" t="s">
        <v>43</v>
      </c>
      <c r="G1233" s="33">
        <v>10.786770000000001</v>
      </c>
      <c r="H1233" s="83" t="s">
        <v>48</v>
      </c>
    </row>
    <row r="1234" spans="1:8" ht="16.5" customHeight="1" x14ac:dyDescent="0.25">
      <c r="A1234" s="27">
        <v>45799</v>
      </c>
      <c r="B1234" s="80">
        <v>2025</v>
      </c>
      <c r="C1234" s="80">
        <v>5</v>
      </c>
      <c r="D1234" s="30" t="s">
        <v>7</v>
      </c>
      <c r="E1234" s="30" t="s">
        <v>38</v>
      </c>
      <c r="F1234" s="30" t="s">
        <v>43</v>
      </c>
      <c r="G1234" s="33">
        <v>2.2345760000000001</v>
      </c>
      <c r="H1234" s="83" t="s">
        <v>88</v>
      </c>
    </row>
    <row r="1235" spans="1:8" ht="16.5" customHeight="1" x14ac:dyDescent="0.25">
      <c r="A1235" s="27">
        <v>45799</v>
      </c>
      <c r="B1235" s="80">
        <v>2025</v>
      </c>
      <c r="C1235" s="80">
        <v>5</v>
      </c>
      <c r="D1235" s="30" t="s">
        <v>7</v>
      </c>
      <c r="E1235" s="30" t="s">
        <v>38</v>
      </c>
      <c r="F1235" s="30" t="s">
        <v>55</v>
      </c>
      <c r="G1235" s="33">
        <v>0.35</v>
      </c>
      <c r="H1235" s="83" t="s">
        <v>88</v>
      </c>
    </row>
    <row r="1236" spans="1:8" ht="16.5" customHeight="1" x14ac:dyDescent="0.25">
      <c r="A1236" s="27">
        <v>45799</v>
      </c>
      <c r="B1236" s="80">
        <v>2025</v>
      </c>
      <c r="C1236" s="80">
        <v>5</v>
      </c>
      <c r="D1236" s="30" t="s">
        <v>7</v>
      </c>
      <c r="E1236" s="30" t="s">
        <v>42</v>
      </c>
      <c r="F1236" s="30" t="s">
        <v>43</v>
      </c>
      <c r="G1236" s="33">
        <v>1.645</v>
      </c>
      <c r="H1236" s="83" t="s">
        <v>88</v>
      </c>
    </row>
    <row r="1237" spans="1:8" ht="16.5" customHeight="1" x14ac:dyDescent="0.25">
      <c r="A1237" s="27">
        <v>45799</v>
      </c>
      <c r="B1237" s="80">
        <v>2025</v>
      </c>
      <c r="C1237" s="80">
        <v>5</v>
      </c>
      <c r="D1237" s="30" t="s">
        <v>7</v>
      </c>
      <c r="E1237" s="30" t="s">
        <v>50</v>
      </c>
      <c r="F1237" s="30" t="s">
        <v>43</v>
      </c>
      <c r="G1237" s="33">
        <v>18.014243799999999</v>
      </c>
      <c r="H1237" s="83" t="s">
        <v>88</v>
      </c>
    </row>
    <row r="1238" spans="1:8" ht="16.5" customHeight="1" x14ac:dyDescent="0.25">
      <c r="A1238" s="27">
        <v>45799</v>
      </c>
      <c r="B1238" s="80">
        <v>2025</v>
      </c>
      <c r="C1238" s="80">
        <v>5</v>
      </c>
      <c r="D1238" s="30" t="s">
        <v>7</v>
      </c>
      <c r="E1238" s="30" t="s">
        <v>50</v>
      </c>
      <c r="F1238" s="30" t="s">
        <v>51</v>
      </c>
      <c r="G1238" s="33">
        <v>1.1220000000000001</v>
      </c>
      <c r="H1238" s="83" t="s">
        <v>88</v>
      </c>
    </row>
    <row r="1239" spans="1:8" ht="16.5" customHeight="1" x14ac:dyDescent="0.25">
      <c r="A1239" s="27">
        <v>45799</v>
      </c>
      <c r="B1239" s="80">
        <v>2025</v>
      </c>
      <c r="C1239" s="80">
        <v>5</v>
      </c>
      <c r="D1239" s="30" t="s">
        <v>7</v>
      </c>
      <c r="E1239" s="30" t="s">
        <v>50</v>
      </c>
      <c r="F1239" s="30" t="s">
        <v>55</v>
      </c>
      <c r="G1239" s="33">
        <v>0.47699999999999998</v>
      </c>
      <c r="H1239" s="83" t="s">
        <v>88</v>
      </c>
    </row>
    <row r="1240" spans="1:8" ht="16.5" customHeight="1" x14ac:dyDescent="0.25">
      <c r="A1240" s="27">
        <v>45799</v>
      </c>
      <c r="B1240" s="80">
        <v>2025</v>
      </c>
      <c r="C1240" s="80">
        <v>5</v>
      </c>
      <c r="D1240" s="30" t="s">
        <v>7</v>
      </c>
      <c r="E1240" s="30" t="s">
        <v>50</v>
      </c>
      <c r="F1240" s="30" t="s">
        <v>58</v>
      </c>
      <c r="G1240" s="33">
        <v>3.1322790999999999</v>
      </c>
      <c r="H1240" s="83" t="s">
        <v>88</v>
      </c>
    </row>
    <row r="1241" spans="1:8" ht="16.5" customHeight="1" x14ac:dyDescent="0.25">
      <c r="A1241" s="27">
        <v>45799</v>
      </c>
      <c r="B1241" s="80">
        <v>2025</v>
      </c>
      <c r="C1241" s="80">
        <v>5</v>
      </c>
      <c r="D1241" s="30" t="s">
        <v>7</v>
      </c>
      <c r="E1241" s="30" t="s">
        <v>54</v>
      </c>
      <c r="F1241" s="30" t="s">
        <v>43</v>
      </c>
      <c r="G1241" s="33">
        <v>0.745</v>
      </c>
      <c r="H1241" s="83" t="s">
        <v>88</v>
      </c>
    </row>
    <row r="1242" spans="1:8" ht="16.5" customHeight="1" x14ac:dyDescent="0.25">
      <c r="A1242" s="27">
        <v>45799</v>
      </c>
      <c r="B1242" s="80">
        <v>2025</v>
      </c>
      <c r="C1242" s="80">
        <v>5</v>
      </c>
      <c r="D1242" s="30" t="s">
        <v>7</v>
      </c>
      <c r="E1242" s="30" t="s">
        <v>57</v>
      </c>
      <c r="F1242" s="30" t="s">
        <v>43</v>
      </c>
      <c r="G1242" s="33">
        <v>5.0289999999999999</v>
      </c>
      <c r="H1242" s="83" t="s">
        <v>89</v>
      </c>
    </row>
    <row r="1243" spans="1:8" ht="16.5" customHeight="1" x14ac:dyDescent="0.25">
      <c r="A1243" s="27">
        <v>45799</v>
      </c>
      <c r="B1243" s="80">
        <v>2025</v>
      </c>
      <c r="C1243" s="80">
        <v>5</v>
      </c>
      <c r="D1243" s="30" t="s">
        <v>7</v>
      </c>
      <c r="E1243" s="30" t="s">
        <v>57</v>
      </c>
      <c r="F1243" s="30" t="s">
        <v>51</v>
      </c>
      <c r="G1243" s="33">
        <v>5.1608000000000001</v>
      </c>
      <c r="H1243" s="83" t="s">
        <v>89</v>
      </c>
    </row>
    <row r="1244" spans="1:8" ht="16.5" customHeight="1" x14ac:dyDescent="0.25">
      <c r="A1244" s="27">
        <v>45799</v>
      </c>
      <c r="B1244" s="80">
        <v>2025</v>
      </c>
      <c r="C1244" s="80">
        <v>5</v>
      </c>
      <c r="D1244" s="30" t="s">
        <v>7</v>
      </c>
      <c r="E1244" s="30" t="s">
        <v>61</v>
      </c>
      <c r="F1244" s="30" t="s">
        <v>43</v>
      </c>
      <c r="G1244" s="33">
        <v>4.577</v>
      </c>
      <c r="H1244" s="83" t="s">
        <v>89</v>
      </c>
    </row>
    <row r="1245" spans="1:8" ht="16.5" customHeight="1" x14ac:dyDescent="0.25">
      <c r="A1245" s="27">
        <v>45799</v>
      </c>
      <c r="B1245" s="80">
        <v>2025</v>
      </c>
      <c r="C1245" s="80">
        <v>5</v>
      </c>
      <c r="D1245" s="30" t="s">
        <v>7</v>
      </c>
      <c r="E1245" s="30" t="s">
        <v>61</v>
      </c>
      <c r="F1245" s="30" t="s">
        <v>47</v>
      </c>
      <c r="G1245" s="33">
        <v>2.5</v>
      </c>
      <c r="H1245" s="83" t="s">
        <v>89</v>
      </c>
    </row>
    <row r="1246" spans="1:8" ht="16.5" customHeight="1" x14ac:dyDescent="0.25">
      <c r="A1246" s="27">
        <v>45799</v>
      </c>
      <c r="B1246" s="80">
        <v>2025</v>
      </c>
      <c r="C1246" s="80">
        <v>5</v>
      </c>
      <c r="D1246" s="30" t="s">
        <v>7</v>
      </c>
      <c r="E1246" s="30" t="s">
        <v>61</v>
      </c>
      <c r="F1246" s="30" t="s">
        <v>55</v>
      </c>
      <c r="G1246" s="33">
        <v>5.09</v>
      </c>
      <c r="H1246" s="83" t="s">
        <v>89</v>
      </c>
    </row>
    <row r="1247" spans="1:8" ht="16.5" customHeight="1" x14ac:dyDescent="0.25">
      <c r="A1247" s="27">
        <v>45799</v>
      </c>
      <c r="B1247" s="80">
        <v>2025</v>
      </c>
      <c r="C1247" s="80">
        <v>5</v>
      </c>
      <c r="D1247" s="30" t="s">
        <v>7</v>
      </c>
      <c r="E1247" s="30" t="s">
        <v>66</v>
      </c>
      <c r="F1247" s="30" t="s">
        <v>43</v>
      </c>
      <c r="G1247" s="33">
        <v>12.073600000000001</v>
      </c>
      <c r="H1247" s="83" t="s">
        <v>89</v>
      </c>
    </row>
    <row r="1248" spans="1:8" ht="16.5" customHeight="1" x14ac:dyDescent="0.25">
      <c r="A1248" s="27">
        <v>45799</v>
      </c>
      <c r="B1248" s="80">
        <v>2025</v>
      </c>
      <c r="C1248" s="80">
        <v>5</v>
      </c>
      <c r="D1248" s="30" t="s">
        <v>7</v>
      </c>
      <c r="E1248" s="30" t="s">
        <v>68</v>
      </c>
      <c r="F1248" s="30" t="s">
        <v>43</v>
      </c>
      <c r="G1248" s="33">
        <v>0.435</v>
      </c>
      <c r="H1248" s="83" t="s">
        <v>89</v>
      </c>
    </row>
    <row r="1249" spans="1:8" ht="16.5" customHeight="1" x14ac:dyDescent="0.25">
      <c r="A1249" s="27">
        <v>45799</v>
      </c>
      <c r="B1249" s="80">
        <v>2025</v>
      </c>
      <c r="C1249" s="80">
        <v>5</v>
      </c>
      <c r="D1249" s="30" t="s">
        <v>7</v>
      </c>
      <c r="E1249" s="30" t="s">
        <v>68</v>
      </c>
      <c r="F1249" s="30" t="s">
        <v>55</v>
      </c>
      <c r="G1249" s="33">
        <v>0.44</v>
      </c>
      <c r="H1249" s="83" t="s">
        <v>89</v>
      </c>
    </row>
    <row r="1250" spans="1:8" ht="16.5" customHeight="1" x14ac:dyDescent="0.25">
      <c r="A1250" s="27">
        <v>45799</v>
      </c>
      <c r="B1250" s="80">
        <v>2025</v>
      </c>
      <c r="C1250" s="80">
        <v>5</v>
      </c>
      <c r="D1250" s="30" t="s">
        <v>7</v>
      </c>
      <c r="E1250" s="30" t="s">
        <v>74</v>
      </c>
      <c r="F1250" s="30" t="s">
        <v>43</v>
      </c>
      <c r="G1250" s="33">
        <v>5.9115000000000002</v>
      </c>
      <c r="H1250" s="83" t="s">
        <v>89</v>
      </c>
    </row>
    <row r="1251" spans="1:8" ht="16.5" customHeight="1" x14ac:dyDescent="0.25">
      <c r="A1251" s="27">
        <v>45799</v>
      </c>
      <c r="B1251" s="80">
        <v>2025</v>
      </c>
      <c r="C1251" s="80">
        <v>5</v>
      </c>
      <c r="D1251" s="30" t="s">
        <v>7</v>
      </c>
      <c r="E1251" s="30" t="s">
        <v>75</v>
      </c>
      <c r="F1251" s="30" t="s">
        <v>43</v>
      </c>
      <c r="G1251" s="33">
        <v>1.3027500000000001</v>
      </c>
      <c r="H1251" s="83" t="s">
        <v>48</v>
      </c>
    </row>
    <row r="1252" spans="1:8" ht="16.5" customHeight="1" x14ac:dyDescent="0.25">
      <c r="A1252" s="27">
        <v>45800</v>
      </c>
      <c r="B1252" s="80">
        <v>2025</v>
      </c>
      <c r="C1252" s="80">
        <v>5</v>
      </c>
      <c r="D1252" s="30" t="s">
        <v>7</v>
      </c>
      <c r="E1252" s="30" t="s">
        <v>38</v>
      </c>
      <c r="F1252" s="30" t="s">
        <v>43</v>
      </c>
      <c r="G1252" s="33">
        <v>0.52500000000000002</v>
      </c>
      <c r="H1252" s="83" t="s">
        <v>88</v>
      </c>
    </row>
    <row r="1253" spans="1:8" ht="16.5" customHeight="1" x14ac:dyDescent="0.25">
      <c r="A1253" s="27">
        <v>45800</v>
      </c>
      <c r="B1253" s="80">
        <v>2025</v>
      </c>
      <c r="C1253" s="80">
        <v>5</v>
      </c>
      <c r="D1253" s="30" t="s">
        <v>7</v>
      </c>
      <c r="E1253" s="30" t="s">
        <v>46</v>
      </c>
      <c r="F1253" s="30" t="s">
        <v>43</v>
      </c>
      <c r="G1253" s="33">
        <v>0.72921800000000003</v>
      </c>
      <c r="H1253" s="83" t="s">
        <v>88</v>
      </c>
    </row>
    <row r="1254" spans="1:8" ht="16.5" customHeight="1" x14ac:dyDescent="0.25">
      <c r="A1254" s="27">
        <v>45800</v>
      </c>
      <c r="B1254" s="80">
        <v>2025</v>
      </c>
      <c r="C1254" s="80">
        <v>5</v>
      </c>
      <c r="D1254" s="30" t="s">
        <v>7</v>
      </c>
      <c r="E1254" s="30" t="s">
        <v>50</v>
      </c>
      <c r="F1254" s="30" t="s">
        <v>43</v>
      </c>
      <c r="G1254" s="33">
        <v>1.1683555999999999</v>
      </c>
      <c r="H1254" s="83" t="s">
        <v>88</v>
      </c>
    </row>
    <row r="1255" spans="1:8" ht="16.5" customHeight="1" x14ac:dyDescent="0.25">
      <c r="A1255" s="27">
        <v>45800</v>
      </c>
      <c r="B1255" s="80">
        <v>2025</v>
      </c>
      <c r="C1255" s="80">
        <v>5</v>
      </c>
      <c r="D1255" s="30" t="s">
        <v>7</v>
      </c>
      <c r="E1255" s="30" t="s">
        <v>50</v>
      </c>
      <c r="F1255" s="30" t="s">
        <v>47</v>
      </c>
      <c r="G1255" s="33">
        <v>1.8648</v>
      </c>
      <c r="H1255" s="83" t="s">
        <v>88</v>
      </c>
    </row>
    <row r="1256" spans="1:8" ht="16.5" customHeight="1" x14ac:dyDescent="0.25">
      <c r="A1256" s="27">
        <v>45800</v>
      </c>
      <c r="B1256" s="80">
        <v>2025</v>
      </c>
      <c r="C1256" s="80">
        <v>5</v>
      </c>
      <c r="D1256" s="30" t="s">
        <v>7</v>
      </c>
      <c r="E1256" s="30" t="s">
        <v>54</v>
      </c>
      <c r="F1256" s="30" t="s">
        <v>43</v>
      </c>
      <c r="G1256" s="33">
        <v>1.84135</v>
      </c>
      <c r="H1256" s="83" t="s">
        <v>88</v>
      </c>
    </row>
    <row r="1257" spans="1:8" ht="16.5" customHeight="1" x14ac:dyDescent="0.25">
      <c r="A1257" s="27">
        <v>45800</v>
      </c>
      <c r="B1257" s="80">
        <v>2025</v>
      </c>
      <c r="C1257" s="80">
        <v>5</v>
      </c>
      <c r="D1257" s="30" t="s">
        <v>7</v>
      </c>
      <c r="E1257" s="30" t="s">
        <v>66</v>
      </c>
      <c r="F1257" s="30" t="s">
        <v>43</v>
      </c>
      <c r="G1257" s="33">
        <v>2.1949999999999998</v>
      </c>
      <c r="H1257" s="83" t="s">
        <v>89</v>
      </c>
    </row>
    <row r="1258" spans="1:8" ht="16.5" customHeight="1" x14ac:dyDescent="0.25">
      <c r="A1258" s="27">
        <v>45800</v>
      </c>
      <c r="B1258" s="80">
        <v>2025</v>
      </c>
      <c r="C1258" s="80">
        <v>5</v>
      </c>
      <c r="D1258" s="30" t="s">
        <v>7</v>
      </c>
      <c r="E1258" s="30" t="s">
        <v>75</v>
      </c>
      <c r="F1258" s="30" t="s">
        <v>43</v>
      </c>
      <c r="G1258" s="33">
        <v>17.496540450000001</v>
      </c>
      <c r="H1258" s="83" t="s">
        <v>48</v>
      </c>
    </row>
    <row r="1259" spans="1:8" ht="16.5" customHeight="1" x14ac:dyDescent="0.25">
      <c r="A1259" s="27">
        <v>45803</v>
      </c>
      <c r="B1259" s="80">
        <v>2025</v>
      </c>
      <c r="C1259" s="80">
        <v>5</v>
      </c>
      <c r="D1259" s="30" t="s">
        <v>7</v>
      </c>
      <c r="E1259" s="30" t="s">
        <v>42</v>
      </c>
      <c r="F1259" s="30" t="s">
        <v>43</v>
      </c>
      <c r="G1259" s="33">
        <v>1.1559999999999999</v>
      </c>
      <c r="H1259" s="83" t="s">
        <v>88</v>
      </c>
    </row>
    <row r="1260" spans="1:8" ht="16.5" customHeight="1" x14ac:dyDescent="0.25">
      <c r="A1260" s="27">
        <v>45803</v>
      </c>
      <c r="B1260" s="80">
        <v>2025</v>
      </c>
      <c r="C1260" s="80">
        <v>5</v>
      </c>
      <c r="D1260" s="30" t="s">
        <v>7</v>
      </c>
      <c r="E1260" s="30" t="s">
        <v>42</v>
      </c>
      <c r="F1260" s="30" t="s">
        <v>55</v>
      </c>
      <c r="G1260" s="33">
        <v>0.35</v>
      </c>
      <c r="H1260" s="83" t="s">
        <v>88</v>
      </c>
    </row>
    <row r="1261" spans="1:8" ht="16.5" customHeight="1" x14ac:dyDescent="0.25">
      <c r="A1261" s="27">
        <v>45803</v>
      </c>
      <c r="B1261" s="80">
        <v>2025</v>
      </c>
      <c r="C1261" s="80">
        <v>5</v>
      </c>
      <c r="D1261" s="30" t="s">
        <v>7</v>
      </c>
      <c r="E1261" s="30" t="s">
        <v>46</v>
      </c>
      <c r="F1261" s="30" t="s">
        <v>43</v>
      </c>
      <c r="G1261" s="33">
        <v>3.1905872</v>
      </c>
      <c r="H1261" s="83" t="s">
        <v>88</v>
      </c>
    </row>
    <row r="1262" spans="1:8" ht="16.5" customHeight="1" x14ac:dyDescent="0.25">
      <c r="A1262" s="27">
        <v>45803</v>
      </c>
      <c r="B1262" s="80">
        <v>2025</v>
      </c>
      <c r="C1262" s="80">
        <v>5</v>
      </c>
      <c r="D1262" s="30" t="s">
        <v>7</v>
      </c>
      <c r="E1262" s="30" t="s">
        <v>46</v>
      </c>
      <c r="F1262" s="30" t="s">
        <v>51</v>
      </c>
      <c r="G1262" s="33">
        <v>0.13108</v>
      </c>
      <c r="H1262" s="83" t="s">
        <v>88</v>
      </c>
    </row>
    <row r="1263" spans="1:8" ht="16.5" customHeight="1" x14ac:dyDescent="0.25">
      <c r="A1263" s="27">
        <v>45803</v>
      </c>
      <c r="B1263" s="80">
        <v>2025</v>
      </c>
      <c r="C1263" s="80">
        <v>5</v>
      </c>
      <c r="D1263" s="30" t="s">
        <v>7</v>
      </c>
      <c r="E1263" s="30" t="s">
        <v>50</v>
      </c>
      <c r="F1263" s="30" t="s">
        <v>43</v>
      </c>
      <c r="G1263" s="33">
        <v>8.0577693999999997</v>
      </c>
      <c r="H1263" s="83" t="s">
        <v>88</v>
      </c>
    </row>
    <row r="1264" spans="1:8" ht="16.5" customHeight="1" x14ac:dyDescent="0.25">
      <c r="A1264" s="27">
        <v>45803</v>
      </c>
      <c r="B1264" s="80">
        <v>2025</v>
      </c>
      <c r="C1264" s="80">
        <v>5</v>
      </c>
      <c r="D1264" s="30" t="s">
        <v>7</v>
      </c>
      <c r="E1264" s="30" t="s">
        <v>50</v>
      </c>
      <c r="F1264" s="30" t="s">
        <v>47</v>
      </c>
      <c r="G1264" s="33">
        <v>2.0775999999999999</v>
      </c>
      <c r="H1264" s="83" t="s">
        <v>88</v>
      </c>
    </row>
    <row r="1265" spans="1:8" ht="16.5" customHeight="1" x14ac:dyDescent="0.25">
      <c r="A1265" s="27">
        <v>45803</v>
      </c>
      <c r="B1265" s="80">
        <v>2025</v>
      </c>
      <c r="C1265" s="80">
        <v>5</v>
      </c>
      <c r="D1265" s="30" t="s">
        <v>7</v>
      </c>
      <c r="E1265" s="30" t="s">
        <v>50</v>
      </c>
      <c r="F1265" s="30" t="s">
        <v>55</v>
      </c>
      <c r="G1265" s="33">
        <v>0.35699999999999998</v>
      </c>
      <c r="H1265" s="83" t="s">
        <v>88</v>
      </c>
    </row>
    <row r="1266" spans="1:8" ht="16.5" customHeight="1" x14ac:dyDescent="0.25">
      <c r="A1266" s="27">
        <v>45803</v>
      </c>
      <c r="B1266" s="80">
        <v>2025</v>
      </c>
      <c r="C1266" s="80">
        <v>5</v>
      </c>
      <c r="D1266" s="30" t="s">
        <v>7</v>
      </c>
      <c r="E1266" s="30" t="s">
        <v>50</v>
      </c>
      <c r="F1266" s="30" t="s">
        <v>58</v>
      </c>
      <c r="G1266" s="33">
        <v>0.914246</v>
      </c>
      <c r="H1266" s="83" t="s">
        <v>88</v>
      </c>
    </row>
    <row r="1267" spans="1:8" ht="16.5" customHeight="1" x14ac:dyDescent="0.25">
      <c r="A1267" s="27">
        <v>45803</v>
      </c>
      <c r="B1267" s="80">
        <v>2025</v>
      </c>
      <c r="C1267" s="80">
        <v>5</v>
      </c>
      <c r="D1267" s="30" t="s">
        <v>7</v>
      </c>
      <c r="E1267" s="30" t="s">
        <v>54</v>
      </c>
      <c r="F1267" s="30" t="s">
        <v>43</v>
      </c>
      <c r="G1267" s="33">
        <v>18.781749999999999</v>
      </c>
      <c r="H1267" s="83" t="s">
        <v>88</v>
      </c>
    </row>
    <row r="1268" spans="1:8" ht="16.5" customHeight="1" x14ac:dyDescent="0.25">
      <c r="A1268" s="27">
        <v>45803</v>
      </c>
      <c r="B1268" s="80">
        <v>2025</v>
      </c>
      <c r="C1268" s="80">
        <v>5</v>
      </c>
      <c r="D1268" s="30" t="s">
        <v>7</v>
      </c>
      <c r="E1268" s="30" t="s">
        <v>64</v>
      </c>
      <c r="F1268" s="30" t="s">
        <v>43</v>
      </c>
      <c r="G1268" s="33">
        <v>3.4405000000000001</v>
      </c>
      <c r="H1268" s="83" t="s">
        <v>89</v>
      </c>
    </row>
    <row r="1269" spans="1:8" ht="16.5" customHeight="1" x14ac:dyDescent="0.25">
      <c r="A1269" s="27">
        <v>45803</v>
      </c>
      <c r="B1269" s="80">
        <v>2025</v>
      </c>
      <c r="C1269" s="80">
        <v>5</v>
      </c>
      <c r="D1269" s="30" t="s">
        <v>7</v>
      </c>
      <c r="E1269" s="30" t="s">
        <v>68</v>
      </c>
      <c r="F1269" s="30" t="s">
        <v>43</v>
      </c>
      <c r="G1269" s="33">
        <v>4.3340500000000004</v>
      </c>
      <c r="H1269" s="83" t="s">
        <v>89</v>
      </c>
    </row>
    <row r="1270" spans="1:8" ht="16.5" customHeight="1" x14ac:dyDescent="0.25">
      <c r="A1270" s="27">
        <v>45803</v>
      </c>
      <c r="B1270" s="80">
        <v>2025</v>
      </c>
      <c r="C1270" s="80">
        <v>5</v>
      </c>
      <c r="D1270" s="30" t="s">
        <v>7</v>
      </c>
      <c r="E1270" s="30" t="s">
        <v>68</v>
      </c>
      <c r="F1270" s="30" t="s">
        <v>55</v>
      </c>
      <c r="G1270" s="33">
        <v>1.6</v>
      </c>
      <c r="H1270" s="83" t="s">
        <v>89</v>
      </c>
    </row>
    <row r="1271" spans="1:8" ht="16.5" customHeight="1" x14ac:dyDescent="0.25">
      <c r="A1271" s="27">
        <v>45803</v>
      </c>
      <c r="B1271" s="80">
        <v>2025</v>
      </c>
      <c r="C1271" s="80">
        <v>5</v>
      </c>
      <c r="D1271" s="30" t="s">
        <v>7</v>
      </c>
      <c r="E1271" s="30" t="s">
        <v>71</v>
      </c>
      <c r="F1271" s="30" t="s">
        <v>43</v>
      </c>
      <c r="G1271" s="33">
        <v>17.819500000000001</v>
      </c>
      <c r="H1271" s="83" t="s">
        <v>89</v>
      </c>
    </row>
    <row r="1272" spans="1:8" ht="16.5" customHeight="1" x14ac:dyDescent="0.25">
      <c r="A1272" s="27">
        <v>45804</v>
      </c>
      <c r="B1272" s="80">
        <v>2025</v>
      </c>
      <c r="C1272" s="80">
        <v>5</v>
      </c>
      <c r="D1272" s="30" t="s">
        <v>7</v>
      </c>
      <c r="E1272" s="30" t="s">
        <v>38</v>
      </c>
      <c r="F1272" s="30" t="s">
        <v>43</v>
      </c>
      <c r="G1272" s="33">
        <v>3.7327499999999998</v>
      </c>
      <c r="H1272" s="83" t="s">
        <v>88</v>
      </c>
    </row>
    <row r="1273" spans="1:8" ht="16.5" customHeight="1" x14ac:dyDescent="0.25">
      <c r="A1273" s="27">
        <v>45804</v>
      </c>
      <c r="B1273" s="80">
        <v>2025</v>
      </c>
      <c r="C1273" s="80">
        <v>5</v>
      </c>
      <c r="D1273" s="30" t="s">
        <v>7</v>
      </c>
      <c r="E1273" s="30" t="s">
        <v>38</v>
      </c>
      <c r="F1273" s="30" t="s">
        <v>47</v>
      </c>
      <c r="G1273" s="33">
        <v>0.19</v>
      </c>
      <c r="H1273" s="83" t="s">
        <v>88</v>
      </c>
    </row>
    <row r="1274" spans="1:8" ht="16.5" customHeight="1" x14ac:dyDescent="0.25">
      <c r="A1274" s="27">
        <v>45804</v>
      </c>
      <c r="B1274" s="80">
        <v>2025</v>
      </c>
      <c r="C1274" s="80">
        <v>5</v>
      </c>
      <c r="D1274" s="30" t="s">
        <v>7</v>
      </c>
      <c r="E1274" s="30" t="s">
        <v>38</v>
      </c>
      <c r="F1274" s="30" t="s">
        <v>58</v>
      </c>
      <c r="G1274" s="33">
        <v>0.88900000000000001</v>
      </c>
      <c r="H1274" s="83" t="s">
        <v>88</v>
      </c>
    </row>
    <row r="1275" spans="1:8" ht="16.5" customHeight="1" x14ac:dyDescent="0.25">
      <c r="A1275" s="27">
        <v>45804</v>
      </c>
      <c r="B1275" s="80">
        <v>2025</v>
      </c>
      <c r="C1275" s="80">
        <v>5</v>
      </c>
      <c r="D1275" s="30" t="s">
        <v>7</v>
      </c>
      <c r="E1275" s="30" t="s">
        <v>42</v>
      </c>
      <c r="F1275" s="30" t="s">
        <v>43</v>
      </c>
      <c r="G1275" s="33">
        <v>1.19</v>
      </c>
      <c r="H1275" s="83" t="s">
        <v>88</v>
      </c>
    </row>
    <row r="1276" spans="1:8" ht="16.5" customHeight="1" x14ac:dyDescent="0.25">
      <c r="A1276" s="27">
        <v>45804</v>
      </c>
      <c r="B1276" s="80">
        <v>2025</v>
      </c>
      <c r="C1276" s="80">
        <v>5</v>
      </c>
      <c r="D1276" s="30" t="s">
        <v>7</v>
      </c>
      <c r="E1276" s="30" t="s">
        <v>42</v>
      </c>
      <c r="F1276" s="30" t="s">
        <v>58</v>
      </c>
      <c r="G1276" s="33">
        <v>0.77583000000000002</v>
      </c>
      <c r="H1276" s="83" t="s">
        <v>88</v>
      </c>
    </row>
    <row r="1277" spans="1:8" ht="16.5" customHeight="1" x14ac:dyDescent="0.25">
      <c r="A1277" s="27">
        <v>45804</v>
      </c>
      <c r="B1277" s="80">
        <v>2025</v>
      </c>
      <c r="C1277" s="80">
        <v>5</v>
      </c>
      <c r="D1277" s="30" t="s">
        <v>7</v>
      </c>
      <c r="E1277" s="30" t="s">
        <v>46</v>
      </c>
      <c r="F1277" s="30" t="s">
        <v>43</v>
      </c>
      <c r="G1277" s="33">
        <v>1.5130317499999999</v>
      </c>
      <c r="H1277" s="83" t="s">
        <v>88</v>
      </c>
    </row>
    <row r="1278" spans="1:8" ht="16.5" customHeight="1" x14ac:dyDescent="0.25">
      <c r="A1278" s="27">
        <v>45804</v>
      </c>
      <c r="B1278" s="80">
        <v>2025</v>
      </c>
      <c r="C1278" s="80">
        <v>5</v>
      </c>
      <c r="D1278" s="30" t="s">
        <v>7</v>
      </c>
      <c r="E1278" s="30" t="s">
        <v>46</v>
      </c>
      <c r="F1278" s="30" t="s">
        <v>47</v>
      </c>
      <c r="G1278" s="33">
        <v>0.31004999999999999</v>
      </c>
      <c r="H1278" s="83" t="s">
        <v>88</v>
      </c>
    </row>
    <row r="1279" spans="1:8" ht="16.5" customHeight="1" x14ac:dyDescent="0.25">
      <c r="A1279" s="27">
        <v>45804</v>
      </c>
      <c r="B1279" s="80">
        <v>2025</v>
      </c>
      <c r="C1279" s="80">
        <v>5</v>
      </c>
      <c r="D1279" s="30" t="s">
        <v>7</v>
      </c>
      <c r="E1279" s="30" t="s">
        <v>46</v>
      </c>
      <c r="F1279" s="30" t="s">
        <v>58</v>
      </c>
      <c r="G1279" s="33">
        <v>0.45875474999999999</v>
      </c>
      <c r="H1279" s="83" t="s">
        <v>88</v>
      </c>
    </row>
    <row r="1280" spans="1:8" ht="16.5" customHeight="1" x14ac:dyDescent="0.25">
      <c r="A1280" s="27">
        <v>45804</v>
      </c>
      <c r="B1280" s="80">
        <v>2025</v>
      </c>
      <c r="C1280" s="80">
        <v>5</v>
      </c>
      <c r="D1280" s="30" t="s">
        <v>7</v>
      </c>
      <c r="E1280" s="30" t="s">
        <v>50</v>
      </c>
      <c r="F1280" s="30" t="s">
        <v>39</v>
      </c>
      <c r="G1280" s="33">
        <v>2.7399900000000001</v>
      </c>
      <c r="H1280" s="83" t="s">
        <v>88</v>
      </c>
    </row>
    <row r="1281" spans="1:8" ht="16.5" customHeight="1" x14ac:dyDescent="0.25">
      <c r="A1281" s="27">
        <v>45804</v>
      </c>
      <c r="B1281" s="80">
        <v>2025</v>
      </c>
      <c r="C1281" s="80">
        <v>5</v>
      </c>
      <c r="D1281" s="30" t="s">
        <v>7</v>
      </c>
      <c r="E1281" s="30" t="s">
        <v>50</v>
      </c>
      <c r="F1281" s="30" t="s">
        <v>43</v>
      </c>
      <c r="G1281" s="33">
        <v>14.91382452</v>
      </c>
      <c r="H1281" s="83" t="s">
        <v>88</v>
      </c>
    </row>
    <row r="1282" spans="1:8" ht="16.5" customHeight="1" x14ac:dyDescent="0.25">
      <c r="A1282" s="27">
        <v>45804</v>
      </c>
      <c r="B1282" s="80">
        <v>2025</v>
      </c>
      <c r="C1282" s="80">
        <v>5</v>
      </c>
      <c r="D1282" s="30" t="s">
        <v>7</v>
      </c>
      <c r="E1282" s="30" t="s">
        <v>50</v>
      </c>
      <c r="F1282" s="30" t="s">
        <v>47</v>
      </c>
      <c r="G1282" s="33">
        <v>1.2432000000000001</v>
      </c>
      <c r="H1282" s="83" t="s">
        <v>88</v>
      </c>
    </row>
    <row r="1283" spans="1:8" ht="16.5" customHeight="1" x14ac:dyDescent="0.25">
      <c r="A1283" s="27">
        <v>45804</v>
      </c>
      <c r="B1283" s="80">
        <v>2025</v>
      </c>
      <c r="C1283" s="80">
        <v>5</v>
      </c>
      <c r="D1283" s="30" t="s">
        <v>7</v>
      </c>
      <c r="E1283" s="30" t="s">
        <v>50</v>
      </c>
      <c r="F1283" s="30" t="s">
        <v>55</v>
      </c>
      <c r="G1283" s="33">
        <v>3.6590400000000001</v>
      </c>
      <c r="H1283" s="83" t="s">
        <v>88</v>
      </c>
    </row>
    <row r="1284" spans="1:8" ht="16.5" customHeight="1" x14ac:dyDescent="0.25">
      <c r="A1284" s="27">
        <v>45804</v>
      </c>
      <c r="B1284" s="80">
        <v>2025</v>
      </c>
      <c r="C1284" s="80">
        <v>5</v>
      </c>
      <c r="D1284" s="30" t="s">
        <v>7</v>
      </c>
      <c r="E1284" s="30" t="s">
        <v>50</v>
      </c>
      <c r="F1284" s="30" t="s">
        <v>58</v>
      </c>
      <c r="G1284" s="33">
        <v>6.5700676800000002</v>
      </c>
      <c r="H1284" s="83" t="s">
        <v>88</v>
      </c>
    </row>
    <row r="1285" spans="1:8" ht="16.5" customHeight="1" x14ac:dyDescent="0.25">
      <c r="A1285" s="27">
        <v>45804</v>
      </c>
      <c r="B1285" s="80">
        <v>2025</v>
      </c>
      <c r="C1285" s="80">
        <v>5</v>
      </c>
      <c r="D1285" s="30" t="s">
        <v>7</v>
      </c>
      <c r="E1285" s="30" t="s">
        <v>54</v>
      </c>
      <c r="F1285" s="30" t="s">
        <v>43</v>
      </c>
      <c r="G1285" s="33">
        <v>5.77475</v>
      </c>
      <c r="H1285" s="83" t="s">
        <v>88</v>
      </c>
    </row>
    <row r="1286" spans="1:8" ht="16.5" customHeight="1" x14ac:dyDescent="0.25">
      <c r="A1286" s="27">
        <v>45804</v>
      </c>
      <c r="B1286" s="80">
        <v>2025</v>
      </c>
      <c r="C1286" s="80">
        <v>5</v>
      </c>
      <c r="D1286" s="30" t="s">
        <v>7</v>
      </c>
      <c r="E1286" s="30" t="s">
        <v>54</v>
      </c>
      <c r="F1286" s="30" t="s">
        <v>47</v>
      </c>
      <c r="G1286" s="33">
        <v>0.39</v>
      </c>
      <c r="H1286" s="83" t="s">
        <v>88</v>
      </c>
    </row>
    <row r="1287" spans="1:8" ht="16.5" customHeight="1" x14ac:dyDescent="0.25">
      <c r="A1287" s="27">
        <v>45804</v>
      </c>
      <c r="B1287" s="80">
        <v>2025</v>
      </c>
      <c r="C1287" s="80">
        <v>5</v>
      </c>
      <c r="D1287" s="30" t="s">
        <v>7</v>
      </c>
      <c r="E1287" s="30" t="s">
        <v>57</v>
      </c>
      <c r="F1287" s="30" t="s">
        <v>39</v>
      </c>
      <c r="G1287" s="33">
        <v>390.21883000000003</v>
      </c>
      <c r="H1287" s="83" t="s">
        <v>89</v>
      </c>
    </row>
    <row r="1288" spans="1:8" ht="16.5" customHeight="1" x14ac:dyDescent="0.25">
      <c r="A1288" s="27">
        <v>45804</v>
      </c>
      <c r="B1288" s="80">
        <v>2025</v>
      </c>
      <c r="C1288" s="80">
        <v>5</v>
      </c>
      <c r="D1288" s="30" t="s">
        <v>7</v>
      </c>
      <c r="E1288" s="30" t="s">
        <v>61</v>
      </c>
      <c r="F1288" s="30" t="s">
        <v>43</v>
      </c>
      <c r="G1288" s="33">
        <v>0.58099999999999996</v>
      </c>
      <c r="H1288" s="83" t="s">
        <v>89</v>
      </c>
    </row>
    <row r="1289" spans="1:8" ht="16.5" customHeight="1" x14ac:dyDescent="0.25">
      <c r="A1289" s="27">
        <v>45804</v>
      </c>
      <c r="B1289" s="80">
        <v>2025</v>
      </c>
      <c r="C1289" s="80">
        <v>5</v>
      </c>
      <c r="D1289" s="30" t="s">
        <v>7</v>
      </c>
      <c r="E1289" s="30" t="s">
        <v>66</v>
      </c>
      <c r="F1289" s="30" t="s">
        <v>43</v>
      </c>
      <c r="G1289" s="33">
        <v>5.51</v>
      </c>
      <c r="H1289" s="83" t="s">
        <v>89</v>
      </c>
    </row>
    <row r="1290" spans="1:8" ht="16.5" customHeight="1" x14ac:dyDescent="0.25">
      <c r="A1290" s="27">
        <v>45804</v>
      </c>
      <c r="B1290" s="80">
        <v>2025</v>
      </c>
      <c r="C1290" s="80">
        <v>5</v>
      </c>
      <c r="D1290" s="30" t="s">
        <v>7</v>
      </c>
      <c r="E1290" s="30" t="s">
        <v>66</v>
      </c>
      <c r="F1290" s="30" t="s">
        <v>55</v>
      </c>
      <c r="G1290" s="33">
        <v>1.5</v>
      </c>
      <c r="H1290" s="83" t="s">
        <v>89</v>
      </c>
    </row>
    <row r="1291" spans="1:8" ht="16.5" customHeight="1" x14ac:dyDescent="0.25">
      <c r="A1291" s="27">
        <v>45804</v>
      </c>
      <c r="B1291" s="80">
        <v>2025</v>
      </c>
      <c r="C1291" s="80">
        <v>5</v>
      </c>
      <c r="D1291" s="30" t="s">
        <v>7</v>
      </c>
      <c r="E1291" s="30" t="s">
        <v>68</v>
      </c>
      <c r="F1291" s="30" t="s">
        <v>43</v>
      </c>
      <c r="G1291" s="33">
        <v>4.3559999999999999</v>
      </c>
      <c r="H1291" s="83" t="s">
        <v>89</v>
      </c>
    </row>
    <row r="1292" spans="1:8" ht="16.5" customHeight="1" x14ac:dyDescent="0.25">
      <c r="A1292" s="27">
        <v>45804</v>
      </c>
      <c r="B1292" s="80">
        <v>2025</v>
      </c>
      <c r="C1292" s="80">
        <v>5</v>
      </c>
      <c r="D1292" s="30" t="s">
        <v>7</v>
      </c>
      <c r="E1292" s="30" t="s">
        <v>68</v>
      </c>
      <c r="F1292" s="30" t="s">
        <v>47</v>
      </c>
      <c r="G1292" s="33">
        <v>0.08</v>
      </c>
      <c r="H1292" s="83" t="s">
        <v>89</v>
      </c>
    </row>
    <row r="1293" spans="1:8" ht="16.5" customHeight="1" x14ac:dyDescent="0.25">
      <c r="A1293" s="27">
        <v>45804</v>
      </c>
      <c r="B1293" s="80">
        <v>2025</v>
      </c>
      <c r="C1293" s="80">
        <v>5</v>
      </c>
      <c r="D1293" s="30" t="s">
        <v>7</v>
      </c>
      <c r="E1293" s="30" t="s">
        <v>71</v>
      </c>
      <c r="F1293" s="30" t="s">
        <v>43</v>
      </c>
      <c r="G1293" s="33">
        <v>12.770799999999999</v>
      </c>
      <c r="H1293" s="83" t="s">
        <v>89</v>
      </c>
    </row>
    <row r="1294" spans="1:8" ht="16.5" customHeight="1" x14ac:dyDescent="0.25">
      <c r="A1294" s="27">
        <v>45805</v>
      </c>
      <c r="B1294" s="80">
        <v>2025</v>
      </c>
      <c r="C1294" s="80">
        <v>5</v>
      </c>
      <c r="D1294" s="30" t="s">
        <v>7</v>
      </c>
      <c r="E1294" s="30" t="s">
        <v>46</v>
      </c>
      <c r="F1294" s="30" t="s">
        <v>43</v>
      </c>
      <c r="G1294" s="33">
        <v>1.501754</v>
      </c>
      <c r="H1294" s="83" t="s">
        <v>88</v>
      </c>
    </row>
    <row r="1295" spans="1:8" ht="16.5" customHeight="1" x14ac:dyDescent="0.25">
      <c r="A1295" s="27">
        <v>45805</v>
      </c>
      <c r="B1295" s="80">
        <v>2025</v>
      </c>
      <c r="C1295" s="80">
        <v>5</v>
      </c>
      <c r="D1295" s="30" t="s">
        <v>7</v>
      </c>
      <c r="E1295" s="30" t="s">
        <v>46</v>
      </c>
      <c r="F1295" s="30" t="s">
        <v>58</v>
      </c>
      <c r="G1295" s="33">
        <v>7.3139999999999997E-2</v>
      </c>
      <c r="H1295" s="83" t="s">
        <v>88</v>
      </c>
    </row>
    <row r="1296" spans="1:8" ht="16.5" customHeight="1" x14ac:dyDescent="0.25">
      <c r="A1296" s="27">
        <v>45805</v>
      </c>
      <c r="B1296" s="80">
        <v>2025</v>
      </c>
      <c r="C1296" s="80">
        <v>5</v>
      </c>
      <c r="D1296" s="30" t="s">
        <v>7</v>
      </c>
      <c r="E1296" s="30" t="s">
        <v>50</v>
      </c>
      <c r="F1296" s="30" t="s">
        <v>43</v>
      </c>
      <c r="G1296" s="33">
        <v>18.138390309999998</v>
      </c>
      <c r="H1296" s="83" t="s">
        <v>88</v>
      </c>
    </row>
    <row r="1297" spans="1:8" ht="16.5" customHeight="1" x14ac:dyDescent="0.25">
      <c r="A1297" s="27">
        <v>45805</v>
      </c>
      <c r="B1297" s="80">
        <v>2025</v>
      </c>
      <c r="C1297" s="80">
        <v>5</v>
      </c>
      <c r="D1297" s="30" t="s">
        <v>7</v>
      </c>
      <c r="E1297" s="30" t="s">
        <v>50</v>
      </c>
      <c r="F1297" s="30" t="s">
        <v>58</v>
      </c>
      <c r="G1297" s="33">
        <v>1.44360613</v>
      </c>
      <c r="H1297" s="83" t="s">
        <v>88</v>
      </c>
    </row>
    <row r="1298" spans="1:8" ht="16.5" customHeight="1" x14ac:dyDescent="0.25">
      <c r="A1298" s="27">
        <v>45805</v>
      </c>
      <c r="B1298" s="80">
        <v>2025</v>
      </c>
      <c r="C1298" s="80">
        <v>5</v>
      </c>
      <c r="D1298" s="30" t="s">
        <v>7</v>
      </c>
      <c r="E1298" s="30" t="s">
        <v>54</v>
      </c>
      <c r="F1298" s="30" t="s">
        <v>43</v>
      </c>
      <c r="G1298" s="33">
        <v>5.798</v>
      </c>
      <c r="H1298" s="83" t="s">
        <v>88</v>
      </c>
    </row>
    <row r="1299" spans="1:8" ht="16.5" customHeight="1" x14ac:dyDescent="0.25">
      <c r="A1299" s="27">
        <v>45805</v>
      </c>
      <c r="B1299" s="80">
        <v>2025</v>
      </c>
      <c r="C1299" s="80">
        <v>5</v>
      </c>
      <c r="D1299" s="30" t="s">
        <v>7</v>
      </c>
      <c r="E1299" s="30" t="s">
        <v>54</v>
      </c>
      <c r="F1299" s="30" t="s">
        <v>55</v>
      </c>
      <c r="G1299" s="33">
        <v>3</v>
      </c>
      <c r="H1299" s="83" t="s">
        <v>88</v>
      </c>
    </row>
    <row r="1300" spans="1:8" ht="16.5" customHeight="1" x14ac:dyDescent="0.25">
      <c r="A1300" s="27">
        <v>45805</v>
      </c>
      <c r="B1300" s="80">
        <v>2025</v>
      </c>
      <c r="C1300" s="80">
        <v>5</v>
      </c>
      <c r="D1300" s="30" t="s">
        <v>7</v>
      </c>
      <c r="E1300" s="30" t="s">
        <v>66</v>
      </c>
      <c r="F1300" s="30" t="s">
        <v>43</v>
      </c>
      <c r="G1300" s="33">
        <v>2.6579999999999999</v>
      </c>
      <c r="H1300" s="83" t="s">
        <v>89</v>
      </c>
    </row>
    <row r="1301" spans="1:8" ht="16.5" customHeight="1" x14ac:dyDescent="0.25">
      <c r="A1301" s="27">
        <v>45805</v>
      </c>
      <c r="B1301" s="80">
        <v>2025</v>
      </c>
      <c r="C1301" s="80">
        <v>5</v>
      </c>
      <c r="D1301" s="30" t="s">
        <v>7</v>
      </c>
      <c r="E1301" s="30" t="s">
        <v>68</v>
      </c>
      <c r="F1301" s="30" t="s">
        <v>43</v>
      </c>
      <c r="G1301" s="33">
        <v>10.96</v>
      </c>
      <c r="H1301" s="83" t="s">
        <v>89</v>
      </c>
    </row>
    <row r="1302" spans="1:8" ht="16.5" customHeight="1" x14ac:dyDescent="0.25">
      <c r="A1302" s="27">
        <v>45805</v>
      </c>
      <c r="B1302" s="80">
        <v>2025</v>
      </c>
      <c r="C1302" s="80">
        <v>5</v>
      </c>
      <c r="D1302" s="30" t="s">
        <v>7</v>
      </c>
      <c r="E1302" s="30" t="s">
        <v>71</v>
      </c>
      <c r="F1302" s="30" t="s">
        <v>55</v>
      </c>
      <c r="G1302" s="33">
        <v>29.402339999999999</v>
      </c>
      <c r="H1302" s="83" t="s">
        <v>89</v>
      </c>
    </row>
    <row r="1303" spans="1:8" ht="16.5" customHeight="1" x14ac:dyDescent="0.25">
      <c r="A1303" s="27">
        <v>45805</v>
      </c>
      <c r="B1303" s="80">
        <v>2025</v>
      </c>
      <c r="C1303" s="80">
        <v>5</v>
      </c>
      <c r="D1303" s="30" t="s">
        <v>7</v>
      </c>
      <c r="E1303" s="30" t="s">
        <v>74</v>
      </c>
      <c r="F1303" s="30" t="s">
        <v>43</v>
      </c>
      <c r="G1303" s="33">
        <v>22.2498</v>
      </c>
      <c r="H1303" s="83" t="s">
        <v>89</v>
      </c>
    </row>
    <row r="1304" spans="1:8" ht="16.5" customHeight="1" x14ac:dyDescent="0.25">
      <c r="A1304" s="27">
        <v>45806</v>
      </c>
      <c r="B1304" s="80">
        <v>2025</v>
      </c>
      <c r="C1304" s="80">
        <v>5</v>
      </c>
      <c r="D1304" s="30" t="s">
        <v>7</v>
      </c>
      <c r="E1304" s="30" t="s">
        <v>50</v>
      </c>
      <c r="F1304" s="30" t="s">
        <v>47</v>
      </c>
      <c r="G1304" s="33">
        <v>2.1756000000000002</v>
      </c>
      <c r="H1304" s="83" t="s">
        <v>88</v>
      </c>
    </row>
    <row r="1305" spans="1:8" ht="16.5" customHeight="1" x14ac:dyDescent="0.25">
      <c r="A1305" s="27">
        <v>45807</v>
      </c>
      <c r="B1305" s="80">
        <v>2025</v>
      </c>
      <c r="C1305" s="80">
        <v>5</v>
      </c>
      <c r="D1305" s="30" t="s">
        <v>7</v>
      </c>
      <c r="E1305" s="30" t="s">
        <v>50</v>
      </c>
      <c r="F1305" s="30" t="s">
        <v>47</v>
      </c>
      <c r="G1305" s="33">
        <v>0.62160000000000004</v>
      </c>
      <c r="H1305" s="83" t="s">
        <v>88</v>
      </c>
    </row>
    <row r="1306" spans="1:8" ht="16.5" customHeight="1" x14ac:dyDescent="0.25">
      <c r="A1306" s="27">
        <v>45810</v>
      </c>
      <c r="B1306" s="80">
        <v>2025</v>
      </c>
      <c r="C1306" s="80">
        <v>6</v>
      </c>
      <c r="D1306" s="30" t="s">
        <v>53</v>
      </c>
      <c r="E1306" s="30" t="s">
        <v>38</v>
      </c>
      <c r="F1306" s="30" t="s">
        <v>43</v>
      </c>
      <c r="G1306" s="33">
        <v>2.39</v>
      </c>
      <c r="H1306" s="83" t="s">
        <v>88</v>
      </c>
    </row>
    <row r="1307" spans="1:8" ht="16.5" customHeight="1" x14ac:dyDescent="0.25">
      <c r="A1307" s="27">
        <v>45810</v>
      </c>
      <c r="B1307" s="80">
        <v>2025</v>
      </c>
      <c r="C1307" s="80">
        <v>6</v>
      </c>
      <c r="D1307" s="30" t="s">
        <v>53</v>
      </c>
      <c r="E1307" s="30" t="s">
        <v>42</v>
      </c>
      <c r="F1307" s="30" t="s">
        <v>43</v>
      </c>
      <c r="G1307" s="33">
        <v>4.7123999999999997</v>
      </c>
      <c r="H1307" s="83" t="s">
        <v>88</v>
      </c>
    </row>
    <row r="1308" spans="1:8" ht="16.5" customHeight="1" x14ac:dyDescent="0.25">
      <c r="A1308" s="27">
        <v>45810</v>
      </c>
      <c r="B1308" s="80">
        <v>2025</v>
      </c>
      <c r="C1308" s="80">
        <v>6</v>
      </c>
      <c r="D1308" s="30" t="s">
        <v>53</v>
      </c>
      <c r="E1308" s="30" t="s">
        <v>42</v>
      </c>
      <c r="F1308" s="30" t="s">
        <v>55</v>
      </c>
      <c r="G1308" s="33">
        <v>0.36</v>
      </c>
      <c r="H1308" s="83" t="s">
        <v>88</v>
      </c>
    </row>
    <row r="1309" spans="1:8" ht="16.5" customHeight="1" x14ac:dyDescent="0.25">
      <c r="A1309" s="27">
        <v>45810</v>
      </c>
      <c r="B1309" s="80">
        <v>2025</v>
      </c>
      <c r="C1309" s="80">
        <v>6</v>
      </c>
      <c r="D1309" s="30" t="s">
        <v>53</v>
      </c>
      <c r="E1309" s="30" t="s">
        <v>46</v>
      </c>
      <c r="F1309" s="30" t="s">
        <v>43</v>
      </c>
      <c r="G1309" s="33">
        <v>4.3639999999999999</v>
      </c>
      <c r="H1309" s="83" t="s">
        <v>88</v>
      </c>
    </row>
    <row r="1310" spans="1:8" ht="16.5" customHeight="1" x14ac:dyDescent="0.25">
      <c r="A1310" s="27">
        <v>45810</v>
      </c>
      <c r="B1310" s="80">
        <v>2025</v>
      </c>
      <c r="C1310" s="80">
        <v>6</v>
      </c>
      <c r="D1310" s="30" t="s">
        <v>53</v>
      </c>
      <c r="E1310" s="30" t="s">
        <v>50</v>
      </c>
      <c r="F1310" s="30" t="s">
        <v>43</v>
      </c>
      <c r="G1310" s="33">
        <v>29.728951500000001</v>
      </c>
      <c r="H1310" s="83" t="s">
        <v>88</v>
      </c>
    </row>
    <row r="1311" spans="1:8" ht="16.5" customHeight="1" x14ac:dyDescent="0.25">
      <c r="A1311" s="27">
        <v>45810</v>
      </c>
      <c r="B1311" s="80">
        <v>2025</v>
      </c>
      <c r="C1311" s="80">
        <v>6</v>
      </c>
      <c r="D1311" s="30" t="s">
        <v>53</v>
      </c>
      <c r="E1311" s="30" t="s">
        <v>50</v>
      </c>
      <c r="F1311" s="30" t="s">
        <v>47</v>
      </c>
      <c r="G1311" s="33">
        <v>1.0726500000000001</v>
      </c>
      <c r="H1311" s="83" t="s">
        <v>88</v>
      </c>
    </row>
    <row r="1312" spans="1:8" ht="16.5" customHeight="1" x14ac:dyDescent="0.25">
      <c r="A1312" s="27">
        <v>45810</v>
      </c>
      <c r="B1312" s="80">
        <v>2025</v>
      </c>
      <c r="C1312" s="80">
        <v>6</v>
      </c>
      <c r="D1312" s="30" t="s">
        <v>53</v>
      </c>
      <c r="E1312" s="30" t="s">
        <v>50</v>
      </c>
      <c r="F1312" s="30" t="s">
        <v>51</v>
      </c>
      <c r="G1312" s="33">
        <v>1.11775</v>
      </c>
      <c r="H1312" s="83" t="s">
        <v>88</v>
      </c>
    </row>
    <row r="1313" spans="1:8" ht="16.5" customHeight="1" x14ac:dyDescent="0.25">
      <c r="A1313" s="27">
        <v>45810</v>
      </c>
      <c r="B1313" s="80">
        <v>2025</v>
      </c>
      <c r="C1313" s="80">
        <v>6</v>
      </c>
      <c r="D1313" s="30" t="s">
        <v>53</v>
      </c>
      <c r="E1313" s="30" t="s">
        <v>50</v>
      </c>
      <c r="F1313" s="30" t="s">
        <v>55</v>
      </c>
      <c r="G1313" s="33">
        <v>0.80219499999999999</v>
      </c>
      <c r="H1313" s="83" t="s">
        <v>88</v>
      </c>
    </row>
    <row r="1314" spans="1:8" ht="16.5" customHeight="1" x14ac:dyDescent="0.25">
      <c r="A1314" s="27">
        <v>45810</v>
      </c>
      <c r="B1314" s="80">
        <v>2025</v>
      </c>
      <c r="C1314" s="80">
        <v>6</v>
      </c>
      <c r="D1314" s="30" t="s">
        <v>53</v>
      </c>
      <c r="E1314" s="30" t="s">
        <v>50</v>
      </c>
      <c r="F1314" s="30" t="s">
        <v>58</v>
      </c>
      <c r="G1314" s="33">
        <v>0.48262949999999999</v>
      </c>
      <c r="H1314" s="83" t="s">
        <v>88</v>
      </c>
    </row>
    <row r="1315" spans="1:8" ht="16.5" customHeight="1" x14ac:dyDescent="0.25">
      <c r="A1315" s="27">
        <v>45810</v>
      </c>
      <c r="B1315" s="80">
        <v>2025</v>
      </c>
      <c r="C1315" s="80">
        <v>6</v>
      </c>
      <c r="D1315" s="30" t="s">
        <v>53</v>
      </c>
      <c r="E1315" s="30" t="s">
        <v>57</v>
      </c>
      <c r="F1315" s="30" t="s">
        <v>43</v>
      </c>
      <c r="G1315" s="33">
        <v>2.8773</v>
      </c>
      <c r="H1315" s="83" t="s">
        <v>89</v>
      </c>
    </row>
    <row r="1316" spans="1:8" ht="16.5" customHeight="1" x14ac:dyDescent="0.25">
      <c r="A1316" s="27">
        <v>45810</v>
      </c>
      <c r="B1316" s="80">
        <v>2025</v>
      </c>
      <c r="C1316" s="80">
        <v>6</v>
      </c>
      <c r="D1316" s="30" t="s">
        <v>53</v>
      </c>
      <c r="E1316" s="30" t="s">
        <v>61</v>
      </c>
      <c r="F1316" s="30" t="s">
        <v>43</v>
      </c>
      <c r="G1316" s="33">
        <v>2.1591499999999999</v>
      </c>
      <c r="H1316" s="83" t="s">
        <v>89</v>
      </c>
    </row>
    <row r="1317" spans="1:8" ht="16.5" customHeight="1" x14ac:dyDescent="0.25">
      <c r="A1317" s="27">
        <v>45810</v>
      </c>
      <c r="B1317" s="80">
        <v>2025</v>
      </c>
      <c r="C1317" s="80">
        <v>6</v>
      </c>
      <c r="D1317" s="30" t="s">
        <v>53</v>
      </c>
      <c r="E1317" s="30" t="s">
        <v>64</v>
      </c>
      <c r="F1317" s="30" t="s">
        <v>55</v>
      </c>
      <c r="G1317" s="33">
        <v>0.6</v>
      </c>
      <c r="H1317" s="83" t="s">
        <v>89</v>
      </c>
    </row>
    <row r="1318" spans="1:8" ht="16.5" customHeight="1" x14ac:dyDescent="0.25">
      <c r="A1318" s="27">
        <v>45810</v>
      </c>
      <c r="B1318" s="80">
        <v>2025</v>
      </c>
      <c r="C1318" s="80">
        <v>6</v>
      </c>
      <c r="D1318" s="30" t="s">
        <v>53</v>
      </c>
      <c r="E1318" s="30" t="s">
        <v>74</v>
      </c>
      <c r="F1318" s="30" t="s">
        <v>43</v>
      </c>
      <c r="G1318" s="33">
        <v>28.925599999999999</v>
      </c>
      <c r="H1318" s="83" t="s">
        <v>89</v>
      </c>
    </row>
    <row r="1319" spans="1:8" ht="16.5" customHeight="1" x14ac:dyDescent="0.25">
      <c r="A1319" s="27">
        <v>45810</v>
      </c>
      <c r="B1319" s="80">
        <v>2025</v>
      </c>
      <c r="C1319" s="80">
        <v>6</v>
      </c>
      <c r="D1319" s="30" t="s">
        <v>53</v>
      </c>
      <c r="E1319" s="30" t="s">
        <v>76</v>
      </c>
      <c r="F1319" s="30" t="s">
        <v>43</v>
      </c>
      <c r="G1319" s="33">
        <v>19.7788</v>
      </c>
      <c r="H1319" s="83" t="s">
        <v>48</v>
      </c>
    </row>
    <row r="1320" spans="1:8" ht="16.5" customHeight="1" x14ac:dyDescent="0.25">
      <c r="A1320" s="27">
        <v>45811</v>
      </c>
      <c r="B1320" s="80">
        <v>2025</v>
      </c>
      <c r="C1320" s="80">
        <v>6</v>
      </c>
      <c r="D1320" s="30" t="s">
        <v>53</v>
      </c>
      <c r="E1320" s="30" t="s">
        <v>38</v>
      </c>
      <c r="F1320" s="30" t="s">
        <v>43</v>
      </c>
      <c r="G1320" s="33">
        <v>14.618740000000001</v>
      </c>
      <c r="H1320" s="83" t="s">
        <v>88</v>
      </c>
    </row>
    <row r="1321" spans="1:8" ht="16.5" customHeight="1" x14ac:dyDescent="0.25">
      <c r="A1321" s="27">
        <v>45811</v>
      </c>
      <c r="B1321" s="80">
        <v>2025</v>
      </c>
      <c r="C1321" s="80">
        <v>6</v>
      </c>
      <c r="D1321" s="30" t="s">
        <v>53</v>
      </c>
      <c r="E1321" s="30" t="s">
        <v>42</v>
      </c>
      <c r="F1321" s="30" t="s">
        <v>43</v>
      </c>
      <c r="G1321" s="33">
        <v>21.772200000000002</v>
      </c>
      <c r="H1321" s="83" t="s">
        <v>88</v>
      </c>
    </row>
    <row r="1322" spans="1:8" ht="16.5" customHeight="1" x14ac:dyDescent="0.25">
      <c r="A1322" s="27">
        <v>45811</v>
      </c>
      <c r="B1322" s="80">
        <v>2025</v>
      </c>
      <c r="C1322" s="80">
        <v>6</v>
      </c>
      <c r="D1322" s="30" t="s">
        <v>53</v>
      </c>
      <c r="E1322" s="30" t="s">
        <v>46</v>
      </c>
      <c r="F1322" s="30" t="s">
        <v>43</v>
      </c>
      <c r="G1322" s="33">
        <v>1.250232</v>
      </c>
      <c r="H1322" s="83" t="s">
        <v>88</v>
      </c>
    </row>
    <row r="1323" spans="1:8" ht="16.5" customHeight="1" x14ac:dyDescent="0.25">
      <c r="A1323" s="27">
        <v>45811</v>
      </c>
      <c r="B1323" s="80">
        <v>2025</v>
      </c>
      <c r="C1323" s="80">
        <v>6</v>
      </c>
      <c r="D1323" s="30" t="s">
        <v>53</v>
      </c>
      <c r="E1323" s="30" t="s">
        <v>46</v>
      </c>
      <c r="F1323" s="30" t="s">
        <v>51</v>
      </c>
      <c r="G1323" s="33">
        <v>0.13108</v>
      </c>
      <c r="H1323" s="83" t="s">
        <v>88</v>
      </c>
    </row>
    <row r="1324" spans="1:8" ht="16.5" customHeight="1" x14ac:dyDescent="0.25">
      <c r="A1324" s="27">
        <v>45811</v>
      </c>
      <c r="B1324" s="80">
        <v>2025</v>
      </c>
      <c r="C1324" s="80">
        <v>6</v>
      </c>
      <c r="D1324" s="30" t="s">
        <v>53</v>
      </c>
      <c r="E1324" s="30" t="s">
        <v>46</v>
      </c>
      <c r="F1324" s="30" t="s">
        <v>58</v>
      </c>
      <c r="G1324" s="33">
        <v>0.78864179999999995</v>
      </c>
      <c r="H1324" s="83" t="s">
        <v>88</v>
      </c>
    </row>
    <row r="1325" spans="1:8" ht="16.5" customHeight="1" x14ac:dyDescent="0.25">
      <c r="A1325" s="27">
        <v>45811</v>
      </c>
      <c r="B1325" s="80">
        <v>2025</v>
      </c>
      <c r="C1325" s="80">
        <v>6</v>
      </c>
      <c r="D1325" s="30" t="s">
        <v>53</v>
      </c>
      <c r="E1325" s="30" t="s">
        <v>50</v>
      </c>
      <c r="F1325" s="30" t="s">
        <v>43</v>
      </c>
      <c r="G1325" s="33">
        <v>113.32662379999999</v>
      </c>
      <c r="H1325" s="83" t="s">
        <v>88</v>
      </c>
    </row>
    <row r="1326" spans="1:8" ht="16.5" customHeight="1" x14ac:dyDescent="0.25">
      <c r="A1326" s="27">
        <v>45811</v>
      </c>
      <c r="B1326" s="80">
        <v>2025</v>
      </c>
      <c r="C1326" s="80">
        <v>6</v>
      </c>
      <c r="D1326" s="30" t="s">
        <v>53</v>
      </c>
      <c r="E1326" s="30" t="s">
        <v>50</v>
      </c>
      <c r="F1326" s="30" t="s">
        <v>47</v>
      </c>
      <c r="G1326" s="33">
        <v>2.6015640000000002</v>
      </c>
      <c r="H1326" s="83" t="s">
        <v>88</v>
      </c>
    </row>
    <row r="1327" spans="1:8" ht="16.5" customHeight="1" x14ac:dyDescent="0.25">
      <c r="A1327" s="27">
        <v>45811</v>
      </c>
      <c r="B1327" s="80">
        <v>2025</v>
      </c>
      <c r="C1327" s="80">
        <v>6</v>
      </c>
      <c r="D1327" s="30" t="s">
        <v>53</v>
      </c>
      <c r="E1327" s="30" t="s">
        <v>54</v>
      </c>
      <c r="F1327" s="30" t="s">
        <v>43</v>
      </c>
      <c r="G1327" s="33">
        <v>1.9319999999999999</v>
      </c>
      <c r="H1327" s="83" t="s">
        <v>88</v>
      </c>
    </row>
    <row r="1328" spans="1:8" ht="16.5" customHeight="1" x14ac:dyDescent="0.25">
      <c r="A1328" s="27">
        <v>45811</v>
      </c>
      <c r="B1328" s="80">
        <v>2025</v>
      </c>
      <c r="C1328" s="80">
        <v>6</v>
      </c>
      <c r="D1328" s="30" t="s">
        <v>53</v>
      </c>
      <c r="E1328" s="30" t="s">
        <v>61</v>
      </c>
      <c r="F1328" s="30" t="s">
        <v>43</v>
      </c>
      <c r="G1328" s="33">
        <v>20.613</v>
      </c>
      <c r="H1328" s="83" t="s">
        <v>89</v>
      </c>
    </row>
    <row r="1329" spans="1:8" ht="16.5" customHeight="1" x14ac:dyDescent="0.25">
      <c r="A1329" s="27">
        <v>45811</v>
      </c>
      <c r="B1329" s="80">
        <v>2025</v>
      </c>
      <c r="C1329" s="80">
        <v>6</v>
      </c>
      <c r="D1329" s="30" t="s">
        <v>53</v>
      </c>
      <c r="E1329" s="30" t="s">
        <v>66</v>
      </c>
      <c r="F1329" s="30" t="s">
        <v>43</v>
      </c>
      <c r="G1329" s="33">
        <v>11.804</v>
      </c>
      <c r="H1329" s="83" t="s">
        <v>89</v>
      </c>
    </row>
    <row r="1330" spans="1:8" ht="16.5" customHeight="1" x14ac:dyDescent="0.25">
      <c r="A1330" s="27">
        <v>45811</v>
      </c>
      <c r="B1330" s="80">
        <v>2025</v>
      </c>
      <c r="C1330" s="80">
        <v>6</v>
      </c>
      <c r="D1330" s="30" t="s">
        <v>53</v>
      </c>
      <c r="E1330" s="30" t="s">
        <v>68</v>
      </c>
      <c r="F1330" s="30" t="s">
        <v>43</v>
      </c>
      <c r="G1330" s="33">
        <v>1.0062500000000001</v>
      </c>
      <c r="H1330" s="83" t="s">
        <v>89</v>
      </c>
    </row>
    <row r="1331" spans="1:8" ht="16.5" customHeight="1" x14ac:dyDescent="0.25">
      <c r="A1331" s="27">
        <v>45811</v>
      </c>
      <c r="B1331" s="80">
        <v>2025</v>
      </c>
      <c r="C1331" s="80">
        <v>6</v>
      </c>
      <c r="D1331" s="30" t="s">
        <v>53</v>
      </c>
      <c r="E1331" s="30" t="s">
        <v>71</v>
      </c>
      <c r="F1331" s="30" t="s">
        <v>43</v>
      </c>
      <c r="G1331" s="33">
        <v>20.5</v>
      </c>
      <c r="H1331" s="83" t="s">
        <v>89</v>
      </c>
    </row>
    <row r="1332" spans="1:8" ht="16.5" customHeight="1" x14ac:dyDescent="0.25">
      <c r="A1332" s="27">
        <v>45811</v>
      </c>
      <c r="B1332" s="80">
        <v>2025</v>
      </c>
      <c r="C1332" s="80">
        <v>6</v>
      </c>
      <c r="D1332" s="30" t="s">
        <v>53</v>
      </c>
      <c r="E1332" s="30" t="s">
        <v>75</v>
      </c>
      <c r="F1332" s="30" t="s">
        <v>43</v>
      </c>
      <c r="G1332" s="33">
        <v>1.2130050000000001</v>
      </c>
      <c r="H1332" s="83" t="s">
        <v>48</v>
      </c>
    </row>
    <row r="1333" spans="1:8" ht="16.5" customHeight="1" x14ac:dyDescent="0.25">
      <c r="A1333" s="27">
        <v>45812</v>
      </c>
      <c r="B1333" s="80">
        <v>2025</v>
      </c>
      <c r="C1333" s="80">
        <v>6</v>
      </c>
      <c r="D1333" s="30" t="s">
        <v>53</v>
      </c>
      <c r="E1333" s="30" t="s">
        <v>38</v>
      </c>
      <c r="F1333" s="30" t="s">
        <v>43</v>
      </c>
      <c r="G1333" s="33">
        <v>1.03887</v>
      </c>
      <c r="H1333" s="83" t="s">
        <v>88</v>
      </c>
    </row>
    <row r="1334" spans="1:8" ht="16.5" customHeight="1" x14ac:dyDescent="0.25">
      <c r="A1334" s="27">
        <v>45812</v>
      </c>
      <c r="B1334" s="80">
        <v>2025</v>
      </c>
      <c r="C1334" s="80">
        <v>6</v>
      </c>
      <c r="D1334" s="30" t="s">
        <v>53</v>
      </c>
      <c r="E1334" s="30" t="s">
        <v>46</v>
      </c>
      <c r="F1334" s="30" t="s">
        <v>43</v>
      </c>
      <c r="G1334" s="33">
        <v>2.2901272000000001</v>
      </c>
      <c r="H1334" s="83" t="s">
        <v>88</v>
      </c>
    </row>
    <row r="1335" spans="1:8" ht="16.5" customHeight="1" x14ac:dyDescent="0.25">
      <c r="A1335" s="27">
        <v>45812</v>
      </c>
      <c r="B1335" s="80">
        <v>2025</v>
      </c>
      <c r="C1335" s="80">
        <v>6</v>
      </c>
      <c r="D1335" s="30" t="s">
        <v>53</v>
      </c>
      <c r="E1335" s="30" t="s">
        <v>50</v>
      </c>
      <c r="F1335" s="30" t="s">
        <v>43</v>
      </c>
      <c r="G1335" s="33">
        <v>135.616806</v>
      </c>
      <c r="H1335" s="83" t="s">
        <v>88</v>
      </c>
    </row>
    <row r="1336" spans="1:8" ht="16.5" customHeight="1" x14ac:dyDescent="0.25">
      <c r="A1336" s="27">
        <v>45812</v>
      </c>
      <c r="B1336" s="80">
        <v>2025</v>
      </c>
      <c r="C1336" s="80">
        <v>6</v>
      </c>
      <c r="D1336" s="30" t="s">
        <v>53</v>
      </c>
      <c r="E1336" s="30" t="s">
        <v>50</v>
      </c>
      <c r="F1336" s="30" t="s">
        <v>47</v>
      </c>
      <c r="G1336" s="33">
        <v>0.62160000000000004</v>
      </c>
      <c r="H1336" s="83" t="s">
        <v>88</v>
      </c>
    </row>
    <row r="1337" spans="1:8" ht="16.5" customHeight="1" x14ac:dyDescent="0.25">
      <c r="A1337" s="27">
        <v>45812</v>
      </c>
      <c r="B1337" s="80">
        <v>2025</v>
      </c>
      <c r="C1337" s="80">
        <v>6</v>
      </c>
      <c r="D1337" s="30" t="s">
        <v>53</v>
      </c>
      <c r="E1337" s="30" t="s">
        <v>54</v>
      </c>
      <c r="F1337" s="30" t="s">
        <v>43</v>
      </c>
      <c r="G1337" s="33">
        <v>3.5950000000000002</v>
      </c>
      <c r="H1337" s="83" t="s">
        <v>88</v>
      </c>
    </row>
    <row r="1338" spans="1:8" ht="16.5" customHeight="1" x14ac:dyDescent="0.25">
      <c r="A1338" s="27">
        <v>45812</v>
      </c>
      <c r="B1338" s="80">
        <v>2025</v>
      </c>
      <c r="C1338" s="80">
        <v>6</v>
      </c>
      <c r="D1338" s="30" t="s">
        <v>53</v>
      </c>
      <c r="E1338" s="30" t="s">
        <v>57</v>
      </c>
      <c r="F1338" s="30" t="s">
        <v>55</v>
      </c>
      <c r="G1338" s="33">
        <v>0.93</v>
      </c>
      <c r="H1338" s="83" t="s">
        <v>89</v>
      </c>
    </row>
    <row r="1339" spans="1:8" ht="16.5" customHeight="1" x14ac:dyDescent="0.25">
      <c r="A1339" s="27">
        <v>45812</v>
      </c>
      <c r="B1339" s="80">
        <v>2025</v>
      </c>
      <c r="C1339" s="80">
        <v>6</v>
      </c>
      <c r="D1339" s="30" t="s">
        <v>53</v>
      </c>
      <c r="E1339" s="30" t="s">
        <v>68</v>
      </c>
      <c r="F1339" s="30" t="s">
        <v>43</v>
      </c>
      <c r="G1339" s="33">
        <v>1.05</v>
      </c>
      <c r="H1339" s="83" t="s">
        <v>89</v>
      </c>
    </row>
    <row r="1340" spans="1:8" ht="16.5" customHeight="1" x14ac:dyDescent="0.25">
      <c r="A1340" s="27">
        <v>45813</v>
      </c>
      <c r="B1340" s="80">
        <v>2025</v>
      </c>
      <c r="C1340" s="80">
        <v>6</v>
      </c>
      <c r="D1340" s="30" t="s">
        <v>53</v>
      </c>
      <c r="E1340" s="30" t="s">
        <v>38</v>
      </c>
      <c r="F1340" s="30" t="s">
        <v>43</v>
      </c>
      <c r="G1340" s="33">
        <v>90.914510000000007</v>
      </c>
      <c r="H1340" s="83" t="s">
        <v>88</v>
      </c>
    </row>
    <row r="1341" spans="1:8" ht="16.5" customHeight="1" x14ac:dyDescent="0.25">
      <c r="A1341" s="27">
        <v>45813</v>
      </c>
      <c r="B1341" s="80">
        <v>2025</v>
      </c>
      <c r="C1341" s="80">
        <v>6</v>
      </c>
      <c r="D1341" s="30" t="s">
        <v>53</v>
      </c>
      <c r="E1341" s="30" t="s">
        <v>38</v>
      </c>
      <c r="F1341" s="30" t="s">
        <v>58</v>
      </c>
      <c r="G1341" s="33">
        <v>0.86792720000000001</v>
      </c>
      <c r="H1341" s="83" t="s">
        <v>88</v>
      </c>
    </row>
    <row r="1342" spans="1:8" ht="16.5" customHeight="1" x14ac:dyDescent="0.25">
      <c r="A1342" s="27">
        <v>45813</v>
      </c>
      <c r="B1342" s="80">
        <v>2025</v>
      </c>
      <c r="C1342" s="80">
        <v>6</v>
      </c>
      <c r="D1342" s="30" t="s">
        <v>53</v>
      </c>
      <c r="E1342" s="30" t="s">
        <v>42</v>
      </c>
      <c r="F1342" s="30" t="s">
        <v>43</v>
      </c>
      <c r="G1342" s="33">
        <v>6.6464999999999996</v>
      </c>
      <c r="H1342" s="83" t="s">
        <v>88</v>
      </c>
    </row>
    <row r="1343" spans="1:8" ht="16.5" customHeight="1" x14ac:dyDescent="0.25">
      <c r="A1343" s="27">
        <v>45813</v>
      </c>
      <c r="B1343" s="80">
        <v>2025</v>
      </c>
      <c r="C1343" s="80">
        <v>6</v>
      </c>
      <c r="D1343" s="30" t="s">
        <v>53</v>
      </c>
      <c r="E1343" s="30" t="s">
        <v>46</v>
      </c>
      <c r="F1343" s="30" t="s">
        <v>43</v>
      </c>
      <c r="G1343" s="33">
        <v>3.2385359500000002</v>
      </c>
      <c r="H1343" s="83" t="s">
        <v>88</v>
      </c>
    </row>
    <row r="1344" spans="1:8" ht="16.5" customHeight="1" x14ac:dyDescent="0.25">
      <c r="A1344" s="27">
        <v>45813</v>
      </c>
      <c r="B1344" s="80">
        <v>2025</v>
      </c>
      <c r="C1344" s="80">
        <v>6</v>
      </c>
      <c r="D1344" s="30" t="s">
        <v>53</v>
      </c>
      <c r="E1344" s="30" t="s">
        <v>46</v>
      </c>
      <c r="F1344" s="30" t="s">
        <v>58</v>
      </c>
      <c r="G1344" s="33">
        <v>1.01932</v>
      </c>
      <c r="H1344" s="83" t="s">
        <v>88</v>
      </c>
    </row>
    <row r="1345" spans="1:8" ht="16.5" customHeight="1" x14ac:dyDescent="0.25">
      <c r="A1345" s="27">
        <v>45813</v>
      </c>
      <c r="B1345" s="80">
        <v>2025</v>
      </c>
      <c r="C1345" s="80">
        <v>6</v>
      </c>
      <c r="D1345" s="30" t="s">
        <v>53</v>
      </c>
      <c r="E1345" s="30" t="s">
        <v>50</v>
      </c>
      <c r="F1345" s="30" t="s">
        <v>43</v>
      </c>
      <c r="G1345" s="33">
        <v>6.5284864999999996</v>
      </c>
      <c r="H1345" s="83" t="s">
        <v>88</v>
      </c>
    </row>
    <row r="1346" spans="1:8" ht="16.5" customHeight="1" x14ac:dyDescent="0.25">
      <c r="A1346" s="27">
        <v>45813</v>
      </c>
      <c r="B1346" s="80">
        <v>2025</v>
      </c>
      <c r="C1346" s="80">
        <v>6</v>
      </c>
      <c r="D1346" s="30" t="s">
        <v>53</v>
      </c>
      <c r="E1346" s="30" t="s">
        <v>50</v>
      </c>
      <c r="F1346" s="30" t="s">
        <v>47</v>
      </c>
      <c r="G1346" s="33">
        <v>0.75172300000000003</v>
      </c>
      <c r="H1346" s="83" t="s">
        <v>88</v>
      </c>
    </row>
    <row r="1347" spans="1:8" ht="16.5" customHeight="1" x14ac:dyDescent="0.25">
      <c r="A1347" s="27">
        <v>45813</v>
      </c>
      <c r="B1347" s="80">
        <v>2025</v>
      </c>
      <c r="C1347" s="80">
        <v>6</v>
      </c>
      <c r="D1347" s="30" t="s">
        <v>53</v>
      </c>
      <c r="E1347" s="30" t="s">
        <v>50</v>
      </c>
      <c r="F1347" s="30" t="s">
        <v>51</v>
      </c>
      <c r="G1347" s="33">
        <v>0.1275</v>
      </c>
      <c r="H1347" s="83" t="s">
        <v>88</v>
      </c>
    </row>
    <row r="1348" spans="1:8" ht="16.5" customHeight="1" x14ac:dyDescent="0.25">
      <c r="A1348" s="27">
        <v>45813</v>
      </c>
      <c r="B1348" s="80">
        <v>2025</v>
      </c>
      <c r="C1348" s="80">
        <v>6</v>
      </c>
      <c r="D1348" s="30" t="s">
        <v>53</v>
      </c>
      <c r="E1348" s="30" t="s">
        <v>50</v>
      </c>
      <c r="F1348" s="30" t="s">
        <v>58</v>
      </c>
      <c r="G1348" s="33">
        <v>95.179767536</v>
      </c>
      <c r="H1348" s="83" t="s">
        <v>88</v>
      </c>
    </row>
    <row r="1349" spans="1:8" ht="16.5" customHeight="1" x14ac:dyDescent="0.25">
      <c r="A1349" s="27">
        <v>45813</v>
      </c>
      <c r="B1349" s="80">
        <v>2025</v>
      </c>
      <c r="C1349" s="80">
        <v>6</v>
      </c>
      <c r="D1349" s="30" t="s">
        <v>53</v>
      </c>
      <c r="E1349" s="30" t="s">
        <v>54</v>
      </c>
      <c r="F1349" s="30" t="s">
        <v>43</v>
      </c>
      <c r="G1349" s="33">
        <v>10.2325</v>
      </c>
      <c r="H1349" s="83" t="s">
        <v>88</v>
      </c>
    </row>
    <row r="1350" spans="1:8" ht="16.5" customHeight="1" x14ac:dyDescent="0.25">
      <c r="A1350" s="27">
        <v>45813</v>
      </c>
      <c r="B1350" s="80">
        <v>2025</v>
      </c>
      <c r="C1350" s="80">
        <v>6</v>
      </c>
      <c r="D1350" s="30" t="s">
        <v>53</v>
      </c>
      <c r="E1350" s="30" t="s">
        <v>57</v>
      </c>
      <c r="F1350" s="30" t="s">
        <v>43</v>
      </c>
      <c r="G1350" s="33">
        <v>56.643999999999998</v>
      </c>
      <c r="H1350" s="83" t="s">
        <v>89</v>
      </c>
    </row>
    <row r="1351" spans="1:8" ht="16.5" customHeight="1" x14ac:dyDescent="0.25">
      <c r="A1351" s="27">
        <v>45813</v>
      </c>
      <c r="B1351" s="80">
        <v>2025</v>
      </c>
      <c r="C1351" s="80">
        <v>6</v>
      </c>
      <c r="D1351" s="30" t="s">
        <v>53</v>
      </c>
      <c r="E1351" s="30" t="s">
        <v>57</v>
      </c>
      <c r="F1351" s="30" t="s">
        <v>51</v>
      </c>
      <c r="G1351" s="33">
        <v>5.5439999999999996</v>
      </c>
      <c r="H1351" s="83" t="s">
        <v>89</v>
      </c>
    </row>
    <row r="1352" spans="1:8" ht="16.5" customHeight="1" x14ac:dyDescent="0.25">
      <c r="A1352" s="27">
        <v>45813</v>
      </c>
      <c r="B1352" s="80">
        <v>2025</v>
      </c>
      <c r="C1352" s="80">
        <v>6</v>
      </c>
      <c r="D1352" s="30" t="s">
        <v>53</v>
      </c>
      <c r="E1352" s="30" t="s">
        <v>61</v>
      </c>
      <c r="F1352" s="30" t="s">
        <v>43</v>
      </c>
      <c r="G1352" s="33">
        <v>2.6234999999999999</v>
      </c>
      <c r="H1352" s="83" t="s">
        <v>89</v>
      </c>
    </row>
    <row r="1353" spans="1:8" ht="16.5" customHeight="1" x14ac:dyDescent="0.25">
      <c r="A1353" s="27">
        <v>45813</v>
      </c>
      <c r="B1353" s="80">
        <v>2025</v>
      </c>
      <c r="C1353" s="80">
        <v>6</v>
      </c>
      <c r="D1353" s="30" t="s">
        <v>53</v>
      </c>
      <c r="E1353" s="30" t="s">
        <v>66</v>
      </c>
      <c r="F1353" s="30" t="s">
        <v>43</v>
      </c>
      <c r="G1353" s="33">
        <v>0.45</v>
      </c>
      <c r="H1353" s="83" t="s">
        <v>89</v>
      </c>
    </row>
    <row r="1354" spans="1:8" ht="16.5" customHeight="1" x14ac:dyDescent="0.25">
      <c r="A1354" s="27">
        <v>45813</v>
      </c>
      <c r="B1354" s="80">
        <v>2025</v>
      </c>
      <c r="C1354" s="80">
        <v>6</v>
      </c>
      <c r="D1354" s="30" t="s">
        <v>53</v>
      </c>
      <c r="E1354" s="30" t="s">
        <v>68</v>
      </c>
      <c r="F1354" s="30" t="s">
        <v>43</v>
      </c>
      <c r="G1354" s="33">
        <v>2.8578999999999999</v>
      </c>
      <c r="H1354" s="83" t="s">
        <v>89</v>
      </c>
    </row>
    <row r="1355" spans="1:8" ht="16.5" customHeight="1" x14ac:dyDescent="0.25">
      <c r="A1355" s="27">
        <v>45813</v>
      </c>
      <c r="B1355" s="80">
        <v>2025</v>
      </c>
      <c r="C1355" s="80">
        <v>6</v>
      </c>
      <c r="D1355" s="30" t="s">
        <v>53</v>
      </c>
      <c r="E1355" s="30" t="s">
        <v>75</v>
      </c>
      <c r="F1355" s="30" t="s">
        <v>43</v>
      </c>
      <c r="G1355" s="33">
        <v>97.082162999999994</v>
      </c>
      <c r="H1355" s="83" t="s">
        <v>48</v>
      </c>
    </row>
    <row r="1356" spans="1:8" ht="16.5" customHeight="1" x14ac:dyDescent="0.25">
      <c r="A1356" s="27">
        <v>45814</v>
      </c>
      <c r="B1356" s="80">
        <v>2025</v>
      </c>
      <c r="C1356" s="80">
        <v>6</v>
      </c>
      <c r="D1356" s="30" t="s">
        <v>53</v>
      </c>
      <c r="E1356" s="30" t="s">
        <v>38</v>
      </c>
      <c r="F1356" s="30" t="s">
        <v>43</v>
      </c>
      <c r="G1356" s="33">
        <v>2.4497499999999999</v>
      </c>
      <c r="H1356" s="83" t="s">
        <v>88</v>
      </c>
    </row>
    <row r="1357" spans="1:8" ht="16.5" customHeight="1" x14ac:dyDescent="0.25">
      <c r="A1357" s="27">
        <v>45814</v>
      </c>
      <c r="B1357" s="80">
        <v>2025</v>
      </c>
      <c r="C1357" s="80">
        <v>6</v>
      </c>
      <c r="D1357" s="30" t="s">
        <v>53</v>
      </c>
      <c r="E1357" s="30" t="s">
        <v>42</v>
      </c>
      <c r="F1357" s="30" t="s">
        <v>43</v>
      </c>
      <c r="G1357" s="33">
        <v>30.498000000000001</v>
      </c>
      <c r="H1357" s="83" t="s">
        <v>88</v>
      </c>
    </row>
    <row r="1358" spans="1:8" ht="16.5" customHeight="1" x14ac:dyDescent="0.25">
      <c r="A1358" s="27">
        <v>45814</v>
      </c>
      <c r="B1358" s="80">
        <v>2025</v>
      </c>
      <c r="C1358" s="80">
        <v>6</v>
      </c>
      <c r="D1358" s="30" t="s">
        <v>53</v>
      </c>
      <c r="E1358" s="30" t="s">
        <v>46</v>
      </c>
      <c r="F1358" s="30" t="s">
        <v>43</v>
      </c>
      <c r="G1358" s="33">
        <v>1.8853034</v>
      </c>
      <c r="H1358" s="83" t="s">
        <v>88</v>
      </c>
    </row>
    <row r="1359" spans="1:8" ht="16.5" customHeight="1" x14ac:dyDescent="0.25">
      <c r="A1359" s="27">
        <v>45814</v>
      </c>
      <c r="B1359" s="80">
        <v>2025</v>
      </c>
      <c r="C1359" s="80">
        <v>6</v>
      </c>
      <c r="D1359" s="30" t="s">
        <v>53</v>
      </c>
      <c r="E1359" s="30" t="s">
        <v>46</v>
      </c>
      <c r="F1359" s="30" t="s">
        <v>47</v>
      </c>
      <c r="G1359" s="33">
        <v>1.9498964999999999</v>
      </c>
      <c r="H1359" s="83" t="s">
        <v>88</v>
      </c>
    </row>
    <row r="1360" spans="1:8" ht="16.5" customHeight="1" x14ac:dyDescent="0.25">
      <c r="A1360" s="27">
        <v>45814</v>
      </c>
      <c r="B1360" s="80">
        <v>2025</v>
      </c>
      <c r="C1360" s="80">
        <v>6</v>
      </c>
      <c r="D1360" s="30" t="s">
        <v>53</v>
      </c>
      <c r="E1360" s="30" t="s">
        <v>46</v>
      </c>
      <c r="F1360" s="30" t="s">
        <v>58</v>
      </c>
      <c r="G1360" s="33">
        <v>0.40621875000000002</v>
      </c>
      <c r="H1360" s="83" t="s">
        <v>88</v>
      </c>
    </row>
    <row r="1361" spans="1:8" ht="16.5" customHeight="1" x14ac:dyDescent="0.25">
      <c r="A1361" s="27">
        <v>45814</v>
      </c>
      <c r="B1361" s="80">
        <v>2025</v>
      </c>
      <c r="C1361" s="80">
        <v>6</v>
      </c>
      <c r="D1361" s="30" t="s">
        <v>53</v>
      </c>
      <c r="E1361" s="30" t="s">
        <v>50</v>
      </c>
      <c r="F1361" s="30" t="s">
        <v>43</v>
      </c>
      <c r="G1361" s="33">
        <v>20.971356400000001</v>
      </c>
      <c r="H1361" s="83" t="s">
        <v>88</v>
      </c>
    </row>
    <row r="1362" spans="1:8" ht="16.5" customHeight="1" x14ac:dyDescent="0.25">
      <c r="A1362" s="27">
        <v>45814</v>
      </c>
      <c r="B1362" s="80">
        <v>2025</v>
      </c>
      <c r="C1362" s="80">
        <v>6</v>
      </c>
      <c r="D1362" s="30" t="s">
        <v>53</v>
      </c>
      <c r="E1362" s="30" t="s">
        <v>50</v>
      </c>
      <c r="F1362" s="30" t="s">
        <v>51</v>
      </c>
      <c r="G1362" s="33">
        <v>0.255</v>
      </c>
      <c r="H1362" s="83" t="s">
        <v>88</v>
      </c>
    </row>
    <row r="1363" spans="1:8" ht="16.5" customHeight="1" x14ac:dyDescent="0.25">
      <c r="A1363" s="27">
        <v>45814</v>
      </c>
      <c r="B1363" s="80">
        <v>2025</v>
      </c>
      <c r="C1363" s="80">
        <v>6</v>
      </c>
      <c r="D1363" s="30" t="s">
        <v>53</v>
      </c>
      <c r="E1363" s="30" t="s">
        <v>50</v>
      </c>
      <c r="F1363" s="30" t="s">
        <v>55</v>
      </c>
      <c r="G1363" s="33">
        <v>2.8304999999999998</v>
      </c>
      <c r="H1363" s="83" t="s">
        <v>88</v>
      </c>
    </row>
    <row r="1364" spans="1:8" ht="16.5" customHeight="1" x14ac:dyDescent="0.25">
      <c r="A1364" s="27">
        <v>45814</v>
      </c>
      <c r="B1364" s="80">
        <v>2025</v>
      </c>
      <c r="C1364" s="80">
        <v>6</v>
      </c>
      <c r="D1364" s="30" t="s">
        <v>53</v>
      </c>
      <c r="E1364" s="30" t="s">
        <v>50</v>
      </c>
      <c r="F1364" s="30" t="s">
        <v>58</v>
      </c>
      <c r="G1364" s="33">
        <v>0.48312024999999997</v>
      </c>
      <c r="H1364" s="83" t="s">
        <v>88</v>
      </c>
    </row>
    <row r="1365" spans="1:8" ht="16.5" customHeight="1" x14ac:dyDescent="0.25">
      <c r="A1365" s="27">
        <v>45814</v>
      </c>
      <c r="B1365" s="80">
        <v>2025</v>
      </c>
      <c r="C1365" s="80">
        <v>6</v>
      </c>
      <c r="D1365" s="30" t="s">
        <v>53</v>
      </c>
      <c r="E1365" s="30" t="s">
        <v>54</v>
      </c>
      <c r="F1365" s="30" t="s">
        <v>43</v>
      </c>
      <c r="G1365" s="33">
        <v>1.2075</v>
      </c>
      <c r="H1365" s="83" t="s">
        <v>88</v>
      </c>
    </row>
    <row r="1366" spans="1:8" ht="16.5" customHeight="1" x14ac:dyDescent="0.25">
      <c r="A1366" s="27">
        <v>45814</v>
      </c>
      <c r="B1366" s="80">
        <v>2025</v>
      </c>
      <c r="C1366" s="80">
        <v>6</v>
      </c>
      <c r="D1366" s="30" t="s">
        <v>53</v>
      </c>
      <c r="E1366" s="30" t="s">
        <v>54</v>
      </c>
      <c r="F1366" s="30" t="s">
        <v>51</v>
      </c>
      <c r="G1366" s="33">
        <v>2.4569999999999999</v>
      </c>
      <c r="H1366" s="83" t="s">
        <v>88</v>
      </c>
    </row>
    <row r="1367" spans="1:8" ht="16.5" customHeight="1" x14ac:dyDescent="0.25">
      <c r="A1367" s="27">
        <v>45814</v>
      </c>
      <c r="B1367" s="80">
        <v>2025</v>
      </c>
      <c r="C1367" s="80">
        <v>6</v>
      </c>
      <c r="D1367" s="30" t="s">
        <v>53</v>
      </c>
      <c r="E1367" s="30" t="s">
        <v>75</v>
      </c>
      <c r="F1367" s="30" t="s">
        <v>43</v>
      </c>
      <c r="G1367" s="33">
        <v>50.853299999999997</v>
      </c>
      <c r="H1367" s="83" t="s">
        <v>48</v>
      </c>
    </row>
    <row r="1368" spans="1:8" ht="16.5" customHeight="1" x14ac:dyDescent="0.25">
      <c r="A1368" s="27">
        <v>45814</v>
      </c>
      <c r="B1368" s="80">
        <v>2025</v>
      </c>
      <c r="C1368" s="80">
        <v>6</v>
      </c>
      <c r="D1368" s="30" t="s">
        <v>53</v>
      </c>
      <c r="E1368" s="30" t="s">
        <v>76</v>
      </c>
      <c r="F1368" s="30" t="s">
        <v>39</v>
      </c>
      <c r="G1368" s="33">
        <v>60.877200000000002</v>
      </c>
      <c r="H1368" s="83" t="s">
        <v>48</v>
      </c>
    </row>
    <row r="1369" spans="1:8" ht="16.5" customHeight="1" x14ac:dyDescent="0.25">
      <c r="A1369" s="27">
        <v>45818</v>
      </c>
      <c r="B1369" s="80">
        <v>2025</v>
      </c>
      <c r="C1369" s="80">
        <v>6</v>
      </c>
      <c r="D1369" s="30" t="s">
        <v>53</v>
      </c>
      <c r="E1369" s="30" t="s">
        <v>38</v>
      </c>
      <c r="F1369" s="30" t="s">
        <v>43</v>
      </c>
      <c r="G1369" s="33">
        <v>11.24</v>
      </c>
      <c r="H1369" s="83" t="s">
        <v>88</v>
      </c>
    </row>
    <row r="1370" spans="1:8" ht="16.5" customHeight="1" x14ac:dyDescent="0.25">
      <c r="A1370" s="27">
        <v>45818</v>
      </c>
      <c r="B1370" s="80">
        <v>2025</v>
      </c>
      <c r="C1370" s="80">
        <v>6</v>
      </c>
      <c r="D1370" s="30" t="s">
        <v>53</v>
      </c>
      <c r="E1370" s="30" t="s">
        <v>42</v>
      </c>
      <c r="F1370" s="30" t="s">
        <v>43</v>
      </c>
      <c r="G1370" s="33">
        <v>5.0636000000000001</v>
      </c>
      <c r="H1370" s="83" t="s">
        <v>88</v>
      </c>
    </row>
    <row r="1371" spans="1:8" ht="16.5" customHeight="1" x14ac:dyDescent="0.25">
      <c r="A1371" s="27">
        <v>45818</v>
      </c>
      <c r="B1371" s="80">
        <v>2025</v>
      </c>
      <c r="C1371" s="80">
        <v>6</v>
      </c>
      <c r="D1371" s="30" t="s">
        <v>53</v>
      </c>
      <c r="E1371" s="30" t="s">
        <v>42</v>
      </c>
      <c r="F1371" s="30" t="s">
        <v>55</v>
      </c>
      <c r="G1371" s="33">
        <v>0.91</v>
      </c>
      <c r="H1371" s="83" t="s">
        <v>88</v>
      </c>
    </row>
    <row r="1372" spans="1:8" ht="16.5" customHeight="1" x14ac:dyDescent="0.25">
      <c r="A1372" s="27">
        <v>45818</v>
      </c>
      <c r="B1372" s="80">
        <v>2025</v>
      </c>
      <c r="C1372" s="80">
        <v>6</v>
      </c>
      <c r="D1372" s="30" t="s">
        <v>53</v>
      </c>
      <c r="E1372" s="30" t="s">
        <v>46</v>
      </c>
      <c r="F1372" s="30" t="s">
        <v>43</v>
      </c>
      <c r="G1372" s="33">
        <v>16.604959999999998</v>
      </c>
      <c r="H1372" s="83" t="s">
        <v>88</v>
      </c>
    </row>
    <row r="1373" spans="1:8" ht="16.5" customHeight="1" x14ac:dyDescent="0.25">
      <c r="A1373" s="27">
        <v>45818</v>
      </c>
      <c r="B1373" s="80">
        <v>2025</v>
      </c>
      <c r="C1373" s="80">
        <v>6</v>
      </c>
      <c r="D1373" s="30" t="s">
        <v>53</v>
      </c>
      <c r="E1373" s="30" t="s">
        <v>46</v>
      </c>
      <c r="F1373" s="30" t="s">
        <v>47</v>
      </c>
      <c r="G1373" s="33">
        <v>0.68600000000000005</v>
      </c>
      <c r="H1373" s="83" t="s">
        <v>88</v>
      </c>
    </row>
    <row r="1374" spans="1:8" ht="16.5" customHeight="1" x14ac:dyDescent="0.25">
      <c r="A1374" s="27">
        <v>45818</v>
      </c>
      <c r="B1374" s="80">
        <v>2025</v>
      </c>
      <c r="C1374" s="80">
        <v>6</v>
      </c>
      <c r="D1374" s="30" t="s">
        <v>53</v>
      </c>
      <c r="E1374" s="30" t="s">
        <v>50</v>
      </c>
      <c r="F1374" s="30" t="s">
        <v>43</v>
      </c>
      <c r="G1374" s="33">
        <v>2.1911371000000002</v>
      </c>
      <c r="H1374" s="83" t="s">
        <v>88</v>
      </c>
    </row>
    <row r="1375" spans="1:8" ht="16.5" customHeight="1" x14ac:dyDescent="0.25">
      <c r="A1375" s="27">
        <v>45818</v>
      </c>
      <c r="B1375" s="80">
        <v>2025</v>
      </c>
      <c r="C1375" s="80">
        <v>6</v>
      </c>
      <c r="D1375" s="30" t="s">
        <v>53</v>
      </c>
      <c r="E1375" s="30" t="s">
        <v>50</v>
      </c>
      <c r="F1375" s="30" t="s">
        <v>51</v>
      </c>
      <c r="G1375" s="33">
        <v>0.88824999999999998</v>
      </c>
      <c r="H1375" s="83" t="s">
        <v>88</v>
      </c>
    </row>
    <row r="1376" spans="1:8" ht="16.5" customHeight="1" x14ac:dyDescent="0.25">
      <c r="A1376" s="27">
        <v>45818</v>
      </c>
      <c r="B1376" s="80">
        <v>2025</v>
      </c>
      <c r="C1376" s="80">
        <v>6</v>
      </c>
      <c r="D1376" s="30" t="s">
        <v>53</v>
      </c>
      <c r="E1376" s="30" t="s">
        <v>50</v>
      </c>
      <c r="F1376" s="30" t="s">
        <v>55</v>
      </c>
      <c r="G1376" s="33">
        <v>0.35699999999999998</v>
      </c>
      <c r="H1376" s="83" t="s">
        <v>88</v>
      </c>
    </row>
    <row r="1377" spans="1:8" ht="16.5" customHeight="1" x14ac:dyDescent="0.25">
      <c r="A1377" s="27">
        <v>45818</v>
      </c>
      <c r="B1377" s="80">
        <v>2025</v>
      </c>
      <c r="C1377" s="80">
        <v>6</v>
      </c>
      <c r="D1377" s="30" t="s">
        <v>53</v>
      </c>
      <c r="E1377" s="30" t="s">
        <v>50</v>
      </c>
      <c r="F1377" s="30" t="s">
        <v>58</v>
      </c>
      <c r="G1377" s="33">
        <v>0.60690675000000005</v>
      </c>
      <c r="H1377" s="83" t="s">
        <v>88</v>
      </c>
    </row>
    <row r="1378" spans="1:8" ht="16.5" customHeight="1" x14ac:dyDescent="0.25">
      <c r="A1378" s="27">
        <v>45818</v>
      </c>
      <c r="B1378" s="80">
        <v>2025</v>
      </c>
      <c r="C1378" s="80">
        <v>6</v>
      </c>
      <c r="D1378" s="30" t="s">
        <v>53</v>
      </c>
      <c r="E1378" s="30" t="s">
        <v>61</v>
      </c>
      <c r="F1378" s="30" t="s">
        <v>55</v>
      </c>
      <c r="G1378" s="33">
        <v>3.99</v>
      </c>
      <c r="H1378" s="83" t="s">
        <v>89</v>
      </c>
    </row>
    <row r="1379" spans="1:8" ht="16.5" customHeight="1" x14ac:dyDescent="0.25">
      <c r="A1379" s="27">
        <v>45818</v>
      </c>
      <c r="B1379" s="80">
        <v>2025</v>
      </c>
      <c r="C1379" s="80">
        <v>6</v>
      </c>
      <c r="D1379" s="30" t="s">
        <v>53</v>
      </c>
      <c r="E1379" s="30" t="s">
        <v>66</v>
      </c>
      <c r="F1379" s="30" t="s">
        <v>43</v>
      </c>
      <c r="G1379" s="33">
        <v>0.54</v>
      </c>
      <c r="H1379" s="83" t="s">
        <v>89</v>
      </c>
    </row>
    <row r="1380" spans="1:8" ht="16.5" customHeight="1" x14ac:dyDescent="0.25">
      <c r="A1380" s="27">
        <v>45818</v>
      </c>
      <c r="B1380" s="80">
        <v>2025</v>
      </c>
      <c r="C1380" s="80">
        <v>6</v>
      </c>
      <c r="D1380" s="30" t="s">
        <v>53</v>
      </c>
      <c r="E1380" s="30" t="s">
        <v>68</v>
      </c>
      <c r="F1380" s="30" t="s">
        <v>43</v>
      </c>
      <c r="G1380" s="33">
        <v>2.34</v>
      </c>
      <c r="H1380" s="83" t="s">
        <v>89</v>
      </c>
    </row>
    <row r="1381" spans="1:8" ht="16.5" customHeight="1" x14ac:dyDescent="0.25">
      <c r="A1381" s="27">
        <v>45818</v>
      </c>
      <c r="B1381" s="80">
        <v>2025</v>
      </c>
      <c r="C1381" s="80">
        <v>6</v>
      </c>
      <c r="D1381" s="30" t="s">
        <v>53</v>
      </c>
      <c r="E1381" s="30" t="s">
        <v>71</v>
      </c>
      <c r="F1381" s="30" t="s">
        <v>43</v>
      </c>
      <c r="G1381" s="33">
        <v>4.3263999999999996</v>
      </c>
      <c r="H1381" s="83" t="s">
        <v>89</v>
      </c>
    </row>
    <row r="1382" spans="1:8" ht="16.5" customHeight="1" x14ac:dyDescent="0.25">
      <c r="A1382" s="27">
        <v>45819</v>
      </c>
      <c r="B1382" s="80">
        <v>2025</v>
      </c>
      <c r="C1382" s="80">
        <v>6</v>
      </c>
      <c r="D1382" s="30" t="s">
        <v>53</v>
      </c>
      <c r="E1382" s="30" t="s">
        <v>38</v>
      </c>
      <c r="F1382" s="30" t="s">
        <v>43</v>
      </c>
      <c r="G1382" s="33">
        <v>17.637</v>
      </c>
      <c r="H1382" s="83" t="s">
        <v>88</v>
      </c>
    </row>
    <row r="1383" spans="1:8" ht="16.5" customHeight="1" x14ac:dyDescent="0.25">
      <c r="A1383" s="27">
        <v>45819</v>
      </c>
      <c r="B1383" s="80">
        <v>2025</v>
      </c>
      <c r="C1383" s="80">
        <v>6</v>
      </c>
      <c r="D1383" s="30" t="s">
        <v>53</v>
      </c>
      <c r="E1383" s="30" t="s">
        <v>38</v>
      </c>
      <c r="F1383" s="30" t="s">
        <v>58</v>
      </c>
      <c r="G1383" s="33">
        <v>0.59</v>
      </c>
      <c r="H1383" s="83" t="s">
        <v>88</v>
      </c>
    </row>
    <row r="1384" spans="1:8" ht="16.5" customHeight="1" x14ac:dyDescent="0.25">
      <c r="A1384" s="27">
        <v>45819</v>
      </c>
      <c r="B1384" s="80">
        <v>2025</v>
      </c>
      <c r="C1384" s="80">
        <v>6</v>
      </c>
      <c r="D1384" s="30" t="s">
        <v>53</v>
      </c>
      <c r="E1384" s="30" t="s">
        <v>42</v>
      </c>
      <c r="F1384" s="30" t="s">
        <v>43</v>
      </c>
      <c r="G1384" s="33">
        <v>27.910499999999999</v>
      </c>
      <c r="H1384" s="83" t="s">
        <v>88</v>
      </c>
    </row>
    <row r="1385" spans="1:8" ht="16.5" customHeight="1" x14ac:dyDescent="0.25">
      <c r="A1385" s="27">
        <v>45819</v>
      </c>
      <c r="B1385" s="80">
        <v>2025</v>
      </c>
      <c r="C1385" s="80">
        <v>6</v>
      </c>
      <c r="D1385" s="30" t="s">
        <v>53</v>
      </c>
      <c r="E1385" s="30" t="s">
        <v>46</v>
      </c>
      <c r="F1385" s="30" t="s">
        <v>43</v>
      </c>
      <c r="G1385" s="33">
        <v>3.3609536000000002</v>
      </c>
      <c r="H1385" s="83" t="s">
        <v>88</v>
      </c>
    </row>
    <row r="1386" spans="1:8" ht="16.5" customHeight="1" x14ac:dyDescent="0.25">
      <c r="A1386" s="27">
        <v>45819</v>
      </c>
      <c r="B1386" s="80">
        <v>2025</v>
      </c>
      <c r="C1386" s="80">
        <v>6</v>
      </c>
      <c r="D1386" s="30" t="s">
        <v>53</v>
      </c>
      <c r="E1386" s="30" t="s">
        <v>50</v>
      </c>
      <c r="F1386" s="30" t="s">
        <v>43</v>
      </c>
      <c r="G1386" s="33">
        <v>5.3273659499999999</v>
      </c>
      <c r="H1386" s="83" t="s">
        <v>88</v>
      </c>
    </row>
    <row r="1387" spans="1:8" ht="16.5" customHeight="1" x14ac:dyDescent="0.25">
      <c r="A1387" s="27">
        <v>45819</v>
      </c>
      <c r="B1387" s="80">
        <v>2025</v>
      </c>
      <c r="C1387" s="80">
        <v>6</v>
      </c>
      <c r="D1387" s="30" t="s">
        <v>53</v>
      </c>
      <c r="E1387" s="30" t="s">
        <v>50</v>
      </c>
      <c r="F1387" s="30" t="s">
        <v>58</v>
      </c>
      <c r="G1387" s="33">
        <v>19.017723696000001</v>
      </c>
      <c r="H1387" s="83" t="s">
        <v>88</v>
      </c>
    </row>
    <row r="1388" spans="1:8" ht="16.5" customHeight="1" x14ac:dyDescent="0.25">
      <c r="A1388" s="27">
        <v>45819</v>
      </c>
      <c r="B1388" s="80">
        <v>2025</v>
      </c>
      <c r="C1388" s="80">
        <v>6</v>
      </c>
      <c r="D1388" s="30" t="s">
        <v>53</v>
      </c>
      <c r="E1388" s="30" t="s">
        <v>54</v>
      </c>
      <c r="F1388" s="30" t="s">
        <v>43</v>
      </c>
      <c r="G1388" s="33">
        <v>3.9722</v>
      </c>
      <c r="H1388" s="83" t="s">
        <v>88</v>
      </c>
    </row>
    <row r="1389" spans="1:8" ht="16.5" customHeight="1" x14ac:dyDescent="0.25">
      <c r="A1389" s="27">
        <v>45819</v>
      </c>
      <c r="B1389" s="80">
        <v>2025</v>
      </c>
      <c r="C1389" s="80">
        <v>6</v>
      </c>
      <c r="D1389" s="30" t="s">
        <v>53</v>
      </c>
      <c r="E1389" s="30" t="s">
        <v>66</v>
      </c>
      <c r="F1389" s="30" t="s">
        <v>39</v>
      </c>
      <c r="G1389" s="33">
        <v>6.2249999999999996</v>
      </c>
      <c r="H1389" s="83" t="s">
        <v>89</v>
      </c>
    </row>
    <row r="1390" spans="1:8" ht="16.5" customHeight="1" x14ac:dyDescent="0.25">
      <c r="A1390" s="27">
        <v>45819</v>
      </c>
      <c r="B1390" s="80">
        <v>2025</v>
      </c>
      <c r="C1390" s="80">
        <v>6</v>
      </c>
      <c r="D1390" s="30" t="s">
        <v>53</v>
      </c>
      <c r="E1390" s="30" t="s">
        <v>66</v>
      </c>
      <c r="F1390" s="30" t="s">
        <v>43</v>
      </c>
      <c r="G1390" s="33">
        <v>1.6012500000000001</v>
      </c>
      <c r="H1390" s="83" t="s">
        <v>89</v>
      </c>
    </row>
    <row r="1391" spans="1:8" ht="16.5" customHeight="1" x14ac:dyDescent="0.25">
      <c r="A1391" s="27">
        <v>45819</v>
      </c>
      <c r="B1391" s="80">
        <v>2025</v>
      </c>
      <c r="C1391" s="80">
        <v>6</v>
      </c>
      <c r="D1391" s="30" t="s">
        <v>53</v>
      </c>
      <c r="E1391" s="30" t="s">
        <v>66</v>
      </c>
      <c r="F1391" s="30" t="s">
        <v>55</v>
      </c>
      <c r="G1391" s="33">
        <v>2.76</v>
      </c>
      <c r="H1391" s="83" t="s">
        <v>89</v>
      </c>
    </row>
    <row r="1392" spans="1:8" ht="16.5" customHeight="1" x14ac:dyDescent="0.25">
      <c r="A1392" s="27">
        <v>45819</v>
      </c>
      <c r="B1392" s="80">
        <v>2025</v>
      </c>
      <c r="C1392" s="80">
        <v>6</v>
      </c>
      <c r="D1392" s="30" t="s">
        <v>53</v>
      </c>
      <c r="E1392" s="30" t="s">
        <v>68</v>
      </c>
      <c r="F1392" s="30" t="s">
        <v>43</v>
      </c>
      <c r="G1392" s="33">
        <v>6.0237499999999997</v>
      </c>
      <c r="H1392" s="83" t="s">
        <v>89</v>
      </c>
    </row>
    <row r="1393" spans="1:8" ht="16.5" customHeight="1" x14ac:dyDescent="0.25">
      <c r="A1393" s="27">
        <v>45820</v>
      </c>
      <c r="B1393" s="80">
        <v>2025</v>
      </c>
      <c r="C1393" s="80">
        <v>6</v>
      </c>
      <c r="D1393" s="30" t="s">
        <v>53</v>
      </c>
      <c r="E1393" s="30" t="s">
        <v>38</v>
      </c>
      <c r="F1393" s="30" t="s">
        <v>43</v>
      </c>
      <c r="G1393" s="33">
        <v>14.688599999999999</v>
      </c>
      <c r="H1393" s="83" t="s">
        <v>88</v>
      </c>
    </row>
    <row r="1394" spans="1:8" ht="16.5" customHeight="1" x14ac:dyDescent="0.25">
      <c r="A1394" s="27">
        <v>45820</v>
      </c>
      <c r="B1394" s="80">
        <v>2025</v>
      </c>
      <c r="C1394" s="80">
        <v>6</v>
      </c>
      <c r="D1394" s="30" t="s">
        <v>53</v>
      </c>
      <c r="E1394" s="30" t="s">
        <v>42</v>
      </c>
      <c r="F1394" s="30" t="s">
        <v>43</v>
      </c>
      <c r="G1394" s="33">
        <v>12.446</v>
      </c>
      <c r="H1394" s="83" t="s">
        <v>88</v>
      </c>
    </row>
    <row r="1395" spans="1:8" ht="16.5" customHeight="1" x14ac:dyDescent="0.25">
      <c r="A1395" s="27">
        <v>45820</v>
      </c>
      <c r="B1395" s="80">
        <v>2025</v>
      </c>
      <c r="C1395" s="80">
        <v>6</v>
      </c>
      <c r="D1395" s="30" t="s">
        <v>53</v>
      </c>
      <c r="E1395" s="30" t="s">
        <v>50</v>
      </c>
      <c r="F1395" s="30" t="s">
        <v>43</v>
      </c>
      <c r="G1395" s="33">
        <v>21.375730650000001</v>
      </c>
      <c r="H1395" s="83" t="s">
        <v>88</v>
      </c>
    </row>
    <row r="1396" spans="1:8" ht="16.5" customHeight="1" x14ac:dyDescent="0.25">
      <c r="A1396" s="27">
        <v>45820</v>
      </c>
      <c r="B1396" s="80">
        <v>2025</v>
      </c>
      <c r="C1396" s="80">
        <v>6</v>
      </c>
      <c r="D1396" s="30" t="s">
        <v>53</v>
      </c>
      <c r="E1396" s="30" t="s">
        <v>50</v>
      </c>
      <c r="F1396" s="30" t="s">
        <v>47</v>
      </c>
      <c r="G1396" s="33">
        <v>1.2432000000000001</v>
      </c>
      <c r="H1396" s="83" t="s">
        <v>88</v>
      </c>
    </row>
    <row r="1397" spans="1:8" ht="16.5" customHeight="1" x14ac:dyDescent="0.25">
      <c r="A1397" s="27">
        <v>45820</v>
      </c>
      <c r="B1397" s="80">
        <v>2025</v>
      </c>
      <c r="C1397" s="80">
        <v>6</v>
      </c>
      <c r="D1397" s="30" t="s">
        <v>53</v>
      </c>
      <c r="E1397" s="30" t="s">
        <v>50</v>
      </c>
      <c r="F1397" s="30" t="s">
        <v>58</v>
      </c>
      <c r="G1397" s="33">
        <v>1.6408210000000001</v>
      </c>
      <c r="H1397" s="83" t="s">
        <v>88</v>
      </c>
    </row>
    <row r="1398" spans="1:8" ht="16.5" customHeight="1" x14ac:dyDescent="0.25">
      <c r="A1398" s="27">
        <v>45820</v>
      </c>
      <c r="B1398" s="80">
        <v>2025</v>
      </c>
      <c r="C1398" s="80">
        <v>6</v>
      </c>
      <c r="D1398" s="30" t="s">
        <v>53</v>
      </c>
      <c r="E1398" s="30" t="s">
        <v>54</v>
      </c>
      <c r="F1398" s="30" t="s">
        <v>43</v>
      </c>
      <c r="G1398" s="33">
        <v>2.7831999999999999</v>
      </c>
      <c r="H1398" s="83" t="s">
        <v>88</v>
      </c>
    </row>
    <row r="1399" spans="1:8" ht="16.5" customHeight="1" x14ac:dyDescent="0.25">
      <c r="A1399" s="27">
        <v>45820</v>
      </c>
      <c r="B1399" s="80">
        <v>2025</v>
      </c>
      <c r="C1399" s="80">
        <v>6</v>
      </c>
      <c r="D1399" s="30" t="s">
        <v>53</v>
      </c>
      <c r="E1399" s="30" t="s">
        <v>68</v>
      </c>
      <c r="F1399" s="30" t="s">
        <v>43</v>
      </c>
      <c r="G1399" s="33">
        <v>5.2249999999999996</v>
      </c>
      <c r="H1399" s="83" t="s">
        <v>89</v>
      </c>
    </row>
    <row r="1400" spans="1:8" ht="16.5" customHeight="1" x14ac:dyDescent="0.25">
      <c r="A1400" s="27">
        <v>45821</v>
      </c>
      <c r="B1400" s="80">
        <v>2025</v>
      </c>
      <c r="C1400" s="80">
        <v>6</v>
      </c>
      <c r="D1400" s="30" t="s">
        <v>53</v>
      </c>
      <c r="E1400" s="30" t="s">
        <v>38</v>
      </c>
      <c r="F1400" s="30" t="s">
        <v>43</v>
      </c>
      <c r="G1400" s="33">
        <v>23.397749999999998</v>
      </c>
      <c r="H1400" s="83" t="s">
        <v>88</v>
      </c>
    </row>
    <row r="1401" spans="1:8" ht="16.5" customHeight="1" x14ac:dyDescent="0.25">
      <c r="A1401" s="27">
        <v>45821</v>
      </c>
      <c r="B1401" s="80">
        <v>2025</v>
      </c>
      <c r="C1401" s="80">
        <v>6</v>
      </c>
      <c r="D1401" s="30" t="s">
        <v>53</v>
      </c>
      <c r="E1401" s="30" t="s">
        <v>42</v>
      </c>
      <c r="F1401" s="30" t="s">
        <v>58</v>
      </c>
      <c r="G1401" s="33">
        <v>2.52</v>
      </c>
      <c r="H1401" s="83" t="s">
        <v>88</v>
      </c>
    </row>
    <row r="1402" spans="1:8" ht="16.5" customHeight="1" x14ac:dyDescent="0.25">
      <c r="A1402" s="27">
        <v>45821</v>
      </c>
      <c r="B1402" s="80">
        <v>2025</v>
      </c>
      <c r="C1402" s="80">
        <v>6</v>
      </c>
      <c r="D1402" s="30" t="s">
        <v>53</v>
      </c>
      <c r="E1402" s="30" t="s">
        <v>46</v>
      </c>
      <c r="F1402" s="30" t="s">
        <v>43</v>
      </c>
      <c r="G1402" s="33">
        <v>14.600123200000001</v>
      </c>
      <c r="H1402" s="83" t="s">
        <v>88</v>
      </c>
    </row>
    <row r="1403" spans="1:8" ht="16.5" customHeight="1" x14ac:dyDescent="0.25">
      <c r="A1403" s="27">
        <v>45821</v>
      </c>
      <c r="B1403" s="80">
        <v>2025</v>
      </c>
      <c r="C1403" s="80">
        <v>6</v>
      </c>
      <c r="D1403" s="30" t="s">
        <v>53</v>
      </c>
      <c r="E1403" s="30" t="s">
        <v>46</v>
      </c>
      <c r="F1403" s="30" t="s">
        <v>51</v>
      </c>
      <c r="G1403" s="33">
        <v>0.50173599999999996</v>
      </c>
      <c r="H1403" s="83" t="s">
        <v>88</v>
      </c>
    </row>
    <row r="1404" spans="1:8" ht="16.5" customHeight="1" x14ac:dyDescent="0.25">
      <c r="A1404" s="27">
        <v>45821</v>
      </c>
      <c r="B1404" s="80">
        <v>2025</v>
      </c>
      <c r="C1404" s="80">
        <v>6</v>
      </c>
      <c r="D1404" s="30" t="s">
        <v>53</v>
      </c>
      <c r="E1404" s="30" t="s">
        <v>46</v>
      </c>
      <c r="F1404" s="30" t="s">
        <v>58</v>
      </c>
      <c r="G1404" s="33">
        <v>0.30583650000000001</v>
      </c>
      <c r="H1404" s="83" t="s">
        <v>88</v>
      </c>
    </row>
    <row r="1405" spans="1:8" ht="16.5" customHeight="1" x14ac:dyDescent="0.25">
      <c r="A1405" s="27">
        <v>45821</v>
      </c>
      <c r="B1405" s="80">
        <v>2025</v>
      </c>
      <c r="C1405" s="80">
        <v>6</v>
      </c>
      <c r="D1405" s="30" t="s">
        <v>53</v>
      </c>
      <c r="E1405" s="30" t="s">
        <v>54</v>
      </c>
      <c r="F1405" s="30" t="s">
        <v>43</v>
      </c>
      <c r="G1405" s="33">
        <v>1.6915</v>
      </c>
      <c r="H1405" s="83" t="s">
        <v>88</v>
      </c>
    </row>
    <row r="1406" spans="1:8" ht="16.5" customHeight="1" x14ac:dyDescent="0.25">
      <c r="A1406" s="27">
        <v>45821</v>
      </c>
      <c r="B1406" s="80">
        <v>2025</v>
      </c>
      <c r="C1406" s="80">
        <v>6</v>
      </c>
      <c r="D1406" s="30" t="s">
        <v>53</v>
      </c>
      <c r="E1406" s="30" t="s">
        <v>66</v>
      </c>
      <c r="F1406" s="30" t="s">
        <v>43</v>
      </c>
      <c r="G1406" s="33">
        <v>3.3824999999999998</v>
      </c>
      <c r="H1406" s="83" t="s">
        <v>89</v>
      </c>
    </row>
    <row r="1407" spans="1:8" ht="16.5" customHeight="1" x14ac:dyDescent="0.25">
      <c r="A1407" s="27">
        <v>45821</v>
      </c>
      <c r="B1407" s="80">
        <v>2025</v>
      </c>
      <c r="C1407" s="80">
        <v>6</v>
      </c>
      <c r="D1407" s="30" t="s">
        <v>53</v>
      </c>
      <c r="E1407" s="30" t="s">
        <v>68</v>
      </c>
      <c r="F1407" s="30" t="s">
        <v>43</v>
      </c>
      <c r="G1407" s="33">
        <v>0.55249999999999999</v>
      </c>
      <c r="H1407" s="83" t="s">
        <v>89</v>
      </c>
    </row>
    <row r="1408" spans="1:8" ht="16.5" customHeight="1" x14ac:dyDescent="0.25">
      <c r="A1408" s="27">
        <v>45821</v>
      </c>
      <c r="B1408" s="80">
        <v>2025</v>
      </c>
      <c r="C1408" s="80">
        <v>6</v>
      </c>
      <c r="D1408" s="30" t="s">
        <v>53</v>
      </c>
      <c r="E1408" s="30" t="s">
        <v>76</v>
      </c>
      <c r="F1408" s="30" t="s">
        <v>43</v>
      </c>
      <c r="G1408" s="33">
        <v>13.664</v>
      </c>
      <c r="H1408" s="83" t="s">
        <v>48</v>
      </c>
    </row>
    <row r="1409" spans="1:8" ht="16.5" customHeight="1" x14ac:dyDescent="0.25">
      <c r="A1409" s="27">
        <v>45824</v>
      </c>
      <c r="B1409" s="80">
        <v>2025</v>
      </c>
      <c r="C1409" s="80">
        <v>6</v>
      </c>
      <c r="D1409" s="30" t="s">
        <v>53</v>
      </c>
      <c r="E1409" s="30" t="s">
        <v>38</v>
      </c>
      <c r="F1409" s="30" t="s">
        <v>43</v>
      </c>
      <c r="G1409" s="33">
        <v>2.9674999999999998</v>
      </c>
      <c r="H1409" s="83" t="s">
        <v>88</v>
      </c>
    </row>
    <row r="1410" spans="1:8" ht="16.5" customHeight="1" x14ac:dyDescent="0.25">
      <c r="A1410" s="27">
        <v>45824</v>
      </c>
      <c r="B1410" s="80">
        <v>2025</v>
      </c>
      <c r="C1410" s="80">
        <v>6</v>
      </c>
      <c r="D1410" s="30" t="s">
        <v>53</v>
      </c>
      <c r="E1410" s="30" t="s">
        <v>42</v>
      </c>
      <c r="F1410" s="30" t="s">
        <v>43</v>
      </c>
      <c r="G1410" s="33">
        <v>6.883</v>
      </c>
      <c r="H1410" s="83" t="s">
        <v>88</v>
      </c>
    </row>
    <row r="1411" spans="1:8" ht="16.5" customHeight="1" x14ac:dyDescent="0.25">
      <c r="A1411" s="27">
        <v>45824</v>
      </c>
      <c r="B1411" s="80">
        <v>2025</v>
      </c>
      <c r="C1411" s="80">
        <v>6</v>
      </c>
      <c r="D1411" s="30" t="s">
        <v>53</v>
      </c>
      <c r="E1411" s="30" t="s">
        <v>42</v>
      </c>
      <c r="F1411" s="30" t="s">
        <v>58</v>
      </c>
      <c r="G1411" s="33">
        <v>0.61963000000000001</v>
      </c>
      <c r="H1411" s="83" t="s">
        <v>88</v>
      </c>
    </row>
    <row r="1412" spans="1:8" ht="16.5" customHeight="1" x14ac:dyDescent="0.25">
      <c r="A1412" s="27">
        <v>45824</v>
      </c>
      <c r="B1412" s="80">
        <v>2025</v>
      </c>
      <c r="C1412" s="80">
        <v>6</v>
      </c>
      <c r="D1412" s="30" t="s">
        <v>53</v>
      </c>
      <c r="E1412" s="30" t="s">
        <v>46</v>
      </c>
      <c r="F1412" s="30" t="s">
        <v>43</v>
      </c>
      <c r="G1412" s="33">
        <v>7.1509672000000002</v>
      </c>
      <c r="H1412" s="83" t="s">
        <v>88</v>
      </c>
    </row>
    <row r="1413" spans="1:8" ht="16.5" customHeight="1" x14ac:dyDescent="0.25">
      <c r="A1413" s="27">
        <v>45824</v>
      </c>
      <c r="B1413" s="80">
        <v>2025</v>
      </c>
      <c r="C1413" s="80">
        <v>6</v>
      </c>
      <c r="D1413" s="30" t="s">
        <v>53</v>
      </c>
      <c r="E1413" s="30" t="s">
        <v>46</v>
      </c>
      <c r="F1413" s="30" t="s">
        <v>58</v>
      </c>
      <c r="G1413" s="33">
        <v>0.55888499999999997</v>
      </c>
      <c r="H1413" s="83" t="s">
        <v>88</v>
      </c>
    </row>
    <row r="1414" spans="1:8" ht="16.5" customHeight="1" x14ac:dyDescent="0.25">
      <c r="A1414" s="27">
        <v>45824</v>
      </c>
      <c r="B1414" s="80">
        <v>2025</v>
      </c>
      <c r="C1414" s="80">
        <v>6</v>
      </c>
      <c r="D1414" s="30" t="s">
        <v>53</v>
      </c>
      <c r="E1414" s="30" t="s">
        <v>50</v>
      </c>
      <c r="F1414" s="30" t="s">
        <v>43</v>
      </c>
      <c r="G1414" s="33">
        <v>1.804125</v>
      </c>
      <c r="H1414" s="83" t="s">
        <v>88</v>
      </c>
    </row>
    <row r="1415" spans="1:8" ht="16.5" customHeight="1" x14ac:dyDescent="0.25">
      <c r="A1415" s="27">
        <v>45824</v>
      </c>
      <c r="B1415" s="80">
        <v>2025</v>
      </c>
      <c r="C1415" s="80">
        <v>6</v>
      </c>
      <c r="D1415" s="30" t="s">
        <v>53</v>
      </c>
      <c r="E1415" s="30" t="s">
        <v>50</v>
      </c>
      <c r="F1415" s="30" t="s">
        <v>47</v>
      </c>
      <c r="G1415" s="33">
        <v>0.76185000000000003</v>
      </c>
      <c r="H1415" s="83" t="s">
        <v>88</v>
      </c>
    </row>
    <row r="1416" spans="1:8" ht="16.5" customHeight="1" x14ac:dyDescent="0.25">
      <c r="A1416" s="27">
        <v>45824</v>
      </c>
      <c r="B1416" s="80">
        <v>2025</v>
      </c>
      <c r="C1416" s="80">
        <v>6</v>
      </c>
      <c r="D1416" s="30" t="s">
        <v>53</v>
      </c>
      <c r="E1416" s="30" t="s">
        <v>50</v>
      </c>
      <c r="F1416" s="30" t="s">
        <v>55</v>
      </c>
      <c r="G1416" s="33">
        <v>0.53549999999999998</v>
      </c>
      <c r="H1416" s="83" t="s">
        <v>88</v>
      </c>
    </row>
    <row r="1417" spans="1:8" ht="16.5" customHeight="1" x14ac:dyDescent="0.25">
      <c r="A1417" s="27">
        <v>45824</v>
      </c>
      <c r="B1417" s="80">
        <v>2025</v>
      </c>
      <c r="C1417" s="80">
        <v>6</v>
      </c>
      <c r="D1417" s="30" t="s">
        <v>53</v>
      </c>
      <c r="E1417" s="30" t="s">
        <v>50</v>
      </c>
      <c r="F1417" s="30" t="s">
        <v>58</v>
      </c>
      <c r="G1417" s="33">
        <v>0.97622674399999998</v>
      </c>
      <c r="H1417" s="83" t="s">
        <v>88</v>
      </c>
    </row>
    <row r="1418" spans="1:8" ht="16.5" customHeight="1" x14ac:dyDescent="0.25">
      <c r="A1418" s="27">
        <v>45824</v>
      </c>
      <c r="B1418" s="80">
        <v>2025</v>
      </c>
      <c r="C1418" s="80">
        <v>6</v>
      </c>
      <c r="D1418" s="30" t="s">
        <v>53</v>
      </c>
      <c r="E1418" s="30" t="s">
        <v>54</v>
      </c>
      <c r="F1418" s="30" t="s">
        <v>43</v>
      </c>
      <c r="G1418" s="33">
        <v>0.32500000000000001</v>
      </c>
      <c r="H1418" s="83" t="s">
        <v>88</v>
      </c>
    </row>
    <row r="1419" spans="1:8" ht="16.5" customHeight="1" x14ac:dyDescent="0.25">
      <c r="A1419" s="27">
        <v>45824</v>
      </c>
      <c r="B1419" s="80">
        <v>2025</v>
      </c>
      <c r="C1419" s="80">
        <v>6</v>
      </c>
      <c r="D1419" s="30" t="s">
        <v>53</v>
      </c>
      <c r="E1419" s="30" t="s">
        <v>66</v>
      </c>
      <c r="F1419" s="30" t="s">
        <v>43</v>
      </c>
      <c r="G1419" s="33">
        <v>6.8792999999999997</v>
      </c>
      <c r="H1419" s="83" t="s">
        <v>89</v>
      </c>
    </row>
    <row r="1420" spans="1:8" ht="16.5" customHeight="1" x14ac:dyDescent="0.25">
      <c r="A1420" s="27">
        <v>45824</v>
      </c>
      <c r="B1420" s="80">
        <v>2025</v>
      </c>
      <c r="C1420" s="80">
        <v>6</v>
      </c>
      <c r="D1420" s="30" t="s">
        <v>53</v>
      </c>
      <c r="E1420" s="30" t="s">
        <v>66</v>
      </c>
      <c r="F1420" s="30" t="s">
        <v>55</v>
      </c>
      <c r="G1420" s="33">
        <v>0.45</v>
      </c>
      <c r="H1420" s="83" t="s">
        <v>89</v>
      </c>
    </row>
    <row r="1421" spans="1:8" ht="16.5" customHeight="1" x14ac:dyDescent="0.25">
      <c r="A1421" s="27">
        <v>45824</v>
      </c>
      <c r="B1421" s="80">
        <v>2025</v>
      </c>
      <c r="C1421" s="80">
        <v>6</v>
      </c>
      <c r="D1421" s="30" t="s">
        <v>53</v>
      </c>
      <c r="E1421" s="30" t="s">
        <v>68</v>
      </c>
      <c r="F1421" s="30" t="s">
        <v>43</v>
      </c>
      <c r="G1421" s="33">
        <v>3.8482500000000002</v>
      </c>
      <c r="H1421" s="83" t="s">
        <v>89</v>
      </c>
    </row>
    <row r="1422" spans="1:8" ht="16.5" customHeight="1" x14ac:dyDescent="0.25">
      <c r="A1422" s="27">
        <v>45824</v>
      </c>
      <c r="B1422" s="80">
        <v>2025</v>
      </c>
      <c r="C1422" s="80">
        <v>6</v>
      </c>
      <c r="D1422" s="30" t="s">
        <v>53</v>
      </c>
      <c r="E1422" s="30" t="s">
        <v>68</v>
      </c>
      <c r="F1422" s="30" t="s">
        <v>51</v>
      </c>
      <c r="G1422" s="33">
        <v>0.89249999999999996</v>
      </c>
      <c r="H1422" s="83" t="s">
        <v>89</v>
      </c>
    </row>
    <row r="1423" spans="1:8" ht="16.5" customHeight="1" x14ac:dyDescent="0.25">
      <c r="A1423" s="27">
        <v>45824</v>
      </c>
      <c r="B1423" s="80">
        <v>2025</v>
      </c>
      <c r="C1423" s="80">
        <v>6</v>
      </c>
      <c r="D1423" s="30" t="s">
        <v>53</v>
      </c>
      <c r="E1423" s="30" t="s">
        <v>68</v>
      </c>
      <c r="F1423" s="30" t="s">
        <v>55</v>
      </c>
      <c r="G1423" s="33">
        <v>1</v>
      </c>
      <c r="H1423" s="83" t="s">
        <v>89</v>
      </c>
    </row>
    <row r="1424" spans="1:8" ht="16.5" customHeight="1" x14ac:dyDescent="0.25">
      <c r="A1424" s="27">
        <v>45824</v>
      </c>
      <c r="B1424" s="80">
        <v>2025</v>
      </c>
      <c r="C1424" s="80">
        <v>6</v>
      </c>
      <c r="D1424" s="30" t="s">
        <v>53</v>
      </c>
      <c r="E1424" s="30" t="s">
        <v>71</v>
      </c>
      <c r="F1424" s="30" t="s">
        <v>43</v>
      </c>
      <c r="G1424" s="33">
        <v>6.84375</v>
      </c>
      <c r="H1424" s="83" t="s">
        <v>89</v>
      </c>
    </row>
    <row r="1425" spans="1:8" ht="16.5" customHeight="1" x14ac:dyDescent="0.25">
      <c r="A1425" s="27">
        <v>45825</v>
      </c>
      <c r="B1425" s="80">
        <v>2025</v>
      </c>
      <c r="C1425" s="80">
        <v>6</v>
      </c>
      <c r="D1425" s="30" t="s">
        <v>53</v>
      </c>
      <c r="E1425" s="30" t="s">
        <v>38</v>
      </c>
      <c r="F1425" s="30" t="s">
        <v>43</v>
      </c>
      <c r="G1425" s="33">
        <v>12.4236</v>
      </c>
      <c r="H1425" s="83" t="s">
        <v>88</v>
      </c>
    </row>
    <row r="1426" spans="1:8" ht="16.5" customHeight="1" x14ac:dyDescent="0.25">
      <c r="A1426" s="27">
        <v>45825</v>
      </c>
      <c r="B1426" s="80">
        <v>2025</v>
      </c>
      <c r="C1426" s="80">
        <v>6</v>
      </c>
      <c r="D1426" s="30" t="s">
        <v>53</v>
      </c>
      <c r="E1426" s="30" t="s">
        <v>42</v>
      </c>
      <c r="F1426" s="30" t="s">
        <v>43</v>
      </c>
      <c r="G1426" s="33">
        <v>4.0134999999999996</v>
      </c>
      <c r="H1426" s="83" t="s">
        <v>88</v>
      </c>
    </row>
    <row r="1427" spans="1:8" ht="16.5" customHeight="1" x14ac:dyDescent="0.25">
      <c r="A1427" s="27">
        <v>45825</v>
      </c>
      <c r="B1427" s="80">
        <v>2025</v>
      </c>
      <c r="C1427" s="80">
        <v>6</v>
      </c>
      <c r="D1427" s="30" t="s">
        <v>53</v>
      </c>
      <c r="E1427" s="30" t="s">
        <v>46</v>
      </c>
      <c r="F1427" s="30" t="s">
        <v>58</v>
      </c>
      <c r="G1427" s="33">
        <v>0.33171374999999997</v>
      </c>
      <c r="H1427" s="83" t="s">
        <v>88</v>
      </c>
    </row>
    <row r="1428" spans="1:8" ht="16.5" customHeight="1" x14ac:dyDescent="0.25">
      <c r="A1428" s="27">
        <v>45825</v>
      </c>
      <c r="B1428" s="80">
        <v>2025</v>
      </c>
      <c r="C1428" s="80">
        <v>6</v>
      </c>
      <c r="D1428" s="30" t="s">
        <v>53</v>
      </c>
      <c r="E1428" s="30" t="s">
        <v>50</v>
      </c>
      <c r="F1428" s="30" t="s">
        <v>39</v>
      </c>
      <c r="G1428" s="33">
        <v>7.1717399999999998</v>
      </c>
      <c r="H1428" s="83" t="s">
        <v>88</v>
      </c>
    </row>
    <row r="1429" spans="1:8" ht="16.5" customHeight="1" x14ac:dyDescent="0.25">
      <c r="A1429" s="27">
        <v>45825</v>
      </c>
      <c r="B1429" s="80">
        <v>2025</v>
      </c>
      <c r="C1429" s="80">
        <v>6</v>
      </c>
      <c r="D1429" s="30" t="s">
        <v>53</v>
      </c>
      <c r="E1429" s="30" t="s">
        <v>50</v>
      </c>
      <c r="F1429" s="30" t="s">
        <v>43</v>
      </c>
      <c r="G1429" s="33">
        <v>103.41423475000001</v>
      </c>
      <c r="H1429" s="83" t="s">
        <v>88</v>
      </c>
    </row>
    <row r="1430" spans="1:8" ht="16.5" customHeight="1" x14ac:dyDescent="0.25">
      <c r="A1430" s="27">
        <v>45825</v>
      </c>
      <c r="B1430" s="80">
        <v>2025</v>
      </c>
      <c r="C1430" s="80">
        <v>6</v>
      </c>
      <c r="D1430" s="30" t="s">
        <v>53</v>
      </c>
      <c r="E1430" s="30" t="s">
        <v>50</v>
      </c>
      <c r="F1430" s="30" t="s">
        <v>47</v>
      </c>
      <c r="G1430" s="33">
        <v>1.0190999999999999</v>
      </c>
      <c r="H1430" s="83" t="s">
        <v>88</v>
      </c>
    </row>
    <row r="1431" spans="1:8" ht="16.5" customHeight="1" x14ac:dyDescent="0.25">
      <c r="A1431" s="27">
        <v>45825</v>
      </c>
      <c r="B1431" s="80">
        <v>2025</v>
      </c>
      <c r="C1431" s="80">
        <v>6</v>
      </c>
      <c r="D1431" s="30" t="s">
        <v>53</v>
      </c>
      <c r="E1431" s="30" t="s">
        <v>50</v>
      </c>
      <c r="F1431" s="30" t="s">
        <v>55</v>
      </c>
      <c r="G1431" s="33">
        <v>0.231345</v>
      </c>
      <c r="H1431" s="83" t="s">
        <v>88</v>
      </c>
    </row>
    <row r="1432" spans="1:8" ht="16.5" customHeight="1" x14ac:dyDescent="0.25">
      <c r="A1432" s="27">
        <v>45825</v>
      </c>
      <c r="B1432" s="80">
        <v>2025</v>
      </c>
      <c r="C1432" s="80">
        <v>6</v>
      </c>
      <c r="D1432" s="30" t="s">
        <v>53</v>
      </c>
      <c r="E1432" s="30" t="s">
        <v>50</v>
      </c>
      <c r="F1432" s="30" t="s">
        <v>58</v>
      </c>
      <c r="G1432" s="33">
        <v>2.7996083999999999</v>
      </c>
      <c r="H1432" s="83" t="s">
        <v>88</v>
      </c>
    </row>
    <row r="1433" spans="1:8" ht="16.5" customHeight="1" x14ac:dyDescent="0.25">
      <c r="A1433" s="27">
        <v>45825</v>
      </c>
      <c r="B1433" s="80">
        <v>2025</v>
      </c>
      <c r="C1433" s="80">
        <v>6</v>
      </c>
      <c r="D1433" s="30" t="s">
        <v>53</v>
      </c>
      <c r="E1433" s="30" t="s">
        <v>54</v>
      </c>
      <c r="F1433" s="30" t="s">
        <v>43</v>
      </c>
      <c r="G1433" s="33">
        <v>5.9963499999999996</v>
      </c>
      <c r="H1433" s="83" t="s">
        <v>88</v>
      </c>
    </row>
    <row r="1434" spans="1:8" ht="16.5" customHeight="1" x14ac:dyDescent="0.25">
      <c r="A1434" s="27">
        <v>45825</v>
      </c>
      <c r="B1434" s="80">
        <v>2025</v>
      </c>
      <c r="C1434" s="80">
        <v>6</v>
      </c>
      <c r="D1434" s="30" t="s">
        <v>53</v>
      </c>
      <c r="E1434" s="30" t="s">
        <v>66</v>
      </c>
      <c r="F1434" s="30" t="s">
        <v>43</v>
      </c>
      <c r="G1434" s="33">
        <v>1.9871232000000001</v>
      </c>
      <c r="H1434" s="83" t="s">
        <v>89</v>
      </c>
    </row>
    <row r="1435" spans="1:8" ht="16.5" customHeight="1" x14ac:dyDescent="0.25">
      <c r="A1435" s="27">
        <v>45825</v>
      </c>
      <c r="B1435" s="80">
        <v>2025</v>
      </c>
      <c r="C1435" s="80">
        <v>6</v>
      </c>
      <c r="D1435" s="30" t="s">
        <v>53</v>
      </c>
      <c r="E1435" s="30" t="s">
        <v>68</v>
      </c>
      <c r="F1435" s="30" t="s">
        <v>43</v>
      </c>
      <c r="G1435" s="33">
        <v>2.94</v>
      </c>
      <c r="H1435" s="83" t="s">
        <v>89</v>
      </c>
    </row>
    <row r="1436" spans="1:8" ht="16.5" customHeight="1" x14ac:dyDescent="0.25">
      <c r="A1436" s="27">
        <v>45825</v>
      </c>
      <c r="B1436" s="80">
        <v>2025</v>
      </c>
      <c r="C1436" s="80">
        <v>6</v>
      </c>
      <c r="D1436" s="30" t="s">
        <v>53</v>
      </c>
      <c r="E1436" s="30" t="s">
        <v>71</v>
      </c>
      <c r="F1436" s="30" t="s">
        <v>43</v>
      </c>
      <c r="G1436" s="33">
        <v>1.111</v>
      </c>
      <c r="H1436" s="83" t="s">
        <v>89</v>
      </c>
    </row>
    <row r="1437" spans="1:8" ht="16.5" customHeight="1" x14ac:dyDescent="0.25">
      <c r="A1437" s="27">
        <v>45825</v>
      </c>
      <c r="B1437" s="80">
        <v>2025</v>
      </c>
      <c r="C1437" s="80">
        <v>6</v>
      </c>
      <c r="D1437" s="30" t="s">
        <v>53</v>
      </c>
      <c r="E1437" s="30" t="s">
        <v>71</v>
      </c>
      <c r="F1437" s="30" t="s">
        <v>55</v>
      </c>
      <c r="G1437" s="33">
        <v>0.89549999999999996</v>
      </c>
      <c r="H1437" s="83" t="s">
        <v>89</v>
      </c>
    </row>
    <row r="1438" spans="1:8" ht="16.5" customHeight="1" x14ac:dyDescent="0.25">
      <c r="A1438" s="27">
        <v>45826</v>
      </c>
      <c r="B1438" s="80">
        <v>2025</v>
      </c>
      <c r="C1438" s="80">
        <v>6</v>
      </c>
      <c r="D1438" s="30" t="s">
        <v>53</v>
      </c>
      <c r="E1438" s="30" t="s">
        <v>38</v>
      </c>
      <c r="F1438" s="30" t="s">
        <v>43</v>
      </c>
      <c r="G1438" s="33">
        <v>5.0413759999999996</v>
      </c>
      <c r="H1438" s="83" t="s">
        <v>88</v>
      </c>
    </row>
    <row r="1439" spans="1:8" ht="16.5" customHeight="1" x14ac:dyDescent="0.25">
      <c r="A1439" s="27">
        <v>45826</v>
      </c>
      <c r="B1439" s="80">
        <v>2025</v>
      </c>
      <c r="C1439" s="80">
        <v>6</v>
      </c>
      <c r="D1439" s="30" t="s">
        <v>53</v>
      </c>
      <c r="E1439" s="30" t="s">
        <v>38</v>
      </c>
      <c r="F1439" s="30" t="s">
        <v>55</v>
      </c>
      <c r="G1439" s="33">
        <v>1.1399999999999999</v>
      </c>
      <c r="H1439" s="83" t="s">
        <v>88</v>
      </c>
    </row>
    <row r="1440" spans="1:8" ht="16.5" customHeight="1" x14ac:dyDescent="0.25">
      <c r="A1440" s="27">
        <v>45826</v>
      </c>
      <c r="B1440" s="80">
        <v>2025</v>
      </c>
      <c r="C1440" s="80">
        <v>6</v>
      </c>
      <c r="D1440" s="30" t="s">
        <v>53</v>
      </c>
      <c r="E1440" s="30" t="s">
        <v>38</v>
      </c>
      <c r="F1440" s="30" t="s">
        <v>58</v>
      </c>
      <c r="G1440" s="33">
        <v>0.1606416</v>
      </c>
      <c r="H1440" s="83" t="s">
        <v>88</v>
      </c>
    </row>
    <row r="1441" spans="1:8" ht="16.5" customHeight="1" x14ac:dyDescent="0.25">
      <c r="A1441" s="27">
        <v>45826</v>
      </c>
      <c r="B1441" s="80">
        <v>2025</v>
      </c>
      <c r="C1441" s="80">
        <v>6</v>
      </c>
      <c r="D1441" s="30" t="s">
        <v>53</v>
      </c>
      <c r="E1441" s="30" t="s">
        <v>42</v>
      </c>
      <c r="F1441" s="30" t="s">
        <v>43</v>
      </c>
      <c r="G1441" s="33">
        <v>25.3825</v>
      </c>
      <c r="H1441" s="83" t="s">
        <v>88</v>
      </c>
    </row>
    <row r="1442" spans="1:8" ht="16.5" customHeight="1" x14ac:dyDescent="0.25">
      <c r="A1442" s="27">
        <v>45826</v>
      </c>
      <c r="B1442" s="80">
        <v>2025</v>
      </c>
      <c r="C1442" s="80">
        <v>6</v>
      </c>
      <c r="D1442" s="30" t="s">
        <v>53</v>
      </c>
      <c r="E1442" s="30" t="s">
        <v>46</v>
      </c>
      <c r="F1442" s="30" t="s">
        <v>43</v>
      </c>
      <c r="G1442" s="33">
        <v>1.55913375</v>
      </c>
      <c r="H1442" s="83" t="s">
        <v>88</v>
      </c>
    </row>
    <row r="1443" spans="1:8" ht="16.5" customHeight="1" x14ac:dyDescent="0.25">
      <c r="A1443" s="27">
        <v>45826</v>
      </c>
      <c r="B1443" s="80">
        <v>2025</v>
      </c>
      <c r="C1443" s="80">
        <v>6</v>
      </c>
      <c r="D1443" s="30" t="s">
        <v>53</v>
      </c>
      <c r="E1443" s="30" t="s">
        <v>46</v>
      </c>
      <c r="F1443" s="30" t="s">
        <v>58</v>
      </c>
      <c r="G1443" s="33">
        <v>1.1769615</v>
      </c>
      <c r="H1443" s="83" t="s">
        <v>88</v>
      </c>
    </row>
    <row r="1444" spans="1:8" ht="16.5" customHeight="1" x14ac:dyDescent="0.25">
      <c r="A1444" s="27">
        <v>45826</v>
      </c>
      <c r="B1444" s="80">
        <v>2025</v>
      </c>
      <c r="C1444" s="80">
        <v>6</v>
      </c>
      <c r="D1444" s="30" t="s">
        <v>53</v>
      </c>
      <c r="E1444" s="30" t="s">
        <v>50</v>
      </c>
      <c r="F1444" s="30" t="s">
        <v>43</v>
      </c>
      <c r="G1444" s="33">
        <v>57.16417715</v>
      </c>
      <c r="H1444" s="83" t="s">
        <v>88</v>
      </c>
    </row>
    <row r="1445" spans="1:8" ht="16.5" customHeight="1" x14ac:dyDescent="0.25">
      <c r="A1445" s="27">
        <v>45826</v>
      </c>
      <c r="B1445" s="80">
        <v>2025</v>
      </c>
      <c r="C1445" s="80">
        <v>6</v>
      </c>
      <c r="D1445" s="30" t="s">
        <v>53</v>
      </c>
      <c r="E1445" s="30" t="s">
        <v>50</v>
      </c>
      <c r="F1445" s="30" t="s">
        <v>47</v>
      </c>
      <c r="G1445" s="33">
        <v>0.62160000000000004</v>
      </c>
      <c r="H1445" s="83" t="s">
        <v>88</v>
      </c>
    </row>
    <row r="1446" spans="1:8" ht="16.5" customHeight="1" x14ac:dyDescent="0.25">
      <c r="A1446" s="27">
        <v>45826</v>
      </c>
      <c r="B1446" s="80">
        <v>2025</v>
      </c>
      <c r="C1446" s="80">
        <v>6</v>
      </c>
      <c r="D1446" s="30" t="s">
        <v>53</v>
      </c>
      <c r="E1446" s="30" t="s">
        <v>50</v>
      </c>
      <c r="F1446" s="30" t="s">
        <v>58</v>
      </c>
      <c r="G1446" s="33">
        <v>25.268522000000001</v>
      </c>
      <c r="H1446" s="83" t="s">
        <v>88</v>
      </c>
    </row>
    <row r="1447" spans="1:8" ht="16.5" customHeight="1" x14ac:dyDescent="0.25">
      <c r="A1447" s="27">
        <v>45826</v>
      </c>
      <c r="B1447" s="80">
        <v>2025</v>
      </c>
      <c r="C1447" s="80">
        <v>6</v>
      </c>
      <c r="D1447" s="30" t="s">
        <v>53</v>
      </c>
      <c r="E1447" s="30" t="s">
        <v>54</v>
      </c>
      <c r="F1447" s="30" t="s">
        <v>43</v>
      </c>
      <c r="G1447" s="33">
        <v>4.5412499999999998</v>
      </c>
      <c r="H1447" s="83" t="s">
        <v>88</v>
      </c>
    </row>
    <row r="1448" spans="1:8" ht="16.5" customHeight="1" x14ac:dyDescent="0.25">
      <c r="A1448" s="27">
        <v>45826</v>
      </c>
      <c r="B1448" s="80">
        <v>2025</v>
      </c>
      <c r="C1448" s="80">
        <v>6</v>
      </c>
      <c r="D1448" s="30" t="s">
        <v>53</v>
      </c>
      <c r="E1448" s="30" t="s">
        <v>57</v>
      </c>
      <c r="F1448" s="30" t="s">
        <v>43</v>
      </c>
      <c r="G1448" s="33">
        <v>2.5055999999999998</v>
      </c>
      <c r="H1448" s="83" t="s">
        <v>89</v>
      </c>
    </row>
    <row r="1449" spans="1:8" ht="16.5" customHeight="1" x14ac:dyDescent="0.25">
      <c r="A1449" s="27">
        <v>45826</v>
      </c>
      <c r="B1449" s="80">
        <v>2025</v>
      </c>
      <c r="C1449" s="80">
        <v>6</v>
      </c>
      <c r="D1449" s="30" t="s">
        <v>53</v>
      </c>
      <c r="E1449" s="30" t="s">
        <v>64</v>
      </c>
      <c r="F1449" s="30" t="s">
        <v>43</v>
      </c>
      <c r="G1449" s="33">
        <v>8.6835000000000004</v>
      </c>
      <c r="H1449" s="83" t="s">
        <v>89</v>
      </c>
    </row>
    <row r="1450" spans="1:8" ht="16.5" customHeight="1" x14ac:dyDescent="0.25">
      <c r="A1450" s="27">
        <v>45826</v>
      </c>
      <c r="B1450" s="80">
        <v>2025</v>
      </c>
      <c r="C1450" s="80">
        <v>6</v>
      </c>
      <c r="D1450" s="30" t="s">
        <v>53</v>
      </c>
      <c r="E1450" s="30" t="s">
        <v>66</v>
      </c>
      <c r="F1450" s="30" t="s">
        <v>43</v>
      </c>
      <c r="G1450" s="33">
        <v>1</v>
      </c>
      <c r="H1450" s="83" t="s">
        <v>89</v>
      </c>
    </row>
    <row r="1451" spans="1:8" ht="16.5" customHeight="1" x14ac:dyDescent="0.25">
      <c r="A1451" s="27">
        <v>45826</v>
      </c>
      <c r="B1451" s="80">
        <v>2025</v>
      </c>
      <c r="C1451" s="80">
        <v>6</v>
      </c>
      <c r="D1451" s="30" t="s">
        <v>53</v>
      </c>
      <c r="E1451" s="30" t="s">
        <v>68</v>
      </c>
      <c r="F1451" s="30" t="s">
        <v>43</v>
      </c>
      <c r="G1451" s="33">
        <v>2.5775000000000001</v>
      </c>
      <c r="H1451" s="83" t="s">
        <v>89</v>
      </c>
    </row>
    <row r="1452" spans="1:8" ht="16.5" customHeight="1" x14ac:dyDescent="0.25">
      <c r="A1452" s="27">
        <v>45827</v>
      </c>
      <c r="B1452" s="80">
        <v>2025</v>
      </c>
      <c r="C1452" s="80">
        <v>6</v>
      </c>
      <c r="D1452" s="30" t="s">
        <v>53</v>
      </c>
      <c r="E1452" s="30" t="s">
        <v>38</v>
      </c>
      <c r="F1452" s="30" t="s">
        <v>43</v>
      </c>
      <c r="G1452" s="33">
        <v>10.29374</v>
      </c>
      <c r="H1452" s="83" t="s">
        <v>88</v>
      </c>
    </row>
    <row r="1453" spans="1:8" ht="16.5" customHeight="1" x14ac:dyDescent="0.25">
      <c r="A1453" s="27">
        <v>45827</v>
      </c>
      <c r="B1453" s="80">
        <v>2025</v>
      </c>
      <c r="C1453" s="80">
        <v>6</v>
      </c>
      <c r="D1453" s="30" t="s">
        <v>53</v>
      </c>
      <c r="E1453" s="30" t="s">
        <v>38</v>
      </c>
      <c r="F1453" s="30" t="s">
        <v>58</v>
      </c>
      <c r="G1453" s="33">
        <v>1.38</v>
      </c>
      <c r="H1453" s="83" t="s">
        <v>88</v>
      </c>
    </row>
    <row r="1454" spans="1:8" ht="16.5" customHeight="1" x14ac:dyDescent="0.25">
      <c r="A1454" s="27">
        <v>45827</v>
      </c>
      <c r="B1454" s="80">
        <v>2025</v>
      </c>
      <c r="C1454" s="80">
        <v>6</v>
      </c>
      <c r="D1454" s="30" t="s">
        <v>53</v>
      </c>
      <c r="E1454" s="30" t="s">
        <v>42</v>
      </c>
      <c r="F1454" s="30" t="s">
        <v>43</v>
      </c>
      <c r="G1454" s="33">
        <v>12.195</v>
      </c>
      <c r="H1454" s="83" t="s">
        <v>88</v>
      </c>
    </row>
    <row r="1455" spans="1:8" ht="16.5" customHeight="1" x14ac:dyDescent="0.25">
      <c r="A1455" s="27">
        <v>45827</v>
      </c>
      <c r="B1455" s="80">
        <v>2025</v>
      </c>
      <c r="C1455" s="80">
        <v>6</v>
      </c>
      <c r="D1455" s="30" t="s">
        <v>53</v>
      </c>
      <c r="E1455" s="30" t="s">
        <v>42</v>
      </c>
      <c r="F1455" s="30" t="s">
        <v>51</v>
      </c>
      <c r="G1455" s="33">
        <v>0.15</v>
      </c>
      <c r="H1455" s="83" t="s">
        <v>88</v>
      </c>
    </row>
    <row r="1456" spans="1:8" ht="16.5" customHeight="1" x14ac:dyDescent="0.25">
      <c r="A1456" s="27">
        <v>45827</v>
      </c>
      <c r="B1456" s="80">
        <v>2025</v>
      </c>
      <c r="C1456" s="80">
        <v>6</v>
      </c>
      <c r="D1456" s="30" t="s">
        <v>53</v>
      </c>
      <c r="E1456" s="30" t="s">
        <v>42</v>
      </c>
      <c r="F1456" s="30" t="s">
        <v>55</v>
      </c>
      <c r="G1456" s="33">
        <v>0.46</v>
      </c>
      <c r="H1456" s="83" t="s">
        <v>88</v>
      </c>
    </row>
    <row r="1457" spans="1:8" ht="16.5" customHeight="1" x14ac:dyDescent="0.25">
      <c r="A1457" s="27">
        <v>45827</v>
      </c>
      <c r="B1457" s="80">
        <v>2025</v>
      </c>
      <c r="C1457" s="80">
        <v>6</v>
      </c>
      <c r="D1457" s="30" t="s">
        <v>53</v>
      </c>
      <c r="E1457" s="30" t="s">
        <v>42</v>
      </c>
      <c r="F1457" s="30" t="s">
        <v>58</v>
      </c>
      <c r="G1457" s="33">
        <v>1.74</v>
      </c>
      <c r="H1457" s="83" t="s">
        <v>88</v>
      </c>
    </row>
    <row r="1458" spans="1:8" ht="16.5" customHeight="1" x14ac:dyDescent="0.25">
      <c r="A1458" s="27">
        <v>45827</v>
      </c>
      <c r="B1458" s="80">
        <v>2025</v>
      </c>
      <c r="C1458" s="80">
        <v>6</v>
      </c>
      <c r="D1458" s="30" t="s">
        <v>53</v>
      </c>
      <c r="E1458" s="30" t="s">
        <v>46</v>
      </c>
      <c r="F1458" s="30" t="s">
        <v>43</v>
      </c>
      <c r="G1458" s="33">
        <v>4.3245008</v>
      </c>
      <c r="H1458" s="83" t="s">
        <v>88</v>
      </c>
    </row>
    <row r="1459" spans="1:8" ht="16.5" customHeight="1" x14ac:dyDescent="0.25">
      <c r="A1459" s="27">
        <v>45827</v>
      </c>
      <c r="B1459" s="80">
        <v>2025</v>
      </c>
      <c r="C1459" s="80">
        <v>6</v>
      </c>
      <c r="D1459" s="30" t="s">
        <v>53</v>
      </c>
      <c r="E1459" s="30" t="s">
        <v>50</v>
      </c>
      <c r="F1459" s="30" t="s">
        <v>43</v>
      </c>
      <c r="G1459" s="33">
        <v>2.126423</v>
      </c>
      <c r="H1459" s="83" t="s">
        <v>88</v>
      </c>
    </row>
    <row r="1460" spans="1:8" ht="16.5" customHeight="1" x14ac:dyDescent="0.25">
      <c r="A1460" s="27">
        <v>45827</v>
      </c>
      <c r="B1460" s="80">
        <v>2025</v>
      </c>
      <c r="C1460" s="80">
        <v>6</v>
      </c>
      <c r="D1460" s="30" t="s">
        <v>53</v>
      </c>
      <c r="E1460" s="30" t="s">
        <v>50</v>
      </c>
      <c r="F1460" s="30" t="s">
        <v>58</v>
      </c>
      <c r="G1460" s="33">
        <v>0.37419524999999998</v>
      </c>
      <c r="H1460" s="83" t="s">
        <v>88</v>
      </c>
    </row>
    <row r="1461" spans="1:8" ht="16.5" customHeight="1" x14ac:dyDescent="0.25">
      <c r="A1461" s="27">
        <v>45827</v>
      </c>
      <c r="B1461" s="80">
        <v>2025</v>
      </c>
      <c r="C1461" s="80">
        <v>6</v>
      </c>
      <c r="D1461" s="30" t="s">
        <v>53</v>
      </c>
      <c r="E1461" s="30" t="s">
        <v>54</v>
      </c>
      <c r="F1461" s="30" t="s">
        <v>43</v>
      </c>
      <c r="G1461" s="33">
        <v>1.425</v>
      </c>
      <c r="H1461" s="83" t="s">
        <v>88</v>
      </c>
    </row>
    <row r="1462" spans="1:8" ht="16.5" customHeight="1" x14ac:dyDescent="0.25">
      <c r="A1462" s="27">
        <v>45827</v>
      </c>
      <c r="B1462" s="80">
        <v>2025</v>
      </c>
      <c r="C1462" s="80">
        <v>6</v>
      </c>
      <c r="D1462" s="30" t="s">
        <v>53</v>
      </c>
      <c r="E1462" s="30" t="s">
        <v>57</v>
      </c>
      <c r="F1462" s="30" t="s">
        <v>39</v>
      </c>
      <c r="G1462" s="33">
        <v>17.715599999999998</v>
      </c>
      <c r="H1462" s="83" t="s">
        <v>89</v>
      </c>
    </row>
    <row r="1463" spans="1:8" ht="16.5" customHeight="1" x14ac:dyDescent="0.25">
      <c r="A1463" s="27">
        <v>45827</v>
      </c>
      <c r="B1463" s="80">
        <v>2025</v>
      </c>
      <c r="C1463" s="80">
        <v>6</v>
      </c>
      <c r="D1463" s="30" t="s">
        <v>53</v>
      </c>
      <c r="E1463" s="30" t="s">
        <v>61</v>
      </c>
      <c r="F1463" s="30" t="s">
        <v>43</v>
      </c>
      <c r="G1463" s="33">
        <v>3.4790000000000001</v>
      </c>
      <c r="H1463" s="83" t="s">
        <v>89</v>
      </c>
    </row>
    <row r="1464" spans="1:8" ht="16.5" customHeight="1" x14ac:dyDescent="0.25">
      <c r="A1464" s="27">
        <v>45827</v>
      </c>
      <c r="B1464" s="80">
        <v>2025</v>
      </c>
      <c r="C1464" s="80">
        <v>6</v>
      </c>
      <c r="D1464" s="30" t="s">
        <v>53</v>
      </c>
      <c r="E1464" s="30" t="s">
        <v>61</v>
      </c>
      <c r="F1464" s="30" t="s">
        <v>55</v>
      </c>
      <c r="G1464" s="33">
        <v>6.38</v>
      </c>
      <c r="H1464" s="83" t="s">
        <v>89</v>
      </c>
    </row>
    <row r="1465" spans="1:8" ht="16.5" customHeight="1" x14ac:dyDescent="0.25">
      <c r="A1465" s="27">
        <v>45827</v>
      </c>
      <c r="B1465" s="80">
        <v>2025</v>
      </c>
      <c r="C1465" s="80">
        <v>6</v>
      </c>
      <c r="D1465" s="30" t="s">
        <v>53</v>
      </c>
      <c r="E1465" s="30" t="s">
        <v>68</v>
      </c>
      <c r="F1465" s="30" t="s">
        <v>43</v>
      </c>
      <c r="G1465" s="33">
        <v>1.3260000000000001</v>
      </c>
      <c r="H1465" s="83" t="s">
        <v>89</v>
      </c>
    </row>
    <row r="1466" spans="1:8" ht="16.5" customHeight="1" x14ac:dyDescent="0.25">
      <c r="A1466" s="27">
        <v>45827</v>
      </c>
      <c r="B1466" s="80">
        <v>2025</v>
      </c>
      <c r="C1466" s="80">
        <v>6</v>
      </c>
      <c r="D1466" s="30" t="s">
        <v>53</v>
      </c>
      <c r="E1466" s="30" t="s">
        <v>73</v>
      </c>
      <c r="F1466" s="30" t="s">
        <v>43</v>
      </c>
      <c r="G1466" s="33">
        <v>5.0294999999999996</v>
      </c>
      <c r="H1466" s="83" t="s">
        <v>89</v>
      </c>
    </row>
    <row r="1467" spans="1:8" ht="16.5" customHeight="1" x14ac:dyDescent="0.25">
      <c r="A1467" s="27">
        <v>45827</v>
      </c>
      <c r="B1467" s="80">
        <v>2025</v>
      </c>
      <c r="C1467" s="80">
        <v>6</v>
      </c>
      <c r="D1467" s="30" t="s">
        <v>53</v>
      </c>
      <c r="E1467" s="30" t="s">
        <v>74</v>
      </c>
      <c r="F1467" s="30" t="s">
        <v>43</v>
      </c>
      <c r="G1467" s="33">
        <v>23.3548425</v>
      </c>
      <c r="H1467" s="83" t="s">
        <v>89</v>
      </c>
    </row>
    <row r="1468" spans="1:8" ht="16.5" customHeight="1" x14ac:dyDescent="0.25">
      <c r="A1468" s="27">
        <v>45827</v>
      </c>
      <c r="B1468" s="80">
        <v>2025</v>
      </c>
      <c r="C1468" s="80">
        <v>6</v>
      </c>
      <c r="D1468" s="30" t="s">
        <v>53</v>
      </c>
      <c r="E1468" s="30" t="s">
        <v>75</v>
      </c>
      <c r="F1468" s="30" t="s">
        <v>43</v>
      </c>
      <c r="G1468" s="33">
        <v>20.518750000000001</v>
      </c>
      <c r="H1468" s="83" t="s">
        <v>48</v>
      </c>
    </row>
    <row r="1469" spans="1:8" ht="16.5" customHeight="1" x14ac:dyDescent="0.25">
      <c r="A1469" s="27">
        <v>45827</v>
      </c>
      <c r="B1469" s="80">
        <v>2025</v>
      </c>
      <c r="C1469" s="80">
        <v>6</v>
      </c>
      <c r="D1469" s="30" t="s">
        <v>53</v>
      </c>
      <c r="E1469" s="30" t="s">
        <v>76</v>
      </c>
      <c r="F1469" s="30" t="s">
        <v>39</v>
      </c>
      <c r="G1469" s="33">
        <v>1.1639999999999999</v>
      </c>
      <c r="H1469" s="83" t="s">
        <v>48</v>
      </c>
    </row>
    <row r="1470" spans="1:8" ht="16.5" customHeight="1" x14ac:dyDescent="0.25">
      <c r="A1470" s="27">
        <v>45828</v>
      </c>
      <c r="B1470" s="80">
        <v>2025</v>
      </c>
      <c r="C1470" s="80">
        <v>6</v>
      </c>
      <c r="D1470" s="30" t="s">
        <v>53</v>
      </c>
      <c r="E1470" s="30" t="s">
        <v>38</v>
      </c>
      <c r="F1470" s="30" t="s">
        <v>43</v>
      </c>
      <c r="G1470" s="33">
        <v>1.19</v>
      </c>
      <c r="H1470" s="83" t="s">
        <v>88</v>
      </c>
    </row>
    <row r="1471" spans="1:8" ht="16.5" customHeight="1" x14ac:dyDescent="0.25">
      <c r="A1471" s="27">
        <v>45828</v>
      </c>
      <c r="B1471" s="80">
        <v>2025</v>
      </c>
      <c r="C1471" s="80">
        <v>6</v>
      </c>
      <c r="D1471" s="30" t="s">
        <v>53</v>
      </c>
      <c r="E1471" s="30" t="s">
        <v>42</v>
      </c>
      <c r="F1471" s="30" t="s">
        <v>43</v>
      </c>
      <c r="G1471" s="33">
        <v>0.51948000000000005</v>
      </c>
      <c r="H1471" s="83" t="s">
        <v>88</v>
      </c>
    </row>
    <row r="1472" spans="1:8" ht="16.5" customHeight="1" x14ac:dyDescent="0.25">
      <c r="A1472" s="27">
        <v>45828</v>
      </c>
      <c r="B1472" s="80">
        <v>2025</v>
      </c>
      <c r="C1472" s="80">
        <v>6</v>
      </c>
      <c r="D1472" s="30" t="s">
        <v>53</v>
      </c>
      <c r="E1472" s="30" t="s">
        <v>46</v>
      </c>
      <c r="F1472" s="30" t="s">
        <v>58</v>
      </c>
      <c r="G1472" s="33">
        <v>0.74511375000000002</v>
      </c>
      <c r="H1472" s="83" t="s">
        <v>88</v>
      </c>
    </row>
    <row r="1473" spans="1:8" ht="16.5" customHeight="1" x14ac:dyDescent="0.25">
      <c r="A1473" s="27">
        <v>45828</v>
      </c>
      <c r="B1473" s="80">
        <v>2025</v>
      </c>
      <c r="C1473" s="80">
        <v>6</v>
      </c>
      <c r="D1473" s="30" t="s">
        <v>53</v>
      </c>
      <c r="E1473" s="30" t="s">
        <v>50</v>
      </c>
      <c r="F1473" s="30" t="s">
        <v>43</v>
      </c>
      <c r="G1473" s="33">
        <v>1.0373943999999999</v>
      </c>
      <c r="H1473" s="83" t="s">
        <v>88</v>
      </c>
    </row>
    <row r="1474" spans="1:8" ht="16.5" customHeight="1" x14ac:dyDescent="0.25">
      <c r="A1474" s="27">
        <v>45828</v>
      </c>
      <c r="B1474" s="80">
        <v>2025</v>
      </c>
      <c r="C1474" s="80">
        <v>6</v>
      </c>
      <c r="D1474" s="30" t="s">
        <v>53</v>
      </c>
      <c r="E1474" s="30" t="s">
        <v>50</v>
      </c>
      <c r="F1474" s="30" t="s">
        <v>47</v>
      </c>
      <c r="G1474" s="33">
        <v>1.2432000000000001</v>
      </c>
      <c r="H1474" s="83" t="s">
        <v>88</v>
      </c>
    </row>
    <row r="1475" spans="1:8" ht="16.5" customHeight="1" x14ac:dyDescent="0.25">
      <c r="A1475" s="27">
        <v>45828</v>
      </c>
      <c r="B1475" s="80">
        <v>2025</v>
      </c>
      <c r="C1475" s="80">
        <v>6</v>
      </c>
      <c r="D1475" s="30" t="s">
        <v>53</v>
      </c>
      <c r="E1475" s="30" t="s">
        <v>54</v>
      </c>
      <c r="F1475" s="30" t="s">
        <v>43</v>
      </c>
      <c r="G1475" s="33">
        <v>6.6365999999999996</v>
      </c>
      <c r="H1475" s="83" t="s">
        <v>88</v>
      </c>
    </row>
    <row r="1476" spans="1:8" ht="16.5" customHeight="1" x14ac:dyDescent="0.25">
      <c r="A1476" s="27">
        <v>45828</v>
      </c>
      <c r="B1476" s="80">
        <v>2025</v>
      </c>
      <c r="C1476" s="80">
        <v>6</v>
      </c>
      <c r="D1476" s="30" t="s">
        <v>53</v>
      </c>
      <c r="E1476" s="30" t="s">
        <v>66</v>
      </c>
      <c r="F1476" s="30" t="s">
        <v>39</v>
      </c>
      <c r="G1476" s="33">
        <v>19.172999999999998</v>
      </c>
      <c r="H1476" s="83" t="s">
        <v>89</v>
      </c>
    </row>
    <row r="1477" spans="1:8" ht="16.5" customHeight="1" x14ac:dyDescent="0.25">
      <c r="A1477" s="27">
        <v>45828</v>
      </c>
      <c r="B1477" s="80">
        <v>2025</v>
      </c>
      <c r="C1477" s="80">
        <v>6</v>
      </c>
      <c r="D1477" s="30" t="s">
        <v>53</v>
      </c>
      <c r="E1477" s="30" t="s">
        <v>71</v>
      </c>
      <c r="F1477" s="30" t="s">
        <v>39</v>
      </c>
      <c r="G1477" s="33">
        <v>5.8522499999999997</v>
      </c>
      <c r="H1477" s="83" t="s">
        <v>89</v>
      </c>
    </row>
    <row r="1478" spans="1:8" ht="16.5" customHeight="1" x14ac:dyDescent="0.25">
      <c r="A1478" s="27">
        <v>45828</v>
      </c>
      <c r="B1478" s="80">
        <v>2025</v>
      </c>
      <c r="C1478" s="80">
        <v>6</v>
      </c>
      <c r="D1478" s="30" t="s">
        <v>53</v>
      </c>
      <c r="E1478" s="30" t="s">
        <v>71</v>
      </c>
      <c r="F1478" s="30" t="s">
        <v>43</v>
      </c>
      <c r="G1478" s="33">
        <v>54.017249999999997</v>
      </c>
      <c r="H1478" s="83" t="s">
        <v>89</v>
      </c>
    </row>
    <row r="1479" spans="1:8" ht="16.5" customHeight="1" x14ac:dyDescent="0.25">
      <c r="A1479" s="27">
        <v>45828</v>
      </c>
      <c r="B1479" s="80">
        <v>2025</v>
      </c>
      <c r="C1479" s="80">
        <v>6</v>
      </c>
      <c r="D1479" s="30" t="s">
        <v>53</v>
      </c>
      <c r="E1479" s="30" t="s">
        <v>75</v>
      </c>
      <c r="F1479" s="30" t="s">
        <v>43</v>
      </c>
      <c r="G1479" s="33">
        <v>12.7384825</v>
      </c>
      <c r="H1479" s="83" t="s">
        <v>48</v>
      </c>
    </row>
    <row r="1480" spans="1:8" ht="16.5" customHeight="1" x14ac:dyDescent="0.25">
      <c r="A1480" s="27">
        <v>45831</v>
      </c>
      <c r="B1480" s="80">
        <v>2025</v>
      </c>
      <c r="C1480" s="80">
        <v>6</v>
      </c>
      <c r="D1480" s="30" t="s">
        <v>53</v>
      </c>
      <c r="E1480" s="30" t="s">
        <v>38</v>
      </c>
      <c r="F1480" s="30" t="s">
        <v>43</v>
      </c>
      <c r="G1480" s="33">
        <v>2.1106500000000001</v>
      </c>
      <c r="H1480" s="83" t="s">
        <v>88</v>
      </c>
    </row>
    <row r="1481" spans="1:8" ht="16.5" customHeight="1" x14ac:dyDescent="0.25">
      <c r="A1481" s="27">
        <v>45831</v>
      </c>
      <c r="B1481" s="80">
        <v>2025</v>
      </c>
      <c r="C1481" s="80">
        <v>6</v>
      </c>
      <c r="D1481" s="30" t="s">
        <v>53</v>
      </c>
      <c r="E1481" s="30" t="s">
        <v>38</v>
      </c>
      <c r="F1481" s="30" t="s">
        <v>58</v>
      </c>
      <c r="G1481" s="33">
        <v>0.28720000000000001</v>
      </c>
      <c r="H1481" s="83" t="s">
        <v>88</v>
      </c>
    </row>
    <row r="1482" spans="1:8" ht="16.5" customHeight="1" x14ac:dyDescent="0.25">
      <c r="A1482" s="27">
        <v>45831</v>
      </c>
      <c r="B1482" s="80">
        <v>2025</v>
      </c>
      <c r="C1482" s="80">
        <v>6</v>
      </c>
      <c r="D1482" s="30" t="s">
        <v>53</v>
      </c>
      <c r="E1482" s="30" t="s">
        <v>42</v>
      </c>
      <c r="F1482" s="30" t="s">
        <v>43</v>
      </c>
      <c r="G1482" s="33">
        <v>4.4846000000000004</v>
      </c>
      <c r="H1482" s="83" t="s">
        <v>88</v>
      </c>
    </row>
    <row r="1483" spans="1:8" ht="16.5" customHeight="1" x14ac:dyDescent="0.25">
      <c r="A1483" s="27">
        <v>45831</v>
      </c>
      <c r="B1483" s="80">
        <v>2025</v>
      </c>
      <c r="C1483" s="80">
        <v>6</v>
      </c>
      <c r="D1483" s="30" t="s">
        <v>53</v>
      </c>
      <c r="E1483" s="30" t="s">
        <v>42</v>
      </c>
      <c r="F1483" s="30" t="s">
        <v>55</v>
      </c>
      <c r="G1483" s="33">
        <v>1.08</v>
      </c>
      <c r="H1483" s="83" t="s">
        <v>88</v>
      </c>
    </row>
    <row r="1484" spans="1:8" ht="16.5" customHeight="1" x14ac:dyDescent="0.25">
      <c r="A1484" s="27">
        <v>45831</v>
      </c>
      <c r="B1484" s="80">
        <v>2025</v>
      </c>
      <c r="C1484" s="80">
        <v>6</v>
      </c>
      <c r="D1484" s="30" t="s">
        <v>53</v>
      </c>
      <c r="E1484" s="30" t="s">
        <v>46</v>
      </c>
      <c r="F1484" s="30" t="s">
        <v>58</v>
      </c>
      <c r="G1484" s="33">
        <v>0.21840000000000001</v>
      </c>
      <c r="H1484" s="83" t="s">
        <v>88</v>
      </c>
    </row>
    <row r="1485" spans="1:8" ht="16.5" customHeight="1" x14ac:dyDescent="0.25">
      <c r="A1485" s="27">
        <v>45831</v>
      </c>
      <c r="B1485" s="80">
        <v>2025</v>
      </c>
      <c r="C1485" s="80">
        <v>6</v>
      </c>
      <c r="D1485" s="30" t="s">
        <v>53</v>
      </c>
      <c r="E1485" s="30" t="s">
        <v>50</v>
      </c>
      <c r="F1485" s="30" t="s">
        <v>47</v>
      </c>
      <c r="G1485" s="33">
        <v>0.90210000000000001</v>
      </c>
      <c r="H1485" s="83" t="s">
        <v>88</v>
      </c>
    </row>
    <row r="1486" spans="1:8" ht="16.5" customHeight="1" x14ac:dyDescent="0.25">
      <c r="A1486" s="27">
        <v>45831</v>
      </c>
      <c r="B1486" s="80">
        <v>2025</v>
      </c>
      <c r="C1486" s="80">
        <v>6</v>
      </c>
      <c r="D1486" s="30" t="s">
        <v>53</v>
      </c>
      <c r="E1486" s="30" t="s">
        <v>50</v>
      </c>
      <c r="F1486" s="30" t="s">
        <v>55</v>
      </c>
      <c r="G1486" s="33">
        <v>0.53549999999999998</v>
      </c>
      <c r="H1486" s="83" t="s">
        <v>88</v>
      </c>
    </row>
    <row r="1487" spans="1:8" ht="16.5" customHeight="1" x14ac:dyDescent="0.25">
      <c r="A1487" s="27">
        <v>45831</v>
      </c>
      <c r="B1487" s="80">
        <v>2025</v>
      </c>
      <c r="C1487" s="80">
        <v>6</v>
      </c>
      <c r="D1487" s="30" t="s">
        <v>53</v>
      </c>
      <c r="E1487" s="30" t="s">
        <v>50</v>
      </c>
      <c r="F1487" s="30" t="s">
        <v>58</v>
      </c>
      <c r="G1487" s="33">
        <v>0.30230249999999997</v>
      </c>
      <c r="H1487" s="83" t="s">
        <v>88</v>
      </c>
    </row>
    <row r="1488" spans="1:8" ht="16.5" customHeight="1" x14ac:dyDescent="0.25">
      <c r="A1488" s="27">
        <v>45831</v>
      </c>
      <c r="B1488" s="80">
        <v>2025</v>
      </c>
      <c r="C1488" s="80">
        <v>6</v>
      </c>
      <c r="D1488" s="30" t="s">
        <v>53</v>
      </c>
      <c r="E1488" s="30" t="s">
        <v>54</v>
      </c>
      <c r="F1488" s="30" t="s">
        <v>47</v>
      </c>
      <c r="G1488" s="33">
        <v>0.39</v>
      </c>
      <c r="H1488" s="83" t="s">
        <v>88</v>
      </c>
    </row>
    <row r="1489" spans="1:8" ht="16.5" customHeight="1" x14ac:dyDescent="0.25">
      <c r="A1489" s="27">
        <v>45831</v>
      </c>
      <c r="B1489" s="80">
        <v>2025</v>
      </c>
      <c r="C1489" s="80">
        <v>6</v>
      </c>
      <c r="D1489" s="30" t="s">
        <v>53</v>
      </c>
      <c r="E1489" s="30" t="s">
        <v>61</v>
      </c>
      <c r="F1489" s="30" t="s">
        <v>39</v>
      </c>
      <c r="G1489" s="33">
        <v>0.67500000000000004</v>
      </c>
      <c r="H1489" s="83" t="s">
        <v>89</v>
      </c>
    </row>
    <row r="1490" spans="1:8" ht="16.5" customHeight="1" x14ac:dyDescent="0.25">
      <c r="A1490" s="27">
        <v>45831</v>
      </c>
      <c r="B1490" s="80">
        <v>2025</v>
      </c>
      <c r="C1490" s="80">
        <v>6</v>
      </c>
      <c r="D1490" s="30" t="s">
        <v>53</v>
      </c>
      <c r="E1490" s="30" t="s">
        <v>66</v>
      </c>
      <c r="F1490" s="30" t="s">
        <v>43</v>
      </c>
      <c r="G1490" s="33">
        <v>0.66</v>
      </c>
      <c r="H1490" s="83" t="s">
        <v>89</v>
      </c>
    </row>
    <row r="1491" spans="1:8" ht="16.5" customHeight="1" x14ac:dyDescent="0.25">
      <c r="A1491" s="27">
        <v>45831</v>
      </c>
      <c r="B1491" s="80">
        <v>2025</v>
      </c>
      <c r="C1491" s="80">
        <v>6</v>
      </c>
      <c r="D1491" s="30" t="s">
        <v>53</v>
      </c>
      <c r="E1491" s="30" t="s">
        <v>68</v>
      </c>
      <c r="F1491" s="30" t="s">
        <v>43</v>
      </c>
      <c r="G1491" s="33">
        <v>1.645</v>
      </c>
      <c r="H1491" s="83" t="s">
        <v>89</v>
      </c>
    </row>
    <row r="1492" spans="1:8" ht="16.5" customHeight="1" x14ac:dyDescent="0.25">
      <c r="A1492" s="27">
        <v>45831</v>
      </c>
      <c r="B1492" s="80">
        <v>2025</v>
      </c>
      <c r="C1492" s="80">
        <v>6</v>
      </c>
      <c r="D1492" s="30" t="s">
        <v>53</v>
      </c>
      <c r="E1492" s="30" t="s">
        <v>71</v>
      </c>
      <c r="F1492" s="30" t="s">
        <v>39</v>
      </c>
      <c r="G1492" s="33">
        <v>52.483199999999997</v>
      </c>
      <c r="H1492" s="83" t="s">
        <v>89</v>
      </c>
    </row>
    <row r="1493" spans="1:8" ht="16.5" customHeight="1" x14ac:dyDescent="0.25">
      <c r="A1493" s="27">
        <v>45831</v>
      </c>
      <c r="B1493" s="80">
        <v>2025</v>
      </c>
      <c r="C1493" s="80">
        <v>6</v>
      </c>
      <c r="D1493" s="30" t="s">
        <v>53</v>
      </c>
      <c r="E1493" s="30" t="s">
        <v>75</v>
      </c>
      <c r="F1493" s="30" t="s">
        <v>43</v>
      </c>
      <c r="G1493" s="33">
        <v>12.199529999999999</v>
      </c>
      <c r="H1493" s="83" t="s">
        <v>48</v>
      </c>
    </row>
    <row r="1494" spans="1:8" ht="16.5" customHeight="1" x14ac:dyDescent="0.25">
      <c r="A1494" s="27">
        <v>45832</v>
      </c>
      <c r="B1494" s="80">
        <v>2025</v>
      </c>
      <c r="C1494" s="80">
        <v>6</v>
      </c>
      <c r="D1494" s="30" t="s">
        <v>53</v>
      </c>
      <c r="E1494" s="30" t="s">
        <v>38</v>
      </c>
      <c r="F1494" s="30" t="s">
        <v>43</v>
      </c>
      <c r="G1494" s="33">
        <v>8.6615000000000002</v>
      </c>
      <c r="H1494" s="83" t="s">
        <v>88</v>
      </c>
    </row>
    <row r="1495" spans="1:8" ht="16.5" customHeight="1" x14ac:dyDescent="0.25">
      <c r="A1495" s="27">
        <v>45832</v>
      </c>
      <c r="B1495" s="80">
        <v>2025</v>
      </c>
      <c r="C1495" s="80">
        <v>6</v>
      </c>
      <c r="D1495" s="30" t="s">
        <v>53</v>
      </c>
      <c r="E1495" s="30" t="s">
        <v>42</v>
      </c>
      <c r="F1495" s="30" t="s">
        <v>43</v>
      </c>
      <c r="G1495" s="33">
        <v>2.2749999999999999</v>
      </c>
      <c r="H1495" s="83" t="s">
        <v>88</v>
      </c>
    </row>
    <row r="1496" spans="1:8" ht="16.5" customHeight="1" x14ac:dyDescent="0.25">
      <c r="A1496" s="27">
        <v>45832</v>
      </c>
      <c r="B1496" s="80">
        <v>2025</v>
      </c>
      <c r="C1496" s="80">
        <v>6</v>
      </c>
      <c r="D1496" s="30" t="s">
        <v>53</v>
      </c>
      <c r="E1496" s="30" t="s">
        <v>42</v>
      </c>
      <c r="F1496" s="30" t="s">
        <v>47</v>
      </c>
      <c r="G1496" s="33">
        <v>0.38582</v>
      </c>
      <c r="H1496" s="83" t="s">
        <v>88</v>
      </c>
    </row>
    <row r="1497" spans="1:8" ht="16.5" customHeight="1" x14ac:dyDescent="0.25">
      <c r="A1497" s="27">
        <v>45832</v>
      </c>
      <c r="B1497" s="80">
        <v>2025</v>
      </c>
      <c r="C1497" s="80">
        <v>6</v>
      </c>
      <c r="D1497" s="30" t="s">
        <v>53</v>
      </c>
      <c r="E1497" s="30" t="s">
        <v>42</v>
      </c>
      <c r="F1497" s="30" t="s">
        <v>55</v>
      </c>
      <c r="G1497" s="33">
        <v>1.1100000000000001</v>
      </c>
      <c r="H1497" s="83" t="s">
        <v>88</v>
      </c>
    </row>
    <row r="1498" spans="1:8" ht="16.5" customHeight="1" x14ac:dyDescent="0.25">
      <c r="A1498" s="27">
        <v>45832</v>
      </c>
      <c r="B1498" s="80">
        <v>2025</v>
      </c>
      <c r="C1498" s="80">
        <v>6</v>
      </c>
      <c r="D1498" s="30" t="s">
        <v>53</v>
      </c>
      <c r="E1498" s="30" t="s">
        <v>46</v>
      </c>
      <c r="F1498" s="30" t="s">
        <v>43</v>
      </c>
      <c r="G1498" s="33">
        <v>1.0698032</v>
      </c>
      <c r="H1498" s="83" t="s">
        <v>88</v>
      </c>
    </row>
    <row r="1499" spans="1:8" ht="16.5" customHeight="1" x14ac:dyDescent="0.25">
      <c r="A1499" s="27">
        <v>45832</v>
      </c>
      <c r="B1499" s="80">
        <v>2025</v>
      </c>
      <c r="C1499" s="80">
        <v>6</v>
      </c>
      <c r="D1499" s="30" t="s">
        <v>53</v>
      </c>
      <c r="E1499" s="30" t="s">
        <v>46</v>
      </c>
      <c r="F1499" s="30" t="s">
        <v>55</v>
      </c>
      <c r="G1499" s="33">
        <v>0.408192</v>
      </c>
      <c r="H1499" s="83" t="s">
        <v>88</v>
      </c>
    </row>
    <row r="1500" spans="1:8" ht="16.5" customHeight="1" x14ac:dyDescent="0.25">
      <c r="A1500" s="27">
        <v>45832</v>
      </c>
      <c r="B1500" s="80">
        <v>2025</v>
      </c>
      <c r="C1500" s="80">
        <v>6</v>
      </c>
      <c r="D1500" s="30" t="s">
        <v>53</v>
      </c>
      <c r="E1500" s="30" t="s">
        <v>50</v>
      </c>
      <c r="F1500" s="30" t="s">
        <v>43</v>
      </c>
      <c r="G1500" s="33">
        <v>25.007527</v>
      </c>
      <c r="H1500" s="83" t="s">
        <v>88</v>
      </c>
    </row>
    <row r="1501" spans="1:8" ht="16.5" customHeight="1" x14ac:dyDescent="0.25">
      <c r="A1501" s="27">
        <v>45832</v>
      </c>
      <c r="B1501" s="80">
        <v>2025</v>
      </c>
      <c r="C1501" s="80">
        <v>6</v>
      </c>
      <c r="D1501" s="30" t="s">
        <v>53</v>
      </c>
      <c r="E1501" s="30" t="s">
        <v>50</v>
      </c>
      <c r="F1501" s="30" t="s">
        <v>51</v>
      </c>
      <c r="G1501" s="33">
        <v>1.3812500000000001</v>
      </c>
      <c r="H1501" s="83" t="s">
        <v>88</v>
      </c>
    </row>
    <row r="1502" spans="1:8" ht="16.5" customHeight="1" x14ac:dyDescent="0.25">
      <c r="A1502" s="27">
        <v>45832</v>
      </c>
      <c r="B1502" s="80">
        <v>2025</v>
      </c>
      <c r="C1502" s="80">
        <v>6</v>
      </c>
      <c r="D1502" s="30" t="s">
        <v>53</v>
      </c>
      <c r="E1502" s="30" t="s">
        <v>54</v>
      </c>
      <c r="F1502" s="30" t="s">
        <v>43</v>
      </c>
      <c r="G1502" s="33">
        <v>6.0452000000000004</v>
      </c>
      <c r="H1502" s="83" t="s">
        <v>88</v>
      </c>
    </row>
    <row r="1503" spans="1:8" ht="16.5" customHeight="1" x14ac:dyDescent="0.25">
      <c r="A1503" s="27">
        <v>45832</v>
      </c>
      <c r="B1503" s="80">
        <v>2025</v>
      </c>
      <c r="C1503" s="80">
        <v>6</v>
      </c>
      <c r="D1503" s="30" t="s">
        <v>53</v>
      </c>
      <c r="E1503" s="30" t="s">
        <v>54</v>
      </c>
      <c r="F1503" s="30" t="s">
        <v>47</v>
      </c>
      <c r="G1503" s="33">
        <v>1.2629999999999999</v>
      </c>
      <c r="H1503" s="83" t="s">
        <v>88</v>
      </c>
    </row>
    <row r="1504" spans="1:8" ht="16.5" customHeight="1" x14ac:dyDescent="0.25">
      <c r="A1504" s="27">
        <v>45832</v>
      </c>
      <c r="B1504" s="80">
        <v>2025</v>
      </c>
      <c r="C1504" s="80">
        <v>6</v>
      </c>
      <c r="D1504" s="30" t="s">
        <v>53</v>
      </c>
      <c r="E1504" s="30" t="s">
        <v>57</v>
      </c>
      <c r="F1504" s="30" t="s">
        <v>43</v>
      </c>
      <c r="G1504" s="33">
        <v>21.002099999999999</v>
      </c>
      <c r="H1504" s="83" t="s">
        <v>89</v>
      </c>
    </row>
    <row r="1505" spans="1:8" ht="16.5" customHeight="1" x14ac:dyDescent="0.25">
      <c r="A1505" s="27">
        <v>45832</v>
      </c>
      <c r="B1505" s="80">
        <v>2025</v>
      </c>
      <c r="C1505" s="80">
        <v>6</v>
      </c>
      <c r="D1505" s="30" t="s">
        <v>53</v>
      </c>
      <c r="E1505" s="30" t="s">
        <v>66</v>
      </c>
      <c r="F1505" s="30" t="s">
        <v>43</v>
      </c>
      <c r="G1505" s="33">
        <v>12.598000000000001</v>
      </c>
      <c r="H1505" s="83" t="s">
        <v>89</v>
      </c>
    </row>
    <row r="1506" spans="1:8" ht="16.5" customHeight="1" x14ac:dyDescent="0.25">
      <c r="A1506" s="27">
        <v>45832</v>
      </c>
      <c r="B1506" s="80">
        <v>2025</v>
      </c>
      <c r="C1506" s="80">
        <v>6</v>
      </c>
      <c r="D1506" s="30" t="s">
        <v>53</v>
      </c>
      <c r="E1506" s="30" t="s">
        <v>66</v>
      </c>
      <c r="F1506" s="30" t="s">
        <v>55</v>
      </c>
      <c r="G1506" s="33">
        <v>2.1</v>
      </c>
      <c r="H1506" s="83" t="s">
        <v>89</v>
      </c>
    </row>
    <row r="1507" spans="1:8" ht="16.5" customHeight="1" x14ac:dyDescent="0.25">
      <c r="A1507" s="27">
        <v>45832</v>
      </c>
      <c r="B1507" s="80">
        <v>2025</v>
      </c>
      <c r="C1507" s="80">
        <v>6</v>
      </c>
      <c r="D1507" s="30" t="s">
        <v>53</v>
      </c>
      <c r="E1507" s="30" t="s">
        <v>68</v>
      </c>
      <c r="F1507" s="30" t="s">
        <v>43</v>
      </c>
      <c r="G1507" s="33">
        <v>3.85025</v>
      </c>
      <c r="H1507" s="83" t="s">
        <v>89</v>
      </c>
    </row>
    <row r="1508" spans="1:8" ht="16.5" customHeight="1" x14ac:dyDescent="0.25">
      <c r="A1508" s="27">
        <v>45832</v>
      </c>
      <c r="B1508" s="80">
        <v>2025</v>
      </c>
      <c r="C1508" s="80">
        <v>6</v>
      </c>
      <c r="D1508" s="30" t="s">
        <v>53</v>
      </c>
      <c r="E1508" s="30" t="s">
        <v>71</v>
      </c>
      <c r="F1508" s="30" t="s">
        <v>43</v>
      </c>
      <c r="G1508" s="33">
        <v>10.458</v>
      </c>
      <c r="H1508" s="83" t="s">
        <v>89</v>
      </c>
    </row>
    <row r="1509" spans="1:8" ht="16.5" customHeight="1" x14ac:dyDescent="0.25">
      <c r="A1509" s="27">
        <v>45832</v>
      </c>
      <c r="B1509" s="80">
        <v>2025</v>
      </c>
      <c r="C1509" s="80">
        <v>6</v>
      </c>
      <c r="D1509" s="30" t="s">
        <v>53</v>
      </c>
      <c r="E1509" s="30" t="s">
        <v>75</v>
      </c>
      <c r="F1509" s="30" t="s">
        <v>43</v>
      </c>
      <c r="G1509" s="33">
        <v>10.35445</v>
      </c>
      <c r="H1509" s="83" t="s">
        <v>48</v>
      </c>
    </row>
    <row r="1510" spans="1:8" ht="16.5" customHeight="1" x14ac:dyDescent="0.25">
      <c r="A1510" s="27">
        <v>45833</v>
      </c>
      <c r="B1510" s="80">
        <v>2025</v>
      </c>
      <c r="C1510" s="80">
        <v>6</v>
      </c>
      <c r="D1510" s="30" t="s">
        <v>53</v>
      </c>
      <c r="E1510" s="30" t="s">
        <v>38</v>
      </c>
      <c r="F1510" s="30" t="s">
        <v>43</v>
      </c>
      <c r="G1510" s="33">
        <v>19.266576000000001</v>
      </c>
      <c r="H1510" s="83" t="s">
        <v>88</v>
      </c>
    </row>
    <row r="1511" spans="1:8" ht="16.5" customHeight="1" x14ac:dyDescent="0.25">
      <c r="A1511" s="27">
        <v>45833</v>
      </c>
      <c r="B1511" s="80">
        <v>2025</v>
      </c>
      <c r="C1511" s="80">
        <v>6</v>
      </c>
      <c r="D1511" s="30" t="s">
        <v>53</v>
      </c>
      <c r="E1511" s="30" t="s">
        <v>38</v>
      </c>
      <c r="F1511" s="30" t="s">
        <v>58</v>
      </c>
      <c r="G1511" s="33">
        <v>8.0320799999999998E-2</v>
      </c>
      <c r="H1511" s="83" t="s">
        <v>88</v>
      </c>
    </row>
    <row r="1512" spans="1:8" ht="16.5" customHeight="1" x14ac:dyDescent="0.25">
      <c r="A1512" s="27">
        <v>45833</v>
      </c>
      <c r="B1512" s="80">
        <v>2025</v>
      </c>
      <c r="C1512" s="80">
        <v>6</v>
      </c>
      <c r="D1512" s="30" t="s">
        <v>53</v>
      </c>
      <c r="E1512" s="30" t="s">
        <v>42</v>
      </c>
      <c r="F1512" s="30" t="s">
        <v>43</v>
      </c>
      <c r="G1512" s="33">
        <v>9.3337500000000002</v>
      </c>
      <c r="H1512" s="83" t="s">
        <v>88</v>
      </c>
    </row>
    <row r="1513" spans="1:8" ht="16.5" customHeight="1" x14ac:dyDescent="0.25">
      <c r="A1513" s="27">
        <v>45833</v>
      </c>
      <c r="B1513" s="80">
        <v>2025</v>
      </c>
      <c r="C1513" s="80">
        <v>6</v>
      </c>
      <c r="D1513" s="30" t="s">
        <v>53</v>
      </c>
      <c r="E1513" s="30" t="s">
        <v>46</v>
      </c>
      <c r="F1513" s="30" t="s">
        <v>43</v>
      </c>
      <c r="G1513" s="33">
        <v>2.3375680000000001</v>
      </c>
      <c r="H1513" s="83" t="s">
        <v>88</v>
      </c>
    </row>
    <row r="1514" spans="1:8" ht="16.5" customHeight="1" x14ac:dyDescent="0.25">
      <c r="A1514" s="27">
        <v>45833</v>
      </c>
      <c r="B1514" s="80">
        <v>2025</v>
      </c>
      <c r="C1514" s="80">
        <v>6</v>
      </c>
      <c r="D1514" s="30" t="s">
        <v>53</v>
      </c>
      <c r="E1514" s="30" t="s">
        <v>50</v>
      </c>
      <c r="F1514" s="30" t="s">
        <v>43</v>
      </c>
      <c r="G1514" s="33">
        <v>4.5552910000000004</v>
      </c>
      <c r="H1514" s="83" t="s">
        <v>88</v>
      </c>
    </row>
    <row r="1515" spans="1:8" ht="16.5" customHeight="1" x14ac:dyDescent="0.25">
      <c r="A1515" s="27">
        <v>45833</v>
      </c>
      <c r="B1515" s="80">
        <v>2025</v>
      </c>
      <c r="C1515" s="80">
        <v>6</v>
      </c>
      <c r="D1515" s="30" t="s">
        <v>53</v>
      </c>
      <c r="E1515" s="30" t="s">
        <v>50</v>
      </c>
      <c r="F1515" s="30" t="s">
        <v>47</v>
      </c>
      <c r="G1515" s="33">
        <v>0.62160000000000004</v>
      </c>
      <c r="H1515" s="83" t="s">
        <v>88</v>
      </c>
    </row>
    <row r="1516" spans="1:8" ht="16.5" customHeight="1" x14ac:dyDescent="0.25">
      <c r="A1516" s="27">
        <v>45833</v>
      </c>
      <c r="B1516" s="80">
        <v>2025</v>
      </c>
      <c r="C1516" s="80">
        <v>6</v>
      </c>
      <c r="D1516" s="30" t="s">
        <v>53</v>
      </c>
      <c r="E1516" s="30" t="s">
        <v>54</v>
      </c>
      <c r="F1516" s="30" t="s">
        <v>43</v>
      </c>
      <c r="G1516" s="33">
        <v>3.5474999999999999</v>
      </c>
      <c r="H1516" s="83" t="s">
        <v>88</v>
      </c>
    </row>
    <row r="1517" spans="1:8" ht="16.5" customHeight="1" x14ac:dyDescent="0.25">
      <c r="A1517" s="27">
        <v>45833</v>
      </c>
      <c r="B1517" s="80">
        <v>2025</v>
      </c>
      <c r="C1517" s="80">
        <v>6</v>
      </c>
      <c r="D1517" s="30" t="s">
        <v>53</v>
      </c>
      <c r="E1517" s="30" t="s">
        <v>57</v>
      </c>
      <c r="F1517" s="30" t="s">
        <v>43</v>
      </c>
      <c r="G1517" s="33">
        <v>1.5105</v>
      </c>
      <c r="H1517" s="83" t="s">
        <v>89</v>
      </c>
    </row>
    <row r="1518" spans="1:8" ht="16.5" customHeight="1" x14ac:dyDescent="0.25">
      <c r="A1518" s="27">
        <v>45833</v>
      </c>
      <c r="B1518" s="80">
        <v>2025</v>
      </c>
      <c r="C1518" s="80">
        <v>6</v>
      </c>
      <c r="D1518" s="30" t="s">
        <v>53</v>
      </c>
      <c r="E1518" s="30" t="s">
        <v>61</v>
      </c>
      <c r="F1518" s="30" t="s">
        <v>43</v>
      </c>
      <c r="G1518" s="33">
        <v>2.0649999999999999</v>
      </c>
      <c r="H1518" s="83" t="s">
        <v>89</v>
      </c>
    </row>
    <row r="1519" spans="1:8" ht="16.5" customHeight="1" x14ac:dyDescent="0.25">
      <c r="A1519" s="27">
        <v>45833</v>
      </c>
      <c r="B1519" s="80">
        <v>2025</v>
      </c>
      <c r="C1519" s="80">
        <v>6</v>
      </c>
      <c r="D1519" s="30" t="s">
        <v>53</v>
      </c>
      <c r="E1519" s="30" t="s">
        <v>66</v>
      </c>
      <c r="F1519" s="30" t="s">
        <v>43</v>
      </c>
      <c r="G1519" s="33">
        <v>19.95</v>
      </c>
      <c r="H1519" s="83" t="s">
        <v>89</v>
      </c>
    </row>
    <row r="1520" spans="1:8" ht="16.5" customHeight="1" x14ac:dyDescent="0.25">
      <c r="A1520" s="27">
        <v>45833</v>
      </c>
      <c r="B1520" s="80">
        <v>2025</v>
      </c>
      <c r="C1520" s="80">
        <v>6</v>
      </c>
      <c r="D1520" s="30" t="s">
        <v>53</v>
      </c>
      <c r="E1520" s="30" t="s">
        <v>68</v>
      </c>
      <c r="F1520" s="30" t="s">
        <v>43</v>
      </c>
      <c r="G1520" s="33">
        <v>1.8819999999999999</v>
      </c>
      <c r="H1520" s="83" t="s">
        <v>89</v>
      </c>
    </row>
    <row r="1521" spans="1:8" ht="16.5" customHeight="1" x14ac:dyDescent="0.25">
      <c r="A1521" s="27">
        <v>45833</v>
      </c>
      <c r="B1521" s="80">
        <v>2025</v>
      </c>
      <c r="C1521" s="80">
        <v>6</v>
      </c>
      <c r="D1521" s="30" t="s">
        <v>53</v>
      </c>
      <c r="E1521" s="30" t="s">
        <v>68</v>
      </c>
      <c r="F1521" s="30" t="s">
        <v>47</v>
      </c>
      <c r="G1521" s="33">
        <v>0.38400000000000001</v>
      </c>
      <c r="H1521" s="83" t="s">
        <v>89</v>
      </c>
    </row>
    <row r="1522" spans="1:8" ht="16.5" customHeight="1" x14ac:dyDescent="0.25">
      <c r="A1522" s="27">
        <v>45833</v>
      </c>
      <c r="B1522" s="80">
        <v>2025</v>
      </c>
      <c r="C1522" s="80">
        <v>6</v>
      </c>
      <c r="D1522" s="30" t="s">
        <v>53</v>
      </c>
      <c r="E1522" s="30" t="s">
        <v>74</v>
      </c>
      <c r="F1522" s="30" t="s">
        <v>55</v>
      </c>
      <c r="G1522" s="33">
        <v>64.128063999999995</v>
      </c>
      <c r="H1522" s="83" t="s">
        <v>89</v>
      </c>
    </row>
    <row r="1523" spans="1:8" ht="16.5" customHeight="1" x14ac:dyDescent="0.25">
      <c r="A1523" s="27">
        <v>45834</v>
      </c>
      <c r="B1523" s="80">
        <v>2025</v>
      </c>
      <c r="C1523" s="80">
        <v>6</v>
      </c>
      <c r="D1523" s="30" t="s">
        <v>53</v>
      </c>
      <c r="E1523" s="30" t="s">
        <v>38</v>
      </c>
      <c r="F1523" s="30" t="s">
        <v>43</v>
      </c>
      <c r="G1523" s="33">
        <v>2.4500000000000002</v>
      </c>
      <c r="H1523" s="83" t="s">
        <v>88</v>
      </c>
    </row>
    <row r="1524" spans="1:8" ht="16.5" customHeight="1" x14ac:dyDescent="0.25">
      <c r="A1524" s="27">
        <v>45834</v>
      </c>
      <c r="B1524" s="80">
        <v>2025</v>
      </c>
      <c r="C1524" s="80">
        <v>6</v>
      </c>
      <c r="D1524" s="30" t="s">
        <v>53</v>
      </c>
      <c r="E1524" s="30" t="s">
        <v>42</v>
      </c>
      <c r="F1524" s="30" t="s">
        <v>43</v>
      </c>
      <c r="G1524" s="33">
        <v>94.683999999999997</v>
      </c>
      <c r="H1524" s="83" t="s">
        <v>88</v>
      </c>
    </row>
    <row r="1525" spans="1:8" ht="16.5" customHeight="1" x14ac:dyDescent="0.25">
      <c r="A1525" s="27">
        <v>45834</v>
      </c>
      <c r="B1525" s="80">
        <v>2025</v>
      </c>
      <c r="C1525" s="80">
        <v>6</v>
      </c>
      <c r="D1525" s="30" t="s">
        <v>53</v>
      </c>
      <c r="E1525" s="30" t="s">
        <v>42</v>
      </c>
      <c r="F1525" s="30" t="s">
        <v>47</v>
      </c>
      <c r="G1525" s="33">
        <v>0.9</v>
      </c>
      <c r="H1525" s="83" t="s">
        <v>88</v>
      </c>
    </row>
    <row r="1526" spans="1:8" ht="16.5" customHeight="1" x14ac:dyDescent="0.25">
      <c r="A1526" s="27">
        <v>45834</v>
      </c>
      <c r="B1526" s="80">
        <v>2025</v>
      </c>
      <c r="C1526" s="80">
        <v>6</v>
      </c>
      <c r="D1526" s="30" t="s">
        <v>53</v>
      </c>
      <c r="E1526" s="30" t="s">
        <v>46</v>
      </c>
      <c r="F1526" s="30" t="s">
        <v>43</v>
      </c>
      <c r="G1526" s="33">
        <v>2.2901272000000001</v>
      </c>
      <c r="H1526" s="83" t="s">
        <v>88</v>
      </c>
    </row>
    <row r="1527" spans="1:8" ht="16.5" customHeight="1" x14ac:dyDescent="0.25">
      <c r="A1527" s="27">
        <v>45834</v>
      </c>
      <c r="B1527" s="80">
        <v>2025</v>
      </c>
      <c r="C1527" s="80">
        <v>6</v>
      </c>
      <c r="D1527" s="30" t="s">
        <v>53</v>
      </c>
      <c r="E1527" s="30" t="s">
        <v>46</v>
      </c>
      <c r="F1527" s="30" t="s">
        <v>58</v>
      </c>
      <c r="G1527" s="33">
        <v>0.70929900000000001</v>
      </c>
      <c r="H1527" s="83" t="s">
        <v>88</v>
      </c>
    </row>
    <row r="1528" spans="1:8" ht="16.5" customHeight="1" x14ac:dyDescent="0.25">
      <c r="A1528" s="27">
        <v>45834</v>
      </c>
      <c r="B1528" s="80">
        <v>2025</v>
      </c>
      <c r="C1528" s="80">
        <v>6</v>
      </c>
      <c r="D1528" s="30" t="s">
        <v>53</v>
      </c>
      <c r="E1528" s="30" t="s">
        <v>50</v>
      </c>
      <c r="F1528" s="30" t="s">
        <v>43</v>
      </c>
      <c r="G1528" s="33">
        <v>50.998972479999999</v>
      </c>
      <c r="H1528" s="83" t="s">
        <v>88</v>
      </c>
    </row>
    <row r="1529" spans="1:8" ht="16.5" customHeight="1" x14ac:dyDescent="0.25">
      <c r="A1529" s="27">
        <v>45834</v>
      </c>
      <c r="B1529" s="80">
        <v>2025</v>
      </c>
      <c r="C1529" s="80">
        <v>6</v>
      </c>
      <c r="D1529" s="30" t="s">
        <v>53</v>
      </c>
      <c r="E1529" s="30" t="s">
        <v>50</v>
      </c>
      <c r="F1529" s="30" t="s">
        <v>58</v>
      </c>
      <c r="G1529" s="33">
        <v>0.833488958</v>
      </c>
      <c r="H1529" s="83" t="s">
        <v>88</v>
      </c>
    </row>
    <row r="1530" spans="1:8" ht="16.5" customHeight="1" x14ac:dyDescent="0.25">
      <c r="A1530" s="27">
        <v>45834</v>
      </c>
      <c r="B1530" s="80">
        <v>2025</v>
      </c>
      <c r="C1530" s="80">
        <v>6</v>
      </c>
      <c r="D1530" s="30" t="s">
        <v>53</v>
      </c>
      <c r="E1530" s="30" t="s">
        <v>54</v>
      </c>
      <c r="F1530" s="30" t="s">
        <v>43</v>
      </c>
      <c r="G1530" s="33">
        <v>3.2494999999999998</v>
      </c>
      <c r="H1530" s="83" t="s">
        <v>88</v>
      </c>
    </row>
    <row r="1531" spans="1:8" ht="16.5" customHeight="1" x14ac:dyDescent="0.25">
      <c r="A1531" s="27">
        <v>45834</v>
      </c>
      <c r="B1531" s="80">
        <v>2025</v>
      </c>
      <c r="C1531" s="80">
        <v>6</v>
      </c>
      <c r="D1531" s="30" t="s">
        <v>53</v>
      </c>
      <c r="E1531" s="30" t="s">
        <v>68</v>
      </c>
      <c r="F1531" s="30" t="s">
        <v>43</v>
      </c>
      <c r="G1531" s="33">
        <v>1.9964</v>
      </c>
      <c r="H1531" s="83" t="s">
        <v>89</v>
      </c>
    </row>
    <row r="1532" spans="1:8" ht="16.5" customHeight="1" x14ac:dyDescent="0.25">
      <c r="A1532" s="27">
        <v>45834</v>
      </c>
      <c r="B1532" s="80">
        <v>2025</v>
      </c>
      <c r="C1532" s="80">
        <v>6</v>
      </c>
      <c r="D1532" s="30" t="s">
        <v>53</v>
      </c>
      <c r="E1532" s="30" t="s">
        <v>71</v>
      </c>
      <c r="F1532" s="30" t="s">
        <v>43</v>
      </c>
      <c r="G1532" s="33">
        <v>3</v>
      </c>
      <c r="H1532" s="83" t="s">
        <v>89</v>
      </c>
    </row>
    <row r="1533" spans="1:8" ht="16.5" customHeight="1" x14ac:dyDescent="0.25">
      <c r="A1533" s="27">
        <v>45834</v>
      </c>
      <c r="B1533" s="80">
        <v>2025</v>
      </c>
      <c r="C1533" s="80">
        <v>6</v>
      </c>
      <c r="D1533" s="30" t="s">
        <v>53</v>
      </c>
      <c r="E1533" s="30" t="s">
        <v>73</v>
      </c>
      <c r="F1533" s="30" t="s">
        <v>43</v>
      </c>
      <c r="G1533" s="33">
        <v>12.100110000000001</v>
      </c>
      <c r="H1533" s="83" t="s">
        <v>89</v>
      </c>
    </row>
    <row r="1534" spans="1:8" ht="16.5" customHeight="1" x14ac:dyDescent="0.25">
      <c r="A1534" s="27">
        <v>45834</v>
      </c>
      <c r="B1534" s="80">
        <v>2025</v>
      </c>
      <c r="C1534" s="80">
        <v>6</v>
      </c>
      <c r="D1534" s="30" t="s">
        <v>53</v>
      </c>
      <c r="E1534" s="30" t="s">
        <v>75</v>
      </c>
      <c r="F1534" s="30" t="s">
        <v>43</v>
      </c>
      <c r="G1534" s="33">
        <v>21.521623000000002</v>
      </c>
      <c r="H1534" s="83" t="s">
        <v>48</v>
      </c>
    </row>
    <row r="1535" spans="1:8" ht="16.5" customHeight="1" x14ac:dyDescent="0.25">
      <c r="A1535" s="27">
        <v>45835</v>
      </c>
      <c r="B1535" s="80">
        <v>2025</v>
      </c>
      <c r="C1535" s="80">
        <v>6</v>
      </c>
      <c r="D1535" s="30" t="s">
        <v>53</v>
      </c>
      <c r="E1535" s="30" t="s">
        <v>38</v>
      </c>
      <c r="F1535" s="30" t="s">
        <v>43</v>
      </c>
      <c r="G1535" s="33">
        <v>5.0739999999999998</v>
      </c>
      <c r="H1535" s="83" t="s">
        <v>88</v>
      </c>
    </row>
    <row r="1536" spans="1:8" ht="16.5" customHeight="1" x14ac:dyDescent="0.25">
      <c r="A1536" s="27">
        <v>45835</v>
      </c>
      <c r="B1536" s="80">
        <v>2025</v>
      </c>
      <c r="C1536" s="80">
        <v>6</v>
      </c>
      <c r="D1536" s="30" t="s">
        <v>53</v>
      </c>
      <c r="E1536" s="30" t="s">
        <v>38</v>
      </c>
      <c r="F1536" s="30" t="s">
        <v>58</v>
      </c>
      <c r="G1536" s="33">
        <v>2.1150000000000002</v>
      </c>
      <c r="H1536" s="83" t="s">
        <v>88</v>
      </c>
    </row>
    <row r="1537" spans="1:8" ht="16.5" customHeight="1" x14ac:dyDescent="0.25">
      <c r="A1537" s="27">
        <v>45835</v>
      </c>
      <c r="B1537" s="80">
        <v>2025</v>
      </c>
      <c r="C1537" s="80">
        <v>6</v>
      </c>
      <c r="D1537" s="30" t="s">
        <v>53</v>
      </c>
      <c r="E1537" s="30" t="s">
        <v>42</v>
      </c>
      <c r="F1537" s="30" t="s">
        <v>43</v>
      </c>
      <c r="G1537" s="33">
        <v>14.09625</v>
      </c>
      <c r="H1537" s="83" t="s">
        <v>88</v>
      </c>
    </row>
    <row r="1538" spans="1:8" ht="16.5" customHeight="1" x14ac:dyDescent="0.25">
      <c r="A1538" s="27">
        <v>45835</v>
      </c>
      <c r="B1538" s="80">
        <v>2025</v>
      </c>
      <c r="C1538" s="80">
        <v>6</v>
      </c>
      <c r="D1538" s="30" t="s">
        <v>53</v>
      </c>
      <c r="E1538" s="30" t="s">
        <v>46</v>
      </c>
      <c r="F1538" s="30" t="s">
        <v>58</v>
      </c>
      <c r="G1538" s="33">
        <v>1.1300924999999999</v>
      </c>
      <c r="H1538" s="83" t="s">
        <v>88</v>
      </c>
    </row>
    <row r="1539" spans="1:8" ht="16.5" customHeight="1" x14ac:dyDescent="0.25">
      <c r="A1539" s="27">
        <v>45835</v>
      </c>
      <c r="B1539" s="80">
        <v>2025</v>
      </c>
      <c r="C1539" s="80">
        <v>6</v>
      </c>
      <c r="D1539" s="30" t="s">
        <v>53</v>
      </c>
      <c r="E1539" s="30" t="s">
        <v>50</v>
      </c>
      <c r="F1539" s="30" t="s">
        <v>47</v>
      </c>
      <c r="G1539" s="33">
        <v>1.2432000000000001</v>
      </c>
      <c r="H1539" s="83" t="s">
        <v>88</v>
      </c>
    </row>
    <row r="1540" spans="1:8" ht="16.5" customHeight="1" x14ac:dyDescent="0.25">
      <c r="A1540" s="27">
        <v>45835</v>
      </c>
      <c r="B1540" s="80">
        <v>2025</v>
      </c>
      <c r="C1540" s="80">
        <v>6</v>
      </c>
      <c r="D1540" s="30" t="s">
        <v>53</v>
      </c>
      <c r="E1540" s="30" t="s">
        <v>54</v>
      </c>
      <c r="F1540" s="30" t="s">
        <v>43</v>
      </c>
      <c r="G1540" s="33">
        <v>6.3775000000000004</v>
      </c>
      <c r="H1540" s="83" t="s">
        <v>88</v>
      </c>
    </row>
    <row r="1541" spans="1:8" ht="16.5" customHeight="1" x14ac:dyDescent="0.25">
      <c r="A1541" s="27">
        <v>45835</v>
      </c>
      <c r="B1541" s="80">
        <v>2025</v>
      </c>
      <c r="C1541" s="80">
        <v>6</v>
      </c>
      <c r="D1541" s="30" t="s">
        <v>53</v>
      </c>
      <c r="E1541" s="30" t="s">
        <v>57</v>
      </c>
      <c r="F1541" s="30" t="s">
        <v>43</v>
      </c>
      <c r="G1541" s="33">
        <v>3.2141999999999999</v>
      </c>
      <c r="H1541" s="83" t="s">
        <v>89</v>
      </c>
    </row>
    <row r="1542" spans="1:8" ht="16.5" customHeight="1" x14ac:dyDescent="0.25">
      <c r="A1542" s="27">
        <v>45835</v>
      </c>
      <c r="B1542" s="80">
        <v>2025</v>
      </c>
      <c r="C1542" s="80">
        <v>6</v>
      </c>
      <c r="D1542" s="30" t="s">
        <v>53</v>
      </c>
      <c r="E1542" s="30" t="s">
        <v>66</v>
      </c>
      <c r="F1542" s="30" t="s">
        <v>43</v>
      </c>
      <c r="G1542" s="33">
        <v>2.8</v>
      </c>
      <c r="H1542" s="83" t="s">
        <v>89</v>
      </c>
    </row>
    <row r="1543" spans="1:8" ht="16.5" customHeight="1" x14ac:dyDescent="0.25">
      <c r="A1543" s="27">
        <v>45835</v>
      </c>
      <c r="B1543" s="80">
        <v>2025</v>
      </c>
      <c r="C1543" s="80">
        <v>6</v>
      </c>
      <c r="D1543" s="30" t="s">
        <v>53</v>
      </c>
      <c r="E1543" s="30" t="s">
        <v>71</v>
      </c>
      <c r="F1543" s="30" t="s">
        <v>51</v>
      </c>
      <c r="G1543" s="33">
        <v>6.0843100000000003</v>
      </c>
      <c r="H1543" s="83" t="s">
        <v>89</v>
      </c>
    </row>
    <row r="1544" spans="1:8" ht="16.5" customHeight="1" x14ac:dyDescent="0.25">
      <c r="A1544" s="27">
        <v>45835</v>
      </c>
      <c r="B1544" s="80">
        <v>2025</v>
      </c>
      <c r="C1544" s="80">
        <v>6</v>
      </c>
      <c r="D1544" s="30" t="s">
        <v>53</v>
      </c>
      <c r="E1544" s="30" t="s">
        <v>73</v>
      </c>
      <c r="F1544" s="30" t="s">
        <v>43</v>
      </c>
      <c r="G1544" s="33">
        <v>4.8360000000000003</v>
      </c>
      <c r="H1544" s="83" t="s">
        <v>89</v>
      </c>
    </row>
    <row r="1545" spans="1:8" ht="16.5" customHeight="1" x14ac:dyDescent="0.25">
      <c r="A1545" s="27">
        <v>45835</v>
      </c>
      <c r="B1545" s="80">
        <v>2025</v>
      </c>
      <c r="C1545" s="80">
        <v>6</v>
      </c>
      <c r="D1545" s="30" t="s">
        <v>53</v>
      </c>
      <c r="E1545" s="30" t="s">
        <v>75</v>
      </c>
      <c r="F1545" s="30" t="s">
        <v>43</v>
      </c>
      <c r="G1545" s="33">
        <v>27.440161</v>
      </c>
      <c r="H1545" s="83" t="s">
        <v>48</v>
      </c>
    </row>
    <row r="1546" spans="1:8" ht="16.5" customHeight="1" x14ac:dyDescent="0.25">
      <c r="A1546" s="27">
        <v>45838</v>
      </c>
      <c r="B1546" s="80">
        <v>2025</v>
      </c>
      <c r="C1546" s="80">
        <v>6</v>
      </c>
      <c r="D1546" s="30" t="s">
        <v>53</v>
      </c>
      <c r="E1546" s="30" t="s">
        <v>38</v>
      </c>
      <c r="F1546" s="30" t="s">
        <v>43</v>
      </c>
      <c r="G1546" s="33">
        <v>2.363</v>
      </c>
      <c r="H1546" s="83" t="s">
        <v>88</v>
      </c>
    </row>
    <row r="1547" spans="1:8" ht="16.5" customHeight="1" x14ac:dyDescent="0.25">
      <c r="A1547" s="27">
        <v>45838</v>
      </c>
      <c r="B1547" s="80">
        <v>2025</v>
      </c>
      <c r="C1547" s="80">
        <v>6</v>
      </c>
      <c r="D1547" s="30" t="s">
        <v>53</v>
      </c>
      <c r="E1547" s="30" t="s">
        <v>42</v>
      </c>
      <c r="F1547" s="30" t="s">
        <v>43</v>
      </c>
      <c r="G1547" s="33">
        <v>4.556</v>
      </c>
      <c r="H1547" s="83" t="s">
        <v>88</v>
      </c>
    </row>
    <row r="1548" spans="1:8" ht="16.5" customHeight="1" x14ac:dyDescent="0.25">
      <c r="A1548" s="27">
        <v>45838</v>
      </c>
      <c r="B1548" s="80">
        <v>2025</v>
      </c>
      <c r="C1548" s="80">
        <v>6</v>
      </c>
      <c r="D1548" s="30" t="s">
        <v>53</v>
      </c>
      <c r="E1548" s="30" t="s">
        <v>42</v>
      </c>
      <c r="F1548" s="30" t="s">
        <v>55</v>
      </c>
      <c r="G1548" s="33">
        <v>0.57999999999999996</v>
      </c>
      <c r="H1548" s="83" t="s">
        <v>88</v>
      </c>
    </row>
    <row r="1549" spans="1:8" ht="16.5" customHeight="1" x14ac:dyDescent="0.25">
      <c r="A1549" s="27">
        <v>45838</v>
      </c>
      <c r="B1549" s="80">
        <v>2025</v>
      </c>
      <c r="C1549" s="80">
        <v>6</v>
      </c>
      <c r="D1549" s="30" t="s">
        <v>53</v>
      </c>
      <c r="E1549" s="30" t="s">
        <v>46</v>
      </c>
      <c r="F1549" s="30" t="s">
        <v>43</v>
      </c>
      <c r="G1549" s="33">
        <v>3.95254336</v>
      </c>
      <c r="H1549" s="83" t="s">
        <v>88</v>
      </c>
    </row>
    <row r="1550" spans="1:8" ht="16.5" customHeight="1" x14ac:dyDescent="0.25">
      <c r="A1550" s="27">
        <v>45838</v>
      </c>
      <c r="B1550" s="80">
        <v>2025</v>
      </c>
      <c r="C1550" s="80">
        <v>6</v>
      </c>
      <c r="D1550" s="30" t="s">
        <v>53</v>
      </c>
      <c r="E1550" s="30" t="s">
        <v>46</v>
      </c>
      <c r="F1550" s="30" t="s">
        <v>51</v>
      </c>
      <c r="G1550" s="33">
        <v>1.1390400000000001</v>
      </c>
      <c r="H1550" s="83" t="s">
        <v>88</v>
      </c>
    </row>
    <row r="1551" spans="1:8" ht="16.5" customHeight="1" x14ac:dyDescent="0.25">
      <c r="A1551" s="27">
        <v>45838</v>
      </c>
      <c r="B1551" s="80">
        <v>2025</v>
      </c>
      <c r="C1551" s="80">
        <v>6</v>
      </c>
      <c r="D1551" s="30" t="s">
        <v>53</v>
      </c>
      <c r="E1551" s="30" t="s">
        <v>50</v>
      </c>
      <c r="F1551" s="30" t="s">
        <v>43</v>
      </c>
      <c r="G1551" s="33">
        <v>10.7757419</v>
      </c>
      <c r="H1551" s="83" t="s">
        <v>88</v>
      </c>
    </row>
    <row r="1552" spans="1:8" ht="16.5" customHeight="1" x14ac:dyDescent="0.25">
      <c r="A1552" s="27">
        <v>45838</v>
      </c>
      <c r="B1552" s="80">
        <v>2025</v>
      </c>
      <c r="C1552" s="80">
        <v>6</v>
      </c>
      <c r="D1552" s="30" t="s">
        <v>53</v>
      </c>
      <c r="E1552" s="30" t="s">
        <v>50</v>
      </c>
      <c r="F1552" s="30" t="s">
        <v>47</v>
      </c>
      <c r="G1552" s="33">
        <v>0.495</v>
      </c>
      <c r="H1552" s="83" t="s">
        <v>88</v>
      </c>
    </row>
    <row r="1553" spans="1:8" ht="16.5" customHeight="1" x14ac:dyDescent="0.25">
      <c r="A1553" s="27">
        <v>45838</v>
      </c>
      <c r="B1553" s="80">
        <v>2025</v>
      </c>
      <c r="C1553" s="80">
        <v>6</v>
      </c>
      <c r="D1553" s="30" t="s">
        <v>53</v>
      </c>
      <c r="E1553" s="30" t="s">
        <v>50</v>
      </c>
      <c r="F1553" s="30" t="s">
        <v>51</v>
      </c>
      <c r="G1553" s="33">
        <v>0.62050000000000005</v>
      </c>
      <c r="H1553" s="83" t="s">
        <v>88</v>
      </c>
    </row>
    <row r="1554" spans="1:8" ht="16.5" customHeight="1" x14ac:dyDescent="0.25">
      <c r="A1554" s="27">
        <v>45838</v>
      </c>
      <c r="B1554" s="80">
        <v>2025</v>
      </c>
      <c r="C1554" s="80">
        <v>6</v>
      </c>
      <c r="D1554" s="30" t="s">
        <v>53</v>
      </c>
      <c r="E1554" s="30" t="s">
        <v>50</v>
      </c>
      <c r="F1554" s="30" t="s">
        <v>55</v>
      </c>
      <c r="G1554" s="33">
        <v>2.9295800000000001</v>
      </c>
      <c r="H1554" s="83" t="s">
        <v>88</v>
      </c>
    </row>
    <row r="1555" spans="1:8" ht="16.5" customHeight="1" x14ac:dyDescent="0.25">
      <c r="A1555" s="27">
        <v>45838</v>
      </c>
      <c r="B1555" s="80">
        <v>2025</v>
      </c>
      <c r="C1555" s="80">
        <v>6</v>
      </c>
      <c r="D1555" s="30" t="s">
        <v>53</v>
      </c>
      <c r="E1555" s="30" t="s">
        <v>50</v>
      </c>
      <c r="F1555" s="30" t="s">
        <v>58</v>
      </c>
      <c r="G1555" s="33">
        <v>9.668395598</v>
      </c>
      <c r="H1555" s="83" t="s">
        <v>88</v>
      </c>
    </row>
    <row r="1556" spans="1:8" ht="16.5" customHeight="1" x14ac:dyDescent="0.25">
      <c r="A1556" s="27">
        <v>45838</v>
      </c>
      <c r="B1556" s="80">
        <v>2025</v>
      </c>
      <c r="C1556" s="80">
        <v>6</v>
      </c>
      <c r="D1556" s="30" t="s">
        <v>53</v>
      </c>
      <c r="E1556" s="30" t="s">
        <v>54</v>
      </c>
      <c r="F1556" s="30" t="s">
        <v>43</v>
      </c>
      <c r="G1556" s="33">
        <v>1.9975000000000001</v>
      </c>
      <c r="H1556" s="83" t="s">
        <v>88</v>
      </c>
    </row>
    <row r="1557" spans="1:8" ht="16.5" customHeight="1" x14ac:dyDescent="0.25">
      <c r="A1557" s="27">
        <v>45838</v>
      </c>
      <c r="B1557" s="80">
        <v>2025</v>
      </c>
      <c r="C1557" s="80">
        <v>6</v>
      </c>
      <c r="D1557" s="30" t="s">
        <v>53</v>
      </c>
      <c r="E1557" s="30" t="s">
        <v>66</v>
      </c>
      <c r="F1557" s="30" t="s">
        <v>43</v>
      </c>
      <c r="G1557" s="33">
        <v>10.2224</v>
      </c>
      <c r="H1557" s="83" t="s">
        <v>89</v>
      </c>
    </row>
    <row r="1558" spans="1:8" ht="16.5" customHeight="1" x14ac:dyDescent="0.25">
      <c r="A1558" s="27">
        <v>45838</v>
      </c>
      <c r="B1558" s="80">
        <v>2025</v>
      </c>
      <c r="C1558" s="80">
        <v>6</v>
      </c>
      <c r="D1558" s="30" t="s">
        <v>53</v>
      </c>
      <c r="E1558" s="30" t="s">
        <v>68</v>
      </c>
      <c r="F1558" s="30" t="s">
        <v>43</v>
      </c>
      <c r="G1558" s="33">
        <v>1.23</v>
      </c>
      <c r="H1558" s="83" t="s">
        <v>89</v>
      </c>
    </row>
    <row r="1559" spans="1:8" ht="16.5" customHeight="1" x14ac:dyDescent="0.25">
      <c r="A1559" s="27">
        <v>45838</v>
      </c>
      <c r="B1559" s="80">
        <v>2025</v>
      </c>
      <c r="C1559" s="80">
        <v>6</v>
      </c>
      <c r="D1559" s="30" t="s">
        <v>53</v>
      </c>
      <c r="E1559" s="30" t="s">
        <v>76</v>
      </c>
      <c r="F1559" s="30" t="s">
        <v>39</v>
      </c>
      <c r="G1559" s="33">
        <v>54.023955999999998</v>
      </c>
      <c r="H1559" s="83" t="s">
        <v>48</v>
      </c>
    </row>
    <row r="1560" spans="1:8" ht="16.5" customHeight="1" x14ac:dyDescent="0.25">
      <c r="A1560" s="27">
        <v>45839</v>
      </c>
      <c r="B1560" s="80">
        <v>2025</v>
      </c>
      <c r="C1560" s="80">
        <v>7</v>
      </c>
      <c r="D1560" s="30" t="s">
        <v>56</v>
      </c>
      <c r="E1560" s="30" t="s">
        <v>38</v>
      </c>
      <c r="F1560" s="30" t="s">
        <v>43</v>
      </c>
      <c r="G1560" s="33">
        <v>4.8170000000000002</v>
      </c>
      <c r="H1560" s="83" t="s">
        <v>88</v>
      </c>
    </row>
    <row r="1561" spans="1:8" ht="16.5" customHeight="1" x14ac:dyDescent="0.25">
      <c r="A1561" s="27">
        <v>45839</v>
      </c>
      <c r="B1561" s="80">
        <v>2025</v>
      </c>
      <c r="C1561" s="80">
        <v>7</v>
      </c>
      <c r="D1561" s="30" t="s">
        <v>56</v>
      </c>
      <c r="E1561" s="30" t="s">
        <v>46</v>
      </c>
      <c r="F1561" s="30" t="s">
        <v>43</v>
      </c>
      <c r="G1561" s="33">
        <v>4.6445846</v>
      </c>
      <c r="H1561" s="83" t="s">
        <v>88</v>
      </c>
    </row>
    <row r="1562" spans="1:8" ht="16.5" customHeight="1" x14ac:dyDescent="0.25">
      <c r="A1562" s="27">
        <v>45839</v>
      </c>
      <c r="B1562" s="80">
        <v>2025</v>
      </c>
      <c r="C1562" s="80">
        <v>7</v>
      </c>
      <c r="D1562" s="30" t="s">
        <v>56</v>
      </c>
      <c r="E1562" s="30" t="s">
        <v>46</v>
      </c>
      <c r="F1562" s="30" t="s">
        <v>47</v>
      </c>
      <c r="G1562" s="33">
        <v>0.110552</v>
      </c>
      <c r="H1562" s="83" t="s">
        <v>88</v>
      </c>
    </row>
    <row r="1563" spans="1:8" ht="16.5" customHeight="1" x14ac:dyDescent="0.25">
      <c r="A1563" s="27">
        <v>45839</v>
      </c>
      <c r="B1563" s="80">
        <v>2025</v>
      </c>
      <c r="C1563" s="80">
        <v>7</v>
      </c>
      <c r="D1563" s="30" t="s">
        <v>56</v>
      </c>
      <c r="E1563" s="30" t="s">
        <v>46</v>
      </c>
      <c r="F1563" s="30" t="s">
        <v>58</v>
      </c>
      <c r="G1563" s="33">
        <v>8.7648749999999997E-2</v>
      </c>
      <c r="H1563" s="83" t="s">
        <v>88</v>
      </c>
    </row>
    <row r="1564" spans="1:8" ht="16.5" customHeight="1" x14ac:dyDescent="0.25">
      <c r="A1564" s="27">
        <v>45839</v>
      </c>
      <c r="B1564" s="80">
        <v>2025</v>
      </c>
      <c r="C1564" s="80">
        <v>7</v>
      </c>
      <c r="D1564" s="30" t="s">
        <v>56</v>
      </c>
      <c r="E1564" s="30" t="s">
        <v>50</v>
      </c>
      <c r="F1564" s="30" t="s">
        <v>39</v>
      </c>
      <c r="G1564" s="33">
        <v>4.7381250000000001</v>
      </c>
      <c r="H1564" s="83" t="s">
        <v>88</v>
      </c>
    </row>
    <row r="1565" spans="1:8" ht="16.5" customHeight="1" x14ac:dyDescent="0.25">
      <c r="A1565" s="27">
        <v>45839</v>
      </c>
      <c r="B1565" s="80">
        <v>2025</v>
      </c>
      <c r="C1565" s="80">
        <v>7</v>
      </c>
      <c r="D1565" s="30" t="s">
        <v>56</v>
      </c>
      <c r="E1565" s="30" t="s">
        <v>50</v>
      </c>
      <c r="F1565" s="30" t="s">
        <v>43</v>
      </c>
      <c r="G1565" s="33">
        <v>52.289997399999997</v>
      </c>
      <c r="H1565" s="83" t="s">
        <v>88</v>
      </c>
    </row>
    <row r="1566" spans="1:8" ht="16.5" customHeight="1" x14ac:dyDescent="0.25">
      <c r="A1566" s="27">
        <v>45839</v>
      </c>
      <c r="B1566" s="80">
        <v>2025</v>
      </c>
      <c r="C1566" s="80">
        <v>7</v>
      </c>
      <c r="D1566" s="30" t="s">
        <v>56</v>
      </c>
      <c r="E1566" s="30" t="s">
        <v>50</v>
      </c>
      <c r="F1566" s="30" t="s">
        <v>47</v>
      </c>
      <c r="G1566" s="33">
        <v>0.62160000000000004</v>
      </c>
      <c r="H1566" s="83" t="s">
        <v>88</v>
      </c>
    </row>
    <row r="1567" spans="1:8" ht="16.5" customHeight="1" x14ac:dyDescent="0.25">
      <c r="A1567" s="27">
        <v>45839</v>
      </c>
      <c r="B1567" s="80">
        <v>2025</v>
      </c>
      <c r="C1567" s="80">
        <v>7</v>
      </c>
      <c r="D1567" s="30" t="s">
        <v>56</v>
      </c>
      <c r="E1567" s="30" t="s">
        <v>50</v>
      </c>
      <c r="F1567" s="30" t="s">
        <v>51</v>
      </c>
      <c r="G1567" s="33">
        <v>0.2465</v>
      </c>
      <c r="H1567" s="83" t="s">
        <v>88</v>
      </c>
    </row>
    <row r="1568" spans="1:8" ht="16.5" customHeight="1" x14ac:dyDescent="0.25">
      <c r="A1568" s="27">
        <v>45839</v>
      </c>
      <c r="B1568" s="80">
        <v>2025</v>
      </c>
      <c r="C1568" s="80">
        <v>7</v>
      </c>
      <c r="D1568" s="30" t="s">
        <v>56</v>
      </c>
      <c r="E1568" s="30" t="s">
        <v>50</v>
      </c>
      <c r="F1568" s="30" t="s">
        <v>58</v>
      </c>
      <c r="G1568" s="33">
        <v>10.884377000000001</v>
      </c>
      <c r="H1568" s="83" t="s">
        <v>88</v>
      </c>
    </row>
    <row r="1569" spans="1:8" ht="16.5" customHeight="1" x14ac:dyDescent="0.25">
      <c r="A1569" s="27">
        <v>45839</v>
      </c>
      <c r="B1569" s="80">
        <v>2025</v>
      </c>
      <c r="C1569" s="80">
        <v>7</v>
      </c>
      <c r="D1569" s="30" t="s">
        <v>56</v>
      </c>
      <c r="E1569" s="30" t="s">
        <v>64</v>
      </c>
      <c r="F1569" s="30" t="s">
        <v>43</v>
      </c>
      <c r="G1569" s="33">
        <v>8.2050000000000001</v>
      </c>
      <c r="H1569" s="83" t="s">
        <v>89</v>
      </c>
    </row>
    <row r="1570" spans="1:8" ht="16.5" customHeight="1" x14ac:dyDescent="0.25">
      <c r="A1570" s="27">
        <v>45839</v>
      </c>
      <c r="B1570" s="80">
        <v>2025</v>
      </c>
      <c r="C1570" s="80">
        <v>7</v>
      </c>
      <c r="D1570" s="30" t="s">
        <v>56</v>
      </c>
      <c r="E1570" s="30" t="s">
        <v>66</v>
      </c>
      <c r="F1570" s="30" t="s">
        <v>43</v>
      </c>
      <c r="G1570" s="33">
        <v>4.68</v>
      </c>
      <c r="H1570" s="83" t="s">
        <v>89</v>
      </c>
    </row>
    <row r="1571" spans="1:8" ht="16.5" customHeight="1" x14ac:dyDescent="0.25">
      <c r="A1571" s="27">
        <v>45839</v>
      </c>
      <c r="B1571" s="80">
        <v>2025</v>
      </c>
      <c r="C1571" s="80">
        <v>7</v>
      </c>
      <c r="D1571" s="30" t="s">
        <v>56</v>
      </c>
      <c r="E1571" s="30" t="s">
        <v>68</v>
      </c>
      <c r="F1571" s="30" t="s">
        <v>51</v>
      </c>
      <c r="G1571" s="33">
        <v>1.1358999999999999</v>
      </c>
      <c r="H1571" s="83" t="s">
        <v>89</v>
      </c>
    </row>
    <row r="1572" spans="1:8" ht="16.5" customHeight="1" x14ac:dyDescent="0.25">
      <c r="A1572" s="27">
        <v>45839</v>
      </c>
      <c r="B1572" s="80">
        <v>2025</v>
      </c>
      <c r="C1572" s="80">
        <v>7</v>
      </c>
      <c r="D1572" s="30" t="s">
        <v>56</v>
      </c>
      <c r="E1572" s="30" t="s">
        <v>75</v>
      </c>
      <c r="F1572" s="30" t="s">
        <v>43</v>
      </c>
      <c r="G1572" s="33">
        <v>15.753500000000001</v>
      </c>
      <c r="H1572" s="83" t="s">
        <v>48</v>
      </c>
    </row>
    <row r="1573" spans="1:8" ht="16.5" customHeight="1" x14ac:dyDescent="0.25">
      <c r="A1573" s="27">
        <v>45840</v>
      </c>
      <c r="B1573" s="80">
        <v>2025</v>
      </c>
      <c r="C1573" s="80">
        <v>7</v>
      </c>
      <c r="D1573" s="30" t="s">
        <v>56</v>
      </c>
      <c r="E1573" s="30" t="s">
        <v>38</v>
      </c>
      <c r="F1573" s="30" t="s">
        <v>43</v>
      </c>
      <c r="G1573" s="33">
        <v>20.960999999999999</v>
      </c>
      <c r="H1573" s="83" t="s">
        <v>88</v>
      </c>
    </row>
    <row r="1574" spans="1:8" ht="16.5" customHeight="1" x14ac:dyDescent="0.25">
      <c r="A1574" s="27">
        <v>45840</v>
      </c>
      <c r="B1574" s="80">
        <v>2025</v>
      </c>
      <c r="C1574" s="80">
        <v>7</v>
      </c>
      <c r="D1574" s="30" t="s">
        <v>56</v>
      </c>
      <c r="E1574" s="30" t="s">
        <v>42</v>
      </c>
      <c r="F1574" s="30" t="s">
        <v>43</v>
      </c>
      <c r="G1574" s="33">
        <v>15.61</v>
      </c>
      <c r="H1574" s="83" t="s">
        <v>88</v>
      </c>
    </row>
    <row r="1575" spans="1:8" ht="16.5" customHeight="1" x14ac:dyDescent="0.25">
      <c r="A1575" s="27">
        <v>45840</v>
      </c>
      <c r="B1575" s="80">
        <v>2025</v>
      </c>
      <c r="C1575" s="80">
        <v>7</v>
      </c>
      <c r="D1575" s="30" t="s">
        <v>56</v>
      </c>
      <c r="E1575" s="30" t="s">
        <v>46</v>
      </c>
      <c r="F1575" s="30" t="s">
        <v>43</v>
      </c>
      <c r="G1575" s="33">
        <v>1.0349999999999999</v>
      </c>
      <c r="H1575" s="83" t="s">
        <v>88</v>
      </c>
    </row>
    <row r="1576" spans="1:8" ht="16.5" customHeight="1" x14ac:dyDescent="0.25">
      <c r="A1576" s="27">
        <v>45840</v>
      </c>
      <c r="B1576" s="80">
        <v>2025</v>
      </c>
      <c r="C1576" s="80">
        <v>7</v>
      </c>
      <c r="D1576" s="30" t="s">
        <v>56</v>
      </c>
      <c r="E1576" s="30" t="s">
        <v>50</v>
      </c>
      <c r="F1576" s="30" t="s">
        <v>43</v>
      </c>
      <c r="G1576" s="33">
        <v>9.3480974999999997</v>
      </c>
      <c r="H1576" s="83" t="s">
        <v>88</v>
      </c>
    </row>
    <row r="1577" spans="1:8" ht="16.5" customHeight="1" x14ac:dyDescent="0.25">
      <c r="A1577" s="27">
        <v>45840</v>
      </c>
      <c r="B1577" s="80">
        <v>2025</v>
      </c>
      <c r="C1577" s="80">
        <v>7</v>
      </c>
      <c r="D1577" s="30" t="s">
        <v>56</v>
      </c>
      <c r="E1577" s="30" t="s">
        <v>50</v>
      </c>
      <c r="F1577" s="30" t="s">
        <v>47</v>
      </c>
      <c r="G1577" s="33">
        <v>0.62160000000000004</v>
      </c>
      <c r="H1577" s="83" t="s">
        <v>88</v>
      </c>
    </row>
    <row r="1578" spans="1:8" ht="16.5" customHeight="1" x14ac:dyDescent="0.25">
      <c r="A1578" s="27">
        <v>45840</v>
      </c>
      <c r="B1578" s="80">
        <v>2025</v>
      </c>
      <c r="C1578" s="80">
        <v>7</v>
      </c>
      <c r="D1578" s="30" t="s">
        <v>56</v>
      </c>
      <c r="E1578" s="30" t="s">
        <v>50</v>
      </c>
      <c r="F1578" s="30" t="s">
        <v>55</v>
      </c>
      <c r="G1578" s="33">
        <v>10.817664000000001</v>
      </c>
      <c r="H1578" s="83" t="s">
        <v>88</v>
      </c>
    </row>
    <row r="1579" spans="1:8" ht="16.5" customHeight="1" x14ac:dyDescent="0.25">
      <c r="A1579" s="27">
        <v>45840</v>
      </c>
      <c r="B1579" s="80">
        <v>2025</v>
      </c>
      <c r="C1579" s="80">
        <v>7</v>
      </c>
      <c r="D1579" s="30" t="s">
        <v>56</v>
      </c>
      <c r="E1579" s="30" t="s">
        <v>50</v>
      </c>
      <c r="F1579" s="30" t="s">
        <v>58</v>
      </c>
      <c r="G1579" s="33">
        <v>71.924245290000002</v>
      </c>
      <c r="H1579" s="83" t="s">
        <v>88</v>
      </c>
    </row>
    <row r="1580" spans="1:8" ht="16.5" customHeight="1" x14ac:dyDescent="0.25">
      <c r="A1580" s="27">
        <v>45840</v>
      </c>
      <c r="B1580" s="80">
        <v>2025</v>
      </c>
      <c r="C1580" s="80">
        <v>7</v>
      </c>
      <c r="D1580" s="30" t="s">
        <v>56</v>
      </c>
      <c r="E1580" s="30" t="s">
        <v>54</v>
      </c>
      <c r="F1580" s="30" t="s">
        <v>43</v>
      </c>
      <c r="G1580" s="33">
        <v>2.1732499999999999</v>
      </c>
      <c r="H1580" s="83" t="s">
        <v>88</v>
      </c>
    </row>
    <row r="1581" spans="1:8" ht="16.5" customHeight="1" x14ac:dyDescent="0.25">
      <c r="A1581" s="27">
        <v>45840</v>
      </c>
      <c r="B1581" s="80">
        <v>2025</v>
      </c>
      <c r="C1581" s="80">
        <v>7</v>
      </c>
      <c r="D1581" s="30" t="s">
        <v>56</v>
      </c>
      <c r="E1581" s="30" t="s">
        <v>61</v>
      </c>
      <c r="F1581" s="30" t="s">
        <v>39</v>
      </c>
      <c r="G1581" s="33">
        <v>6.0720000000000001</v>
      </c>
      <c r="H1581" s="83" t="s">
        <v>89</v>
      </c>
    </row>
    <row r="1582" spans="1:8" ht="16.5" customHeight="1" x14ac:dyDescent="0.25">
      <c r="A1582" s="27">
        <v>45840</v>
      </c>
      <c r="B1582" s="80">
        <v>2025</v>
      </c>
      <c r="C1582" s="80">
        <v>7</v>
      </c>
      <c r="D1582" s="30" t="s">
        <v>56</v>
      </c>
      <c r="E1582" s="30" t="s">
        <v>64</v>
      </c>
      <c r="F1582" s="30" t="s">
        <v>43</v>
      </c>
      <c r="G1582" s="33">
        <v>9.5760000000000005</v>
      </c>
      <c r="H1582" s="83" t="s">
        <v>89</v>
      </c>
    </row>
    <row r="1583" spans="1:8" ht="16.5" customHeight="1" x14ac:dyDescent="0.25">
      <c r="A1583" s="27">
        <v>45840</v>
      </c>
      <c r="B1583" s="80">
        <v>2025</v>
      </c>
      <c r="C1583" s="80">
        <v>7</v>
      </c>
      <c r="D1583" s="30" t="s">
        <v>56</v>
      </c>
      <c r="E1583" s="30" t="s">
        <v>76</v>
      </c>
      <c r="F1583" s="30" t="s">
        <v>39</v>
      </c>
      <c r="G1583" s="33">
        <v>4.9353600000000002</v>
      </c>
      <c r="H1583" s="83" t="s">
        <v>48</v>
      </c>
    </row>
    <row r="1584" spans="1:8" ht="16.5" customHeight="1" x14ac:dyDescent="0.25">
      <c r="A1584" s="27">
        <v>45841</v>
      </c>
      <c r="B1584" s="80">
        <v>2025</v>
      </c>
      <c r="C1584" s="80">
        <v>7</v>
      </c>
      <c r="D1584" s="30" t="s">
        <v>56</v>
      </c>
      <c r="E1584" s="30" t="s">
        <v>38</v>
      </c>
      <c r="F1584" s="30" t="s">
        <v>43</v>
      </c>
      <c r="G1584" s="33">
        <v>2.3595760000000001</v>
      </c>
      <c r="H1584" s="83" t="s">
        <v>88</v>
      </c>
    </row>
    <row r="1585" spans="1:8" ht="16.5" customHeight="1" x14ac:dyDescent="0.25">
      <c r="A1585" s="27">
        <v>45841</v>
      </c>
      <c r="B1585" s="80">
        <v>2025</v>
      </c>
      <c r="C1585" s="80">
        <v>7</v>
      </c>
      <c r="D1585" s="30" t="s">
        <v>56</v>
      </c>
      <c r="E1585" s="30" t="s">
        <v>38</v>
      </c>
      <c r="F1585" s="30" t="s">
        <v>55</v>
      </c>
      <c r="G1585" s="33">
        <v>0.46</v>
      </c>
      <c r="H1585" s="83" t="s">
        <v>88</v>
      </c>
    </row>
    <row r="1586" spans="1:8" ht="16.5" customHeight="1" x14ac:dyDescent="0.25">
      <c r="A1586" s="27">
        <v>45841</v>
      </c>
      <c r="B1586" s="80">
        <v>2025</v>
      </c>
      <c r="C1586" s="80">
        <v>7</v>
      </c>
      <c r="D1586" s="30" t="s">
        <v>56</v>
      </c>
      <c r="E1586" s="30" t="s">
        <v>38</v>
      </c>
      <c r="F1586" s="30" t="s">
        <v>58</v>
      </c>
      <c r="G1586" s="33">
        <v>0.53315000000000001</v>
      </c>
      <c r="H1586" s="83" t="s">
        <v>88</v>
      </c>
    </row>
    <row r="1587" spans="1:8" ht="16.5" customHeight="1" x14ac:dyDescent="0.25">
      <c r="A1587" s="27">
        <v>45841</v>
      </c>
      <c r="B1587" s="80">
        <v>2025</v>
      </c>
      <c r="C1587" s="80">
        <v>7</v>
      </c>
      <c r="D1587" s="30" t="s">
        <v>56</v>
      </c>
      <c r="E1587" s="30" t="s">
        <v>42</v>
      </c>
      <c r="F1587" s="30" t="s">
        <v>43</v>
      </c>
      <c r="G1587" s="33">
        <v>5.1680000000000001</v>
      </c>
      <c r="H1587" s="83" t="s">
        <v>88</v>
      </c>
    </row>
    <row r="1588" spans="1:8" ht="16.5" customHeight="1" x14ac:dyDescent="0.25">
      <c r="A1588" s="27">
        <v>45841</v>
      </c>
      <c r="B1588" s="80">
        <v>2025</v>
      </c>
      <c r="C1588" s="80">
        <v>7</v>
      </c>
      <c r="D1588" s="30" t="s">
        <v>56</v>
      </c>
      <c r="E1588" s="30" t="s">
        <v>42</v>
      </c>
      <c r="F1588" s="30" t="s">
        <v>55</v>
      </c>
      <c r="G1588" s="33">
        <v>3.6</v>
      </c>
      <c r="H1588" s="83" t="s">
        <v>88</v>
      </c>
    </row>
    <row r="1589" spans="1:8" ht="16.5" customHeight="1" x14ac:dyDescent="0.25">
      <c r="A1589" s="27">
        <v>45841</v>
      </c>
      <c r="B1589" s="80">
        <v>2025</v>
      </c>
      <c r="C1589" s="80">
        <v>7</v>
      </c>
      <c r="D1589" s="30" t="s">
        <v>56</v>
      </c>
      <c r="E1589" s="30" t="s">
        <v>46</v>
      </c>
      <c r="F1589" s="30" t="s">
        <v>43</v>
      </c>
      <c r="G1589" s="33">
        <v>1.5728359999999999</v>
      </c>
      <c r="H1589" s="83" t="s">
        <v>88</v>
      </c>
    </row>
    <row r="1590" spans="1:8" ht="16.5" customHeight="1" x14ac:dyDescent="0.25">
      <c r="A1590" s="27">
        <v>45841</v>
      </c>
      <c r="B1590" s="80">
        <v>2025</v>
      </c>
      <c r="C1590" s="80">
        <v>7</v>
      </c>
      <c r="D1590" s="30" t="s">
        <v>56</v>
      </c>
      <c r="E1590" s="30" t="s">
        <v>46</v>
      </c>
      <c r="F1590" s="30" t="s">
        <v>58</v>
      </c>
      <c r="G1590" s="33">
        <v>1.8547167499999999</v>
      </c>
      <c r="H1590" s="83" t="s">
        <v>88</v>
      </c>
    </row>
    <row r="1591" spans="1:8" ht="16.5" customHeight="1" x14ac:dyDescent="0.25">
      <c r="A1591" s="27">
        <v>45841</v>
      </c>
      <c r="B1591" s="80">
        <v>2025</v>
      </c>
      <c r="C1591" s="80">
        <v>7</v>
      </c>
      <c r="D1591" s="30" t="s">
        <v>56</v>
      </c>
      <c r="E1591" s="30" t="s">
        <v>50</v>
      </c>
      <c r="F1591" s="30" t="s">
        <v>43</v>
      </c>
      <c r="G1591" s="33">
        <v>12.915633194</v>
      </c>
      <c r="H1591" s="83" t="s">
        <v>88</v>
      </c>
    </row>
    <row r="1592" spans="1:8" ht="16.5" customHeight="1" x14ac:dyDescent="0.25">
      <c r="A1592" s="27">
        <v>45841</v>
      </c>
      <c r="B1592" s="80">
        <v>2025</v>
      </c>
      <c r="C1592" s="80">
        <v>7</v>
      </c>
      <c r="D1592" s="30" t="s">
        <v>56</v>
      </c>
      <c r="E1592" s="30" t="s">
        <v>50</v>
      </c>
      <c r="F1592" s="30" t="s">
        <v>51</v>
      </c>
      <c r="G1592" s="33">
        <v>5.0049999999999997E-2</v>
      </c>
      <c r="H1592" s="83" t="s">
        <v>88</v>
      </c>
    </row>
    <row r="1593" spans="1:8" ht="16.5" customHeight="1" x14ac:dyDescent="0.25">
      <c r="A1593" s="27">
        <v>45841</v>
      </c>
      <c r="B1593" s="80">
        <v>2025</v>
      </c>
      <c r="C1593" s="80">
        <v>7</v>
      </c>
      <c r="D1593" s="30" t="s">
        <v>56</v>
      </c>
      <c r="E1593" s="30" t="s">
        <v>50</v>
      </c>
      <c r="F1593" s="30" t="s">
        <v>58</v>
      </c>
      <c r="G1593" s="33">
        <v>1.180767618</v>
      </c>
      <c r="H1593" s="83" t="s">
        <v>88</v>
      </c>
    </row>
    <row r="1594" spans="1:8" ht="16.5" customHeight="1" x14ac:dyDescent="0.25">
      <c r="A1594" s="27">
        <v>45841</v>
      </c>
      <c r="B1594" s="80">
        <v>2025</v>
      </c>
      <c r="C1594" s="80">
        <v>7</v>
      </c>
      <c r="D1594" s="30" t="s">
        <v>56</v>
      </c>
      <c r="E1594" s="30" t="s">
        <v>54</v>
      </c>
      <c r="F1594" s="30" t="s">
        <v>43</v>
      </c>
      <c r="G1594" s="33">
        <v>1.39</v>
      </c>
      <c r="H1594" s="83" t="s">
        <v>88</v>
      </c>
    </row>
    <row r="1595" spans="1:8" ht="16.5" customHeight="1" x14ac:dyDescent="0.25">
      <c r="A1595" s="27">
        <v>45841</v>
      </c>
      <c r="B1595" s="80">
        <v>2025</v>
      </c>
      <c r="C1595" s="80">
        <v>7</v>
      </c>
      <c r="D1595" s="30" t="s">
        <v>56</v>
      </c>
      <c r="E1595" s="30" t="s">
        <v>64</v>
      </c>
      <c r="F1595" s="30" t="s">
        <v>43</v>
      </c>
      <c r="G1595" s="33">
        <v>7.92</v>
      </c>
      <c r="H1595" s="83" t="s">
        <v>89</v>
      </c>
    </row>
    <row r="1596" spans="1:8" ht="16.5" customHeight="1" x14ac:dyDescent="0.25">
      <c r="A1596" s="27">
        <v>45841</v>
      </c>
      <c r="B1596" s="80">
        <v>2025</v>
      </c>
      <c r="C1596" s="80">
        <v>7</v>
      </c>
      <c r="D1596" s="30" t="s">
        <v>56</v>
      </c>
      <c r="E1596" s="30" t="s">
        <v>66</v>
      </c>
      <c r="F1596" s="30" t="s">
        <v>43</v>
      </c>
      <c r="G1596" s="33">
        <v>6.45</v>
      </c>
      <c r="H1596" s="83" t="s">
        <v>89</v>
      </c>
    </row>
    <row r="1597" spans="1:8" ht="16.5" customHeight="1" x14ac:dyDescent="0.25">
      <c r="A1597" s="27">
        <v>45841</v>
      </c>
      <c r="B1597" s="80">
        <v>2025</v>
      </c>
      <c r="C1597" s="80">
        <v>7</v>
      </c>
      <c r="D1597" s="30" t="s">
        <v>56</v>
      </c>
      <c r="E1597" s="30" t="s">
        <v>68</v>
      </c>
      <c r="F1597" s="30" t="s">
        <v>43</v>
      </c>
      <c r="G1597" s="33">
        <v>2.4874999999999998</v>
      </c>
      <c r="H1597" s="83" t="s">
        <v>89</v>
      </c>
    </row>
    <row r="1598" spans="1:8" ht="16.5" customHeight="1" x14ac:dyDescent="0.25">
      <c r="A1598" s="27">
        <v>45841</v>
      </c>
      <c r="B1598" s="80">
        <v>2025</v>
      </c>
      <c r="C1598" s="80">
        <v>7</v>
      </c>
      <c r="D1598" s="30" t="s">
        <v>56</v>
      </c>
      <c r="E1598" s="30" t="s">
        <v>71</v>
      </c>
      <c r="F1598" s="30" t="s">
        <v>43</v>
      </c>
      <c r="G1598" s="33">
        <v>3.18</v>
      </c>
      <c r="H1598" s="83" t="s">
        <v>89</v>
      </c>
    </row>
    <row r="1599" spans="1:8" ht="16.5" customHeight="1" x14ac:dyDescent="0.25">
      <c r="A1599" s="27">
        <v>45841</v>
      </c>
      <c r="B1599" s="80">
        <v>2025</v>
      </c>
      <c r="C1599" s="80">
        <v>7</v>
      </c>
      <c r="D1599" s="30" t="s">
        <v>56</v>
      </c>
      <c r="E1599" s="30" t="s">
        <v>74</v>
      </c>
      <c r="F1599" s="30" t="s">
        <v>43</v>
      </c>
      <c r="G1599" s="33">
        <v>32.966999999999999</v>
      </c>
      <c r="H1599" s="83" t="s">
        <v>89</v>
      </c>
    </row>
    <row r="1600" spans="1:8" ht="16.5" customHeight="1" x14ac:dyDescent="0.25">
      <c r="A1600" s="27">
        <v>45841</v>
      </c>
      <c r="B1600" s="80">
        <v>2025</v>
      </c>
      <c r="C1600" s="80">
        <v>7</v>
      </c>
      <c r="D1600" s="30" t="s">
        <v>56</v>
      </c>
      <c r="E1600" s="30" t="s">
        <v>75</v>
      </c>
      <c r="F1600" s="30" t="s">
        <v>43</v>
      </c>
      <c r="G1600" s="33">
        <v>17.564800000000002</v>
      </c>
      <c r="H1600" s="83" t="s">
        <v>48</v>
      </c>
    </row>
    <row r="1601" spans="1:8" ht="16.5" customHeight="1" x14ac:dyDescent="0.25">
      <c r="A1601" s="27">
        <v>45841</v>
      </c>
      <c r="B1601" s="80">
        <v>2025</v>
      </c>
      <c r="C1601" s="80">
        <v>7</v>
      </c>
      <c r="D1601" s="30" t="s">
        <v>56</v>
      </c>
      <c r="E1601" s="30" t="s">
        <v>76</v>
      </c>
      <c r="F1601" s="30" t="s">
        <v>39</v>
      </c>
      <c r="G1601" s="33">
        <v>51.536700000000003</v>
      </c>
      <c r="H1601" s="83" t="s">
        <v>48</v>
      </c>
    </row>
    <row r="1602" spans="1:8" ht="16.5" customHeight="1" x14ac:dyDescent="0.25">
      <c r="A1602" s="27">
        <v>45842</v>
      </c>
      <c r="B1602" s="80">
        <v>2025</v>
      </c>
      <c r="C1602" s="80">
        <v>7</v>
      </c>
      <c r="D1602" s="30" t="s">
        <v>56</v>
      </c>
      <c r="E1602" s="30" t="s">
        <v>38</v>
      </c>
      <c r="F1602" s="30" t="s">
        <v>43</v>
      </c>
      <c r="G1602" s="33">
        <v>14.372</v>
      </c>
      <c r="H1602" s="83" t="s">
        <v>88</v>
      </c>
    </row>
    <row r="1603" spans="1:8" ht="16.5" customHeight="1" x14ac:dyDescent="0.25">
      <c r="A1603" s="27">
        <v>45842</v>
      </c>
      <c r="B1603" s="80">
        <v>2025</v>
      </c>
      <c r="C1603" s="80">
        <v>7</v>
      </c>
      <c r="D1603" s="30" t="s">
        <v>56</v>
      </c>
      <c r="E1603" s="30" t="s">
        <v>38</v>
      </c>
      <c r="F1603" s="30" t="s">
        <v>47</v>
      </c>
      <c r="G1603" s="33">
        <v>2.1062599999999998</v>
      </c>
      <c r="H1603" s="83" t="s">
        <v>88</v>
      </c>
    </row>
    <row r="1604" spans="1:8" ht="16.5" customHeight="1" x14ac:dyDescent="0.25">
      <c r="A1604" s="27">
        <v>45842</v>
      </c>
      <c r="B1604" s="80">
        <v>2025</v>
      </c>
      <c r="C1604" s="80">
        <v>7</v>
      </c>
      <c r="D1604" s="30" t="s">
        <v>56</v>
      </c>
      <c r="E1604" s="30" t="s">
        <v>46</v>
      </c>
      <c r="F1604" s="30" t="s">
        <v>43</v>
      </c>
      <c r="G1604" s="33">
        <v>4.0673683199999999</v>
      </c>
      <c r="H1604" s="83" t="s">
        <v>88</v>
      </c>
    </row>
    <row r="1605" spans="1:8" ht="16.5" customHeight="1" x14ac:dyDescent="0.25">
      <c r="A1605" s="27">
        <v>45842</v>
      </c>
      <c r="B1605" s="80">
        <v>2025</v>
      </c>
      <c r="C1605" s="80">
        <v>7</v>
      </c>
      <c r="D1605" s="30" t="s">
        <v>56</v>
      </c>
      <c r="E1605" s="30" t="s">
        <v>50</v>
      </c>
      <c r="F1605" s="30" t="s">
        <v>43</v>
      </c>
      <c r="G1605" s="33">
        <v>15.272494699999999</v>
      </c>
      <c r="H1605" s="83" t="s">
        <v>88</v>
      </c>
    </row>
    <row r="1606" spans="1:8" ht="16.5" customHeight="1" x14ac:dyDescent="0.25">
      <c r="A1606" s="27">
        <v>45842</v>
      </c>
      <c r="B1606" s="80">
        <v>2025</v>
      </c>
      <c r="C1606" s="80">
        <v>7</v>
      </c>
      <c r="D1606" s="30" t="s">
        <v>56</v>
      </c>
      <c r="E1606" s="30" t="s">
        <v>50</v>
      </c>
      <c r="F1606" s="30" t="s">
        <v>47</v>
      </c>
      <c r="G1606" s="33">
        <v>0.93240000000000001</v>
      </c>
      <c r="H1606" s="83" t="s">
        <v>88</v>
      </c>
    </row>
    <row r="1607" spans="1:8" ht="16.5" customHeight="1" x14ac:dyDescent="0.25">
      <c r="A1607" s="27">
        <v>45842</v>
      </c>
      <c r="B1607" s="80">
        <v>2025</v>
      </c>
      <c r="C1607" s="80">
        <v>7</v>
      </c>
      <c r="D1607" s="30" t="s">
        <v>56</v>
      </c>
      <c r="E1607" s="30" t="s">
        <v>50</v>
      </c>
      <c r="F1607" s="30" t="s">
        <v>51</v>
      </c>
      <c r="G1607" s="33">
        <v>1.35575</v>
      </c>
      <c r="H1607" s="83" t="s">
        <v>88</v>
      </c>
    </row>
    <row r="1608" spans="1:8" ht="16.5" customHeight="1" x14ac:dyDescent="0.25">
      <c r="A1608" s="27">
        <v>45842</v>
      </c>
      <c r="B1608" s="80">
        <v>2025</v>
      </c>
      <c r="C1608" s="80">
        <v>7</v>
      </c>
      <c r="D1608" s="30" t="s">
        <v>56</v>
      </c>
      <c r="E1608" s="30" t="s">
        <v>50</v>
      </c>
      <c r="F1608" s="30" t="s">
        <v>58</v>
      </c>
      <c r="G1608" s="33">
        <v>6.0266864480000004</v>
      </c>
      <c r="H1608" s="83" t="s">
        <v>88</v>
      </c>
    </row>
    <row r="1609" spans="1:8" ht="16.5" customHeight="1" x14ac:dyDescent="0.25">
      <c r="A1609" s="27">
        <v>45842</v>
      </c>
      <c r="B1609" s="80">
        <v>2025</v>
      </c>
      <c r="C1609" s="80">
        <v>7</v>
      </c>
      <c r="D1609" s="30" t="s">
        <v>56</v>
      </c>
      <c r="E1609" s="30" t="s">
        <v>54</v>
      </c>
      <c r="F1609" s="30" t="s">
        <v>43</v>
      </c>
      <c r="G1609" s="33">
        <v>1.395</v>
      </c>
      <c r="H1609" s="83" t="s">
        <v>88</v>
      </c>
    </row>
    <row r="1610" spans="1:8" ht="16.5" customHeight="1" x14ac:dyDescent="0.25">
      <c r="A1610" s="27">
        <v>45842</v>
      </c>
      <c r="B1610" s="80">
        <v>2025</v>
      </c>
      <c r="C1610" s="80">
        <v>7</v>
      </c>
      <c r="D1610" s="30" t="s">
        <v>56</v>
      </c>
      <c r="E1610" s="30" t="s">
        <v>64</v>
      </c>
      <c r="F1610" s="30" t="s">
        <v>55</v>
      </c>
      <c r="G1610" s="33">
        <v>1.1599999999999999</v>
      </c>
      <c r="H1610" s="83" t="s">
        <v>89</v>
      </c>
    </row>
    <row r="1611" spans="1:8" ht="16.5" customHeight="1" x14ac:dyDescent="0.25">
      <c r="A1611" s="27">
        <v>45842</v>
      </c>
      <c r="B1611" s="80">
        <v>2025</v>
      </c>
      <c r="C1611" s="80">
        <v>7</v>
      </c>
      <c r="D1611" s="30" t="s">
        <v>56</v>
      </c>
      <c r="E1611" s="30" t="s">
        <v>66</v>
      </c>
      <c r="F1611" s="30" t="s">
        <v>43</v>
      </c>
      <c r="G1611" s="33">
        <v>4.2450000000000001</v>
      </c>
      <c r="H1611" s="83" t="s">
        <v>89</v>
      </c>
    </row>
    <row r="1612" spans="1:8" ht="16.5" customHeight="1" x14ac:dyDescent="0.25">
      <c r="A1612" s="27">
        <v>45842</v>
      </c>
      <c r="B1612" s="80">
        <v>2025</v>
      </c>
      <c r="C1612" s="80">
        <v>7</v>
      </c>
      <c r="D1612" s="30" t="s">
        <v>56</v>
      </c>
      <c r="E1612" s="30" t="s">
        <v>68</v>
      </c>
      <c r="F1612" s="30" t="s">
        <v>43</v>
      </c>
      <c r="G1612" s="33">
        <v>1.5469999999999999</v>
      </c>
      <c r="H1612" s="83" t="s">
        <v>89</v>
      </c>
    </row>
    <row r="1613" spans="1:8" ht="16.5" customHeight="1" x14ac:dyDescent="0.25">
      <c r="A1613" s="27">
        <v>45842</v>
      </c>
      <c r="B1613" s="80">
        <v>2025</v>
      </c>
      <c r="C1613" s="80">
        <v>7</v>
      </c>
      <c r="D1613" s="30" t="s">
        <v>56</v>
      </c>
      <c r="E1613" s="30" t="s">
        <v>71</v>
      </c>
      <c r="F1613" s="30" t="s">
        <v>43</v>
      </c>
      <c r="G1613" s="33">
        <v>59.8628</v>
      </c>
      <c r="H1613" s="83" t="s">
        <v>89</v>
      </c>
    </row>
    <row r="1614" spans="1:8" ht="16.5" customHeight="1" x14ac:dyDescent="0.25">
      <c r="A1614" s="27">
        <v>45842</v>
      </c>
      <c r="B1614" s="80">
        <v>2025</v>
      </c>
      <c r="C1614" s="80">
        <v>7</v>
      </c>
      <c r="D1614" s="30" t="s">
        <v>56</v>
      </c>
      <c r="E1614" s="30" t="s">
        <v>75</v>
      </c>
      <c r="F1614" s="30" t="s">
        <v>43</v>
      </c>
      <c r="G1614" s="33">
        <v>2.7928237500000002</v>
      </c>
      <c r="H1614" s="83" t="s">
        <v>48</v>
      </c>
    </row>
    <row r="1615" spans="1:8" ht="16.5" customHeight="1" x14ac:dyDescent="0.25">
      <c r="A1615" s="27">
        <v>45843</v>
      </c>
      <c r="B1615" s="80">
        <v>2025</v>
      </c>
      <c r="C1615" s="80">
        <v>7</v>
      </c>
      <c r="D1615" s="30" t="s">
        <v>56</v>
      </c>
      <c r="E1615" s="30" t="s">
        <v>50</v>
      </c>
      <c r="F1615" s="30" t="s">
        <v>43</v>
      </c>
      <c r="G1615" s="33">
        <v>2.0612499999999998</v>
      </c>
      <c r="H1615" s="83" t="s">
        <v>88</v>
      </c>
    </row>
    <row r="1616" spans="1:8" ht="16.5" customHeight="1" x14ac:dyDescent="0.25">
      <c r="A1616" s="27">
        <v>45843</v>
      </c>
      <c r="B1616" s="80">
        <v>2025</v>
      </c>
      <c r="C1616" s="80">
        <v>7</v>
      </c>
      <c r="D1616" s="30" t="s">
        <v>56</v>
      </c>
      <c r="E1616" s="30" t="s">
        <v>50</v>
      </c>
      <c r="F1616" s="30" t="s">
        <v>51</v>
      </c>
      <c r="G1616" s="33">
        <v>1.00725</v>
      </c>
      <c r="H1616" s="83" t="s">
        <v>88</v>
      </c>
    </row>
    <row r="1617" spans="1:8" ht="16.5" customHeight="1" x14ac:dyDescent="0.25">
      <c r="A1617" s="27">
        <v>45843</v>
      </c>
      <c r="B1617" s="80">
        <v>2025</v>
      </c>
      <c r="C1617" s="80">
        <v>7</v>
      </c>
      <c r="D1617" s="30" t="s">
        <v>56</v>
      </c>
      <c r="E1617" s="30" t="s">
        <v>50</v>
      </c>
      <c r="F1617" s="30" t="s">
        <v>58</v>
      </c>
      <c r="G1617" s="33">
        <v>0.11083999999999999</v>
      </c>
      <c r="H1617" s="83" t="s">
        <v>88</v>
      </c>
    </row>
    <row r="1618" spans="1:8" ht="16.5" customHeight="1" x14ac:dyDescent="0.25">
      <c r="A1618" s="27">
        <v>45845</v>
      </c>
      <c r="B1618" s="80">
        <v>2025</v>
      </c>
      <c r="C1618" s="80">
        <v>7</v>
      </c>
      <c r="D1618" s="30" t="s">
        <v>56</v>
      </c>
      <c r="E1618" s="30" t="s">
        <v>38</v>
      </c>
      <c r="F1618" s="30" t="s">
        <v>43</v>
      </c>
      <c r="G1618" s="33">
        <v>1.1559999999999999</v>
      </c>
      <c r="H1618" s="83" t="s">
        <v>88</v>
      </c>
    </row>
    <row r="1619" spans="1:8" ht="16.5" customHeight="1" x14ac:dyDescent="0.25">
      <c r="A1619" s="27">
        <v>45845</v>
      </c>
      <c r="B1619" s="80">
        <v>2025</v>
      </c>
      <c r="C1619" s="80">
        <v>7</v>
      </c>
      <c r="D1619" s="30" t="s">
        <v>56</v>
      </c>
      <c r="E1619" s="30" t="s">
        <v>46</v>
      </c>
      <c r="F1619" s="30" t="s">
        <v>58</v>
      </c>
      <c r="G1619" s="33">
        <v>0.71599999999999997</v>
      </c>
      <c r="H1619" s="83" t="s">
        <v>88</v>
      </c>
    </row>
    <row r="1620" spans="1:8" ht="16.5" customHeight="1" x14ac:dyDescent="0.25">
      <c r="A1620" s="27">
        <v>45845</v>
      </c>
      <c r="B1620" s="80">
        <v>2025</v>
      </c>
      <c r="C1620" s="80">
        <v>7</v>
      </c>
      <c r="D1620" s="30" t="s">
        <v>56</v>
      </c>
      <c r="E1620" s="30" t="s">
        <v>50</v>
      </c>
      <c r="F1620" s="30" t="s">
        <v>43</v>
      </c>
      <c r="G1620" s="33">
        <v>31.812306800000002</v>
      </c>
      <c r="H1620" s="83" t="s">
        <v>88</v>
      </c>
    </row>
    <row r="1621" spans="1:8" ht="16.5" customHeight="1" x14ac:dyDescent="0.25">
      <c r="A1621" s="27">
        <v>45845</v>
      </c>
      <c r="B1621" s="80">
        <v>2025</v>
      </c>
      <c r="C1621" s="80">
        <v>7</v>
      </c>
      <c r="D1621" s="30" t="s">
        <v>56</v>
      </c>
      <c r="E1621" s="30" t="s">
        <v>50</v>
      </c>
      <c r="F1621" s="30" t="s">
        <v>47</v>
      </c>
      <c r="G1621" s="33">
        <v>1.8042</v>
      </c>
      <c r="H1621" s="83" t="s">
        <v>88</v>
      </c>
    </row>
    <row r="1622" spans="1:8" ht="16.5" customHeight="1" x14ac:dyDescent="0.25">
      <c r="A1622" s="27">
        <v>45845</v>
      </c>
      <c r="B1622" s="80">
        <v>2025</v>
      </c>
      <c r="C1622" s="80">
        <v>7</v>
      </c>
      <c r="D1622" s="30" t="s">
        <v>56</v>
      </c>
      <c r="E1622" s="30" t="s">
        <v>50</v>
      </c>
      <c r="F1622" s="30" t="s">
        <v>55</v>
      </c>
      <c r="G1622" s="33">
        <v>0.17849999999999999</v>
      </c>
      <c r="H1622" s="83" t="s">
        <v>88</v>
      </c>
    </row>
    <row r="1623" spans="1:8" ht="16.5" customHeight="1" x14ac:dyDescent="0.25">
      <c r="A1623" s="27">
        <v>45845</v>
      </c>
      <c r="B1623" s="80">
        <v>2025</v>
      </c>
      <c r="C1623" s="80">
        <v>7</v>
      </c>
      <c r="D1623" s="30" t="s">
        <v>56</v>
      </c>
      <c r="E1623" s="30" t="s">
        <v>50</v>
      </c>
      <c r="F1623" s="30" t="s">
        <v>58</v>
      </c>
      <c r="G1623" s="33">
        <v>7.1511008</v>
      </c>
      <c r="H1623" s="83" t="s">
        <v>88</v>
      </c>
    </row>
    <row r="1624" spans="1:8" ht="16.5" customHeight="1" x14ac:dyDescent="0.25">
      <c r="A1624" s="27">
        <v>45845</v>
      </c>
      <c r="B1624" s="80">
        <v>2025</v>
      </c>
      <c r="C1624" s="80">
        <v>7</v>
      </c>
      <c r="D1624" s="30" t="s">
        <v>56</v>
      </c>
      <c r="E1624" s="30" t="s">
        <v>54</v>
      </c>
      <c r="F1624" s="30" t="s">
        <v>43</v>
      </c>
      <c r="G1624" s="33">
        <v>5.7525000000000004</v>
      </c>
      <c r="H1624" s="83" t="s">
        <v>88</v>
      </c>
    </row>
    <row r="1625" spans="1:8" ht="16.5" customHeight="1" x14ac:dyDescent="0.25">
      <c r="A1625" s="27">
        <v>45845</v>
      </c>
      <c r="B1625" s="80">
        <v>2025</v>
      </c>
      <c r="C1625" s="80">
        <v>7</v>
      </c>
      <c r="D1625" s="30" t="s">
        <v>56</v>
      </c>
      <c r="E1625" s="30" t="s">
        <v>54</v>
      </c>
      <c r="F1625" s="30" t="s">
        <v>58</v>
      </c>
      <c r="G1625" s="33">
        <v>0.1138</v>
      </c>
      <c r="H1625" s="83" t="s">
        <v>88</v>
      </c>
    </row>
    <row r="1626" spans="1:8" ht="16.5" customHeight="1" x14ac:dyDescent="0.25">
      <c r="A1626" s="27">
        <v>45845</v>
      </c>
      <c r="B1626" s="80">
        <v>2025</v>
      </c>
      <c r="C1626" s="80">
        <v>7</v>
      </c>
      <c r="D1626" s="30" t="s">
        <v>56</v>
      </c>
      <c r="E1626" s="30" t="s">
        <v>66</v>
      </c>
      <c r="F1626" s="30" t="s">
        <v>43</v>
      </c>
      <c r="G1626" s="33">
        <v>96.445700000000002</v>
      </c>
      <c r="H1626" s="83" t="s">
        <v>89</v>
      </c>
    </row>
    <row r="1627" spans="1:8" ht="16.5" customHeight="1" x14ac:dyDescent="0.25">
      <c r="A1627" s="27">
        <v>45845</v>
      </c>
      <c r="B1627" s="80">
        <v>2025</v>
      </c>
      <c r="C1627" s="80">
        <v>7</v>
      </c>
      <c r="D1627" s="30" t="s">
        <v>56</v>
      </c>
      <c r="E1627" s="30" t="s">
        <v>68</v>
      </c>
      <c r="F1627" s="30" t="s">
        <v>43</v>
      </c>
      <c r="G1627" s="33">
        <v>10.803750000000001</v>
      </c>
      <c r="H1627" s="83" t="s">
        <v>89</v>
      </c>
    </row>
    <row r="1628" spans="1:8" ht="16.5" customHeight="1" x14ac:dyDescent="0.25">
      <c r="A1628" s="27">
        <v>45846</v>
      </c>
      <c r="B1628" s="80">
        <v>2025</v>
      </c>
      <c r="C1628" s="80">
        <v>7</v>
      </c>
      <c r="D1628" s="30" t="s">
        <v>56</v>
      </c>
      <c r="E1628" s="30" t="s">
        <v>38</v>
      </c>
      <c r="F1628" s="30" t="s">
        <v>43</v>
      </c>
      <c r="G1628" s="33">
        <v>3.5249999999999999</v>
      </c>
      <c r="H1628" s="83" t="s">
        <v>88</v>
      </c>
    </row>
    <row r="1629" spans="1:8" ht="16.5" customHeight="1" x14ac:dyDescent="0.25">
      <c r="A1629" s="27">
        <v>45846</v>
      </c>
      <c r="B1629" s="80">
        <v>2025</v>
      </c>
      <c r="C1629" s="80">
        <v>7</v>
      </c>
      <c r="D1629" s="30" t="s">
        <v>56</v>
      </c>
      <c r="E1629" s="30" t="s">
        <v>46</v>
      </c>
      <c r="F1629" s="30" t="s">
        <v>47</v>
      </c>
      <c r="G1629" s="33">
        <v>0.20669999999999999</v>
      </c>
      <c r="H1629" s="83" t="s">
        <v>88</v>
      </c>
    </row>
    <row r="1630" spans="1:8" ht="16.5" customHeight="1" x14ac:dyDescent="0.25">
      <c r="A1630" s="27">
        <v>45846</v>
      </c>
      <c r="B1630" s="80">
        <v>2025</v>
      </c>
      <c r="C1630" s="80">
        <v>7</v>
      </c>
      <c r="D1630" s="30" t="s">
        <v>56</v>
      </c>
      <c r="E1630" s="30" t="s">
        <v>46</v>
      </c>
      <c r="F1630" s="30" t="s">
        <v>51</v>
      </c>
      <c r="G1630" s="33">
        <v>0.96275999999999995</v>
      </c>
      <c r="H1630" s="83" t="s">
        <v>88</v>
      </c>
    </row>
    <row r="1631" spans="1:8" ht="16.5" customHeight="1" x14ac:dyDescent="0.25">
      <c r="A1631" s="27">
        <v>45846</v>
      </c>
      <c r="B1631" s="80">
        <v>2025</v>
      </c>
      <c r="C1631" s="80">
        <v>7</v>
      </c>
      <c r="D1631" s="30" t="s">
        <v>56</v>
      </c>
      <c r="E1631" s="30" t="s">
        <v>46</v>
      </c>
      <c r="F1631" s="30" t="s">
        <v>58</v>
      </c>
      <c r="G1631" s="33">
        <v>0.132129</v>
      </c>
      <c r="H1631" s="83" t="s">
        <v>88</v>
      </c>
    </row>
    <row r="1632" spans="1:8" ht="16.5" customHeight="1" x14ac:dyDescent="0.25">
      <c r="A1632" s="27">
        <v>45846</v>
      </c>
      <c r="B1632" s="80">
        <v>2025</v>
      </c>
      <c r="C1632" s="80">
        <v>7</v>
      </c>
      <c r="D1632" s="30" t="s">
        <v>56</v>
      </c>
      <c r="E1632" s="30" t="s">
        <v>50</v>
      </c>
      <c r="F1632" s="30" t="s">
        <v>39</v>
      </c>
      <c r="G1632" s="33">
        <v>6.4566809999999997</v>
      </c>
      <c r="H1632" s="83" t="s">
        <v>88</v>
      </c>
    </row>
    <row r="1633" spans="1:8" ht="16.5" customHeight="1" x14ac:dyDescent="0.25">
      <c r="A1633" s="27">
        <v>45846</v>
      </c>
      <c r="B1633" s="80">
        <v>2025</v>
      </c>
      <c r="C1633" s="80">
        <v>7</v>
      </c>
      <c r="D1633" s="30" t="s">
        <v>56</v>
      </c>
      <c r="E1633" s="30" t="s">
        <v>50</v>
      </c>
      <c r="F1633" s="30" t="s">
        <v>43</v>
      </c>
      <c r="G1633" s="33">
        <v>1.470793375</v>
      </c>
      <c r="H1633" s="83" t="s">
        <v>88</v>
      </c>
    </row>
    <row r="1634" spans="1:8" ht="16.5" customHeight="1" x14ac:dyDescent="0.25">
      <c r="A1634" s="27">
        <v>45846</v>
      </c>
      <c r="B1634" s="80">
        <v>2025</v>
      </c>
      <c r="C1634" s="80">
        <v>7</v>
      </c>
      <c r="D1634" s="30" t="s">
        <v>56</v>
      </c>
      <c r="E1634" s="30" t="s">
        <v>54</v>
      </c>
      <c r="F1634" s="30" t="s">
        <v>43</v>
      </c>
      <c r="G1634" s="33">
        <v>4.2393999999999998</v>
      </c>
      <c r="H1634" s="83" t="s">
        <v>88</v>
      </c>
    </row>
    <row r="1635" spans="1:8" ht="16.5" customHeight="1" x14ac:dyDescent="0.25">
      <c r="A1635" s="27">
        <v>45846</v>
      </c>
      <c r="B1635" s="80">
        <v>2025</v>
      </c>
      <c r="C1635" s="80">
        <v>7</v>
      </c>
      <c r="D1635" s="30" t="s">
        <v>56</v>
      </c>
      <c r="E1635" s="30" t="s">
        <v>61</v>
      </c>
      <c r="F1635" s="30" t="s">
        <v>43</v>
      </c>
      <c r="G1635" s="33">
        <v>2.8620000000000001</v>
      </c>
      <c r="H1635" s="83" t="s">
        <v>89</v>
      </c>
    </row>
    <row r="1636" spans="1:8" ht="16.5" customHeight="1" x14ac:dyDescent="0.25">
      <c r="A1636" s="27">
        <v>45846</v>
      </c>
      <c r="B1636" s="80">
        <v>2025</v>
      </c>
      <c r="C1636" s="80">
        <v>7</v>
      </c>
      <c r="D1636" s="30" t="s">
        <v>56</v>
      </c>
      <c r="E1636" s="30" t="s">
        <v>61</v>
      </c>
      <c r="F1636" s="30" t="s">
        <v>55</v>
      </c>
      <c r="G1636" s="33">
        <v>3.05</v>
      </c>
      <c r="H1636" s="83" t="s">
        <v>89</v>
      </c>
    </row>
    <row r="1637" spans="1:8" ht="16.5" customHeight="1" x14ac:dyDescent="0.25">
      <c r="A1637" s="27">
        <v>45846</v>
      </c>
      <c r="B1637" s="80">
        <v>2025</v>
      </c>
      <c r="C1637" s="80">
        <v>7</v>
      </c>
      <c r="D1637" s="30" t="s">
        <v>56</v>
      </c>
      <c r="E1637" s="30" t="s">
        <v>66</v>
      </c>
      <c r="F1637" s="30" t="s">
        <v>43</v>
      </c>
      <c r="G1637" s="33">
        <v>1.1174999999999999</v>
      </c>
      <c r="H1637" s="83" t="s">
        <v>89</v>
      </c>
    </row>
    <row r="1638" spans="1:8" ht="16.5" customHeight="1" x14ac:dyDescent="0.25">
      <c r="A1638" s="27">
        <v>45846</v>
      </c>
      <c r="B1638" s="80">
        <v>2025</v>
      </c>
      <c r="C1638" s="80">
        <v>7</v>
      </c>
      <c r="D1638" s="30" t="s">
        <v>56</v>
      </c>
      <c r="E1638" s="30" t="s">
        <v>68</v>
      </c>
      <c r="F1638" s="30" t="s">
        <v>43</v>
      </c>
      <c r="G1638" s="33">
        <v>4.3360000000000003</v>
      </c>
      <c r="H1638" s="83" t="s">
        <v>89</v>
      </c>
    </row>
    <row r="1639" spans="1:8" ht="16.5" customHeight="1" x14ac:dyDescent="0.25">
      <c r="A1639" s="27">
        <v>45846</v>
      </c>
      <c r="B1639" s="80">
        <v>2025</v>
      </c>
      <c r="C1639" s="80">
        <v>7</v>
      </c>
      <c r="D1639" s="30" t="s">
        <v>56</v>
      </c>
      <c r="E1639" s="30" t="s">
        <v>75</v>
      </c>
      <c r="F1639" s="30" t="s">
        <v>43</v>
      </c>
      <c r="G1639" s="33">
        <v>3.1198450000000002</v>
      </c>
      <c r="H1639" s="83" t="s">
        <v>48</v>
      </c>
    </row>
    <row r="1640" spans="1:8" ht="16.5" customHeight="1" x14ac:dyDescent="0.25">
      <c r="A1640" s="27">
        <v>45847</v>
      </c>
      <c r="B1640" s="80">
        <v>2025</v>
      </c>
      <c r="C1640" s="80">
        <v>7</v>
      </c>
      <c r="D1640" s="30" t="s">
        <v>56</v>
      </c>
      <c r="E1640" s="30" t="s">
        <v>38</v>
      </c>
      <c r="F1640" s="30" t="s">
        <v>43</v>
      </c>
      <c r="G1640" s="33">
        <v>6.2869999999999999</v>
      </c>
      <c r="H1640" s="83" t="s">
        <v>88</v>
      </c>
    </row>
    <row r="1641" spans="1:8" ht="16.5" customHeight="1" x14ac:dyDescent="0.25">
      <c r="A1641" s="27">
        <v>45847</v>
      </c>
      <c r="B1641" s="80">
        <v>2025</v>
      </c>
      <c r="C1641" s="80">
        <v>7</v>
      </c>
      <c r="D1641" s="30" t="s">
        <v>56</v>
      </c>
      <c r="E1641" s="30" t="s">
        <v>42</v>
      </c>
      <c r="F1641" s="30" t="s">
        <v>43</v>
      </c>
      <c r="G1641" s="33">
        <v>3.1619999999999999</v>
      </c>
      <c r="H1641" s="83" t="s">
        <v>88</v>
      </c>
    </row>
    <row r="1642" spans="1:8" ht="16.5" customHeight="1" x14ac:dyDescent="0.25">
      <c r="A1642" s="27">
        <v>45847</v>
      </c>
      <c r="B1642" s="80">
        <v>2025</v>
      </c>
      <c r="C1642" s="80">
        <v>7</v>
      </c>
      <c r="D1642" s="30" t="s">
        <v>56</v>
      </c>
      <c r="E1642" s="30" t="s">
        <v>42</v>
      </c>
      <c r="F1642" s="30" t="s">
        <v>47</v>
      </c>
      <c r="G1642" s="33">
        <v>3</v>
      </c>
      <c r="H1642" s="83" t="s">
        <v>88</v>
      </c>
    </row>
    <row r="1643" spans="1:8" ht="16.5" customHeight="1" x14ac:dyDescent="0.25">
      <c r="A1643" s="27">
        <v>45847</v>
      </c>
      <c r="B1643" s="80">
        <v>2025</v>
      </c>
      <c r="C1643" s="80">
        <v>7</v>
      </c>
      <c r="D1643" s="30" t="s">
        <v>56</v>
      </c>
      <c r="E1643" s="30" t="s">
        <v>46</v>
      </c>
      <c r="F1643" s="30" t="s">
        <v>43</v>
      </c>
      <c r="G1643" s="33">
        <v>1.1249545999999999</v>
      </c>
      <c r="H1643" s="83" t="s">
        <v>88</v>
      </c>
    </row>
    <row r="1644" spans="1:8" ht="16.5" customHeight="1" x14ac:dyDescent="0.25">
      <c r="A1644" s="27">
        <v>45847</v>
      </c>
      <c r="B1644" s="80">
        <v>2025</v>
      </c>
      <c r="C1644" s="80">
        <v>7</v>
      </c>
      <c r="D1644" s="30" t="s">
        <v>56</v>
      </c>
      <c r="E1644" s="30" t="s">
        <v>46</v>
      </c>
      <c r="F1644" s="30" t="s">
        <v>58</v>
      </c>
      <c r="G1644" s="33">
        <v>0.76459124999999994</v>
      </c>
      <c r="H1644" s="83" t="s">
        <v>88</v>
      </c>
    </row>
    <row r="1645" spans="1:8" ht="16.5" customHeight="1" x14ac:dyDescent="0.25">
      <c r="A1645" s="27">
        <v>45847</v>
      </c>
      <c r="B1645" s="80">
        <v>2025</v>
      </c>
      <c r="C1645" s="80">
        <v>7</v>
      </c>
      <c r="D1645" s="30" t="s">
        <v>56</v>
      </c>
      <c r="E1645" s="30" t="s">
        <v>50</v>
      </c>
      <c r="F1645" s="30" t="s">
        <v>43</v>
      </c>
      <c r="G1645" s="33">
        <v>8.4195881000000004</v>
      </c>
      <c r="H1645" s="83" t="s">
        <v>88</v>
      </c>
    </row>
    <row r="1646" spans="1:8" ht="16.5" customHeight="1" x14ac:dyDescent="0.25">
      <c r="A1646" s="27">
        <v>45847</v>
      </c>
      <c r="B1646" s="80">
        <v>2025</v>
      </c>
      <c r="C1646" s="80">
        <v>7</v>
      </c>
      <c r="D1646" s="30" t="s">
        <v>56</v>
      </c>
      <c r="E1646" s="30" t="s">
        <v>50</v>
      </c>
      <c r="F1646" s="30" t="s">
        <v>47</v>
      </c>
      <c r="G1646" s="33">
        <v>0.62160000000000004</v>
      </c>
      <c r="H1646" s="83" t="s">
        <v>88</v>
      </c>
    </row>
    <row r="1647" spans="1:8" ht="16.5" customHeight="1" x14ac:dyDescent="0.25">
      <c r="A1647" s="27">
        <v>45847</v>
      </c>
      <c r="B1647" s="80">
        <v>2025</v>
      </c>
      <c r="C1647" s="80">
        <v>7</v>
      </c>
      <c r="D1647" s="30" t="s">
        <v>56</v>
      </c>
      <c r="E1647" s="30" t="s">
        <v>54</v>
      </c>
      <c r="F1647" s="30" t="s">
        <v>43</v>
      </c>
      <c r="G1647" s="33">
        <v>4.6100000000000003</v>
      </c>
      <c r="H1647" s="83" t="s">
        <v>88</v>
      </c>
    </row>
    <row r="1648" spans="1:8" ht="16.5" customHeight="1" x14ac:dyDescent="0.25">
      <c r="A1648" s="27">
        <v>45847</v>
      </c>
      <c r="B1648" s="80">
        <v>2025</v>
      </c>
      <c r="C1648" s="80">
        <v>7</v>
      </c>
      <c r="D1648" s="30" t="s">
        <v>56</v>
      </c>
      <c r="E1648" s="30" t="s">
        <v>54</v>
      </c>
      <c r="F1648" s="30" t="s">
        <v>47</v>
      </c>
      <c r="G1648" s="33">
        <v>0.56999999999999995</v>
      </c>
      <c r="H1648" s="83" t="s">
        <v>88</v>
      </c>
    </row>
    <row r="1649" spans="1:8" ht="16.5" customHeight="1" x14ac:dyDescent="0.25">
      <c r="A1649" s="27">
        <v>45847</v>
      </c>
      <c r="B1649" s="80">
        <v>2025</v>
      </c>
      <c r="C1649" s="80">
        <v>7</v>
      </c>
      <c r="D1649" s="30" t="s">
        <v>56</v>
      </c>
      <c r="E1649" s="30" t="s">
        <v>64</v>
      </c>
      <c r="F1649" s="30" t="s">
        <v>43</v>
      </c>
      <c r="G1649" s="33">
        <v>6.35853</v>
      </c>
      <c r="H1649" s="83" t="s">
        <v>89</v>
      </c>
    </row>
    <row r="1650" spans="1:8" ht="16.5" customHeight="1" x14ac:dyDescent="0.25">
      <c r="A1650" s="27">
        <v>45847</v>
      </c>
      <c r="B1650" s="80">
        <v>2025</v>
      </c>
      <c r="C1650" s="80">
        <v>7</v>
      </c>
      <c r="D1650" s="30" t="s">
        <v>56</v>
      </c>
      <c r="E1650" s="30" t="s">
        <v>66</v>
      </c>
      <c r="F1650" s="30" t="s">
        <v>43</v>
      </c>
      <c r="G1650" s="33">
        <v>9.5619999999999994</v>
      </c>
      <c r="H1650" s="83" t="s">
        <v>89</v>
      </c>
    </row>
    <row r="1651" spans="1:8" ht="16.5" customHeight="1" x14ac:dyDescent="0.25">
      <c r="A1651" s="27">
        <v>45847</v>
      </c>
      <c r="B1651" s="80">
        <v>2025</v>
      </c>
      <c r="C1651" s="80">
        <v>7</v>
      </c>
      <c r="D1651" s="30" t="s">
        <v>56</v>
      </c>
      <c r="E1651" s="30" t="s">
        <v>68</v>
      </c>
      <c r="F1651" s="30" t="s">
        <v>43</v>
      </c>
      <c r="G1651" s="33">
        <v>5.5289999999999999</v>
      </c>
      <c r="H1651" s="83" t="s">
        <v>89</v>
      </c>
    </row>
    <row r="1652" spans="1:8" ht="16.5" customHeight="1" x14ac:dyDescent="0.25">
      <c r="A1652" s="27">
        <v>45847</v>
      </c>
      <c r="B1652" s="80">
        <v>2025</v>
      </c>
      <c r="C1652" s="80">
        <v>7</v>
      </c>
      <c r="D1652" s="30" t="s">
        <v>56</v>
      </c>
      <c r="E1652" s="30" t="s">
        <v>71</v>
      </c>
      <c r="F1652" s="30" t="s">
        <v>43</v>
      </c>
      <c r="G1652" s="33">
        <v>5.5369999999999999</v>
      </c>
      <c r="H1652" s="83" t="s">
        <v>89</v>
      </c>
    </row>
    <row r="1653" spans="1:8" ht="16.5" customHeight="1" x14ac:dyDescent="0.25">
      <c r="A1653" s="27">
        <v>45848</v>
      </c>
      <c r="B1653" s="80">
        <v>2025</v>
      </c>
      <c r="C1653" s="80">
        <v>7</v>
      </c>
      <c r="D1653" s="30" t="s">
        <v>56</v>
      </c>
      <c r="E1653" s="30" t="s">
        <v>38</v>
      </c>
      <c r="F1653" s="30" t="s">
        <v>43</v>
      </c>
      <c r="G1653" s="33">
        <v>2.8162500000000001</v>
      </c>
      <c r="H1653" s="83" t="s">
        <v>88</v>
      </c>
    </row>
    <row r="1654" spans="1:8" ht="16.5" customHeight="1" x14ac:dyDescent="0.25">
      <c r="A1654" s="27">
        <v>45848</v>
      </c>
      <c r="B1654" s="80">
        <v>2025</v>
      </c>
      <c r="C1654" s="80">
        <v>7</v>
      </c>
      <c r="D1654" s="30" t="s">
        <v>56</v>
      </c>
      <c r="E1654" s="30" t="s">
        <v>46</v>
      </c>
      <c r="F1654" s="30" t="s">
        <v>43</v>
      </c>
      <c r="G1654" s="33">
        <v>1.1441250000000001</v>
      </c>
      <c r="H1654" s="83" t="s">
        <v>88</v>
      </c>
    </row>
    <row r="1655" spans="1:8" ht="16.5" customHeight="1" x14ac:dyDescent="0.25">
      <c r="A1655" s="27">
        <v>45848</v>
      </c>
      <c r="B1655" s="80">
        <v>2025</v>
      </c>
      <c r="C1655" s="80">
        <v>7</v>
      </c>
      <c r="D1655" s="30" t="s">
        <v>56</v>
      </c>
      <c r="E1655" s="30" t="s">
        <v>46</v>
      </c>
      <c r="F1655" s="30" t="s">
        <v>55</v>
      </c>
      <c r="G1655" s="33">
        <v>1.3912500000000001</v>
      </c>
      <c r="H1655" s="83" t="s">
        <v>88</v>
      </c>
    </row>
    <row r="1656" spans="1:8" ht="16.5" customHeight="1" x14ac:dyDescent="0.25">
      <c r="A1656" s="27">
        <v>45848</v>
      </c>
      <c r="B1656" s="80">
        <v>2025</v>
      </c>
      <c r="C1656" s="80">
        <v>7</v>
      </c>
      <c r="D1656" s="30" t="s">
        <v>56</v>
      </c>
      <c r="E1656" s="30" t="s">
        <v>50</v>
      </c>
      <c r="F1656" s="30" t="s">
        <v>58</v>
      </c>
      <c r="G1656" s="33">
        <v>0.94599599999999995</v>
      </c>
      <c r="H1656" s="83" t="s">
        <v>88</v>
      </c>
    </row>
    <row r="1657" spans="1:8" ht="16.5" customHeight="1" x14ac:dyDescent="0.25">
      <c r="A1657" s="27">
        <v>45848</v>
      </c>
      <c r="B1657" s="80">
        <v>2025</v>
      </c>
      <c r="C1657" s="80">
        <v>7</v>
      </c>
      <c r="D1657" s="30" t="s">
        <v>56</v>
      </c>
      <c r="E1657" s="30" t="s">
        <v>54</v>
      </c>
      <c r="F1657" s="30" t="s">
        <v>43</v>
      </c>
      <c r="G1657" s="33">
        <v>1.145</v>
      </c>
      <c r="H1657" s="83" t="s">
        <v>88</v>
      </c>
    </row>
    <row r="1658" spans="1:8" ht="16.5" customHeight="1" x14ac:dyDescent="0.25">
      <c r="A1658" s="27">
        <v>45848</v>
      </c>
      <c r="B1658" s="80">
        <v>2025</v>
      </c>
      <c r="C1658" s="80">
        <v>7</v>
      </c>
      <c r="D1658" s="30" t="s">
        <v>56</v>
      </c>
      <c r="E1658" s="30" t="s">
        <v>66</v>
      </c>
      <c r="F1658" s="30" t="s">
        <v>43</v>
      </c>
      <c r="G1658" s="33">
        <v>3.49</v>
      </c>
      <c r="H1658" s="83" t="s">
        <v>89</v>
      </c>
    </row>
    <row r="1659" spans="1:8" ht="16.5" customHeight="1" x14ac:dyDescent="0.25">
      <c r="A1659" s="27">
        <v>45848</v>
      </c>
      <c r="B1659" s="80">
        <v>2025</v>
      </c>
      <c r="C1659" s="80">
        <v>7</v>
      </c>
      <c r="D1659" s="30" t="s">
        <v>56</v>
      </c>
      <c r="E1659" s="30" t="s">
        <v>68</v>
      </c>
      <c r="F1659" s="30" t="s">
        <v>55</v>
      </c>
      <c r="G1659" s="33">
        <v>14.775399999999999</v>
      </c>
      <c r="H1659" s="83" t="s">
        <v>89</v>
      </c>
    </row>
    <row r="1660" spans="1:8" ht="16.5" customHeight="1" x14ac:dyDescent="0.25">
      <c r="A1660" s="27">
        <v>45849</v>
      </c>
      <c r="B1660" s="80">
        <v>2025</v>
      </c>
      <c r="C1660" s="80">
        <v>7</v>
      </c>
      <c r="D1660" s="30" t="s">
        <v>56</v>
      </c>
      <c r="E1660" s="30" t="s">
        <v>42</v>
      </c>
      <c r="F1660" s="30" t="s">
        <v>43</v>
      </c>
      <c r="G1660" s="33">
        <v>2.2862279999999999</v>
      </c>
      <c r="H1660" s="83" t="s">
        <v>88</v>
      </c>
    </row>
    <row r="1661" spans="1:8" ht="16.5" customHeight="1" x14ac:dyDescent="0.25">
      <c r="A1661" s="27">
        <v>45849</v>
      </c>
      <c r="B1661" s="80">
        <v>2025</v>
      </c>
      <c r="C1661" s="80">
        <v>7</v>
      </c>
      <c r="D1661" s="30" t="s">
        <v>56</v>
      </c>
      <c r="E1661" s="30" t="s">
        <v>46</v>
      </c>
      <c r="F1661" s="30" t="s">
        <v>43</v>
      </c>
      <c r="G1661" s="33">
        <v>1.640447</v>
      </c>
      <c r="H1661" s="83" t="s">
        <v>88</v>
      </c>
    </row>
    <row r="1662" spans="1:8" ht="16.5" customHeight="1" x14ac:dyDescent="0.25">
      <c r="A1662" s="27">
        <v>45849</v>
      </c>
      <c r="B1662" s="80">
        <v>2025</v>
      </c>
      <c r="C1662" s="80">
        <v>7</v>
      </c>
      <c r="D1662" s="30" t="s">
        <v>56</v>
      </c>
      <c r="E1662" s="30" t="s">
        <v>46</v>
      </c>
      <c r="F1662" s="30" t="s">
        <v>47</v>
      </c>
      <c r="G1662" s="33">
        <v>0.62766999999999995</v>
      </c>
      <c r="H1662" s="83" t="s">
        <v>88</v>
      </c>
    </row>
    <row r="1663" spans="1:8" ht="16.5" customHeight="1" x14ac:dyDescent="0.25">
      <c r="A1663" s="27">
        <v>45849</v>
      </c>
      <c r="B1663" s="80">
        <v>2025</v>
      </c>
      <c r="C1663" s="80">
        <v>7</v>
      </c>
      <c r="D1663" s="30" t="s">
        <v>56</v>
      </c>
      <c r="E1663" s="30" t="s">
        <v>46</v>
      </c>
      <c r="F1663" s="30" t="s">
        <v>58</v>
      </c>
      <c r="G1663" s="33">
        <v>0.57691968000000005</v>
      </c>
      <c r="H1663" s="83" t="s">
        <v>88</v>
      </c>
    </row>
    <row r="1664" spans="1:8" ht="16.5" customHeight="1" x14ac:dyDescent="0.25">
      <c r="A1664" s="27">
        <v>45849</v>
      </c>
      <c r="B1664" s="80">
        <v>2025</v>
      </c>
      <c r="C1664" s="80">
        <v>7</v>
      </c>
      <c r="D1664" s="30" t="s">
        <v>56</v>
      </c>
      <c r="E1664" s="30" t="s">
        <v>50</v>
      </c>
      <c r="F1664" s="30" t="s">
        <v>43</v>
      </c>
      <c r="G1664" s="33">
        <v>9.6488840000000007</v>
      </c>
      <c r="H1664" s="83" t="s">
        <v>88</v>
      </c>
    </row>
    <row r="1665" spans="1:8" ht="16.5" customHeight="1" x14ac:dyDescent="0.25">
      <c r="A1665" s="27">
        <v>45849</v>
      </c>
      <c r="B1665" s="80">
        <v>2025</v>
      </c>
      <c r="C1665" s="80">
        <v>7</v>
      </c>
      <c r="D1665" s="30" t="s">
        <v>56</v>
      </c>
      <c r="E1665" s="30" t="s">
        <v>50</v>
      </c>
      <c r="F1665" s="30" t="s">
        <v>47</v>
      </c>
      <c r="G1665" s="33">
        <v>9.2950000000000005E-2</v>
      </c>
      <c r="H1665" s="83" t="s">
        <v>88</v>
      </c>
    </row>
    <row r="1666" spans="1:8" ht="16.5" customHeight="1" x14ac:dyDescent="0.25">
      <c r="A1666" s="27">
        <v>45849</v>
      </c>
      <c r="B1666" s="80">
        <v>2025</v>
      </c>
      <c r="C1666" s="80">
        <v>7</v>
      </c>
      <c r="D1666" s="30" t="s">
        <v>56</v>
      </c>
      <c r="E1666" s="30" t="s">
        <v>54</v>
      </c>
      <c r="F1666" s="30" t="s">
        <v>43</v>
      </c>
      <c r="G1666" s="33">
        <v>2.407</v>
      </c>
      <c r="H1666" s="83" t="s">
        <v>88</v>
      </c>
    </row>
    <row r="1667" spans="1:8" ht="16.5" customHeight="1" x14ac:dyDescent="0.25">
      <c r="A1667" s="27">
        <v>45849</v>
      </c>
      <c r="B1667" s="80">
        <v>2025</v>
      </c>
      <c r="C1667" s="80">
        <v>7</v>
      </c>
      <c r="D1667" s="30" t="s">
        <v>56</v>
      </c>
      <c r="E1667" s="30" t="s">
        <v>57</v>
      </c>
      <c r="F1667" s="30" t="s">
        <v>39</v>
      </c>
      <c r="G1667" s="33">
        <v>13.282500000000001</v>
      </c>
      <c r="H1667" s="83" t="s">
        <v>89</v>
      </c>
    </row>
    <row r="1668" spans="1:8" ht="16.5" customHeight="1" x14ac:dyDescent="0.25">
      <c r="A1668" s="27">
        <v>45849</v>
      </c>
      <c r="B1668" s="80">
        <v>2025</v>
      </c>
      <c r="C1668" s="80">
        <v>7</v>
      </c>
      <c r="D1668" s="30" t="s">
        <v>56</v>
      </c>
      <c r="E1668" s="30" t="s">
        <v>61</v>
      </c>
      <c r="F1668" s="30" t="s">
        <v>43</v>
      </c>
      <c r="G1668" s="33">
        <v>12.8</v>
      </c>
      <c r="H1668" s="83" t="s">
        <v>89</v>
      </c>
    </row>
    <row r="1669" spans="1:8" ht="16.5" customHeight="1" x14ac:dyDescent="0.25">
      <c r="A1669" s="27">
        <v>45849</v>
      </c>
      <c r="B1669" s="80">
        <v>2025</v>
      </c>
      <c r="C1669" s="80">
        <v>7</v>
      </c>
      <c r="D1669" s="30" t="s">
        <v>56</v>
      </c>
      <c r="E1669" s="30" t="s">
        <v>66</v>
      </c>
      <c r="F1669" s="30" t="s">
        <v>43</v>
      </c>
      <c r="G1669" s="33">
        <v>6.9980000000000002</v>
      </c>
      <c r="H1669" s="83" t="s">
        <v>89</v>
      </c>
    </row>
    <row r="1670" spans="1:8" ht="16.5" customHeight="1" x14ac:dyDescent="0.25">
      <c r="A1670" s="27">
        <v>45849</v>
      </c>
      <c r="B1670" s="80">
        <v>2025</v>
      </c>
      <c r="C1670" s="80">
        <v>7</v>
      </c>
      <c r="D1670" s="30" t="s">
        <v>56</v>
      </c>
      <c r="E1670" s="30" t="s">
        <v>68</v>
      </c>
      <c r="F1670" s="30" t="s">
        <v>43</v>
      </c>
      <c r="G1670" s="33">
        <v>1.3169999999999999</v>
      </c>
      <c r="H1670" s="83" t="s">
        <v>89</v>
      </c>
    </row>
    <row r="1671" spans="1:8" ht="16.5" customHeight="1" x14ac:dyDescent="0.25">
      <c r="A1671" s="27">
        <v>45849</v>
      </c>
      <c r="B1671" s="80">
        <v>2025</v>
      </c>
      <c r="C1671" s="80">
        <v>7</v>
      </c>
      <c r="D1671" s="30" t="s">
        <v>56</v>
      </c>
      <c r="E1671" s="30" t="s">
        <v>71</v>
      </c>
      <c r="F1671" s="30" t="s">
        <v>43</v>
      </c>
      <c r="G1671" s="33">
        <v>6.84375</v>
      </c>
      <c r="H1671" s="83" t="s">
        <v>89</v>
      </c>
    </row>
    <row r="1672" spans="1:8" ht="16.5" customHeight="1" x14ac:dyDescent="0.25">
      <c r="A1672" s="27">
        <v>45849</v>
      </c>
      <c r="B1672" s="80">
        <v>2025</v>
      </c>
      <c r="C1672" s="80">
        <v>7</v>
      </c>
      <c r="D1672" s="30" t="s">
        <v>56</v>
      </c>
      <c r="E1672" s="30" t="s">
        <v>74</v>
      </c>
      <c r="F1672" s="30" t="s">
        <v>43</v>
      </c>
      <c r="G1672" s="33">
        <v>2.6764999999999999</v>
      </c>
      <c r="H1672" s="83" t="s">
        <v>89</v>
      </c>
    </row>
    <row r="1673" spans="1:8" ht="16.5" customHeight="1" x14ac:dyDescent="0.25">
      <c r="A1673" s="27">
        <v>45849</v>
      </c>
      <c r="B1673" s="80">
        <v>2025</v>
      </c>
      <c r="C1673" s="80">
        <v>7</v>
      </c>
      <c r="D1673" s="30" t="s">
        <v>56</v>
      </c>
      <c r="E1673" s="30" t="s">
        <v>74</v>
      </c>
      <c r="F1673" s="30" t="s">
        <v>55</v>
      </c>
      <c r="G1673" s="33">
        <v>59.221007999999998</v>
      </c>
      <c r="H1673" s="83" t="s">
        <v>89</v>
      </c>
    </row>
    <row r="1674" spans="1:8" ht="16.5" customHeight="1" x14ac:dyDescent="0.25">
      <c r="A1674" s="27">
        <v>45852</v>
      </c>
      <c r="B1674" s="80">
        <v>2025</v>
      </c>
      <c r="C1674" s="80">
        <v>7</v>
      </c>
      <c r="D1674" s="30" t="s">
        <v>56</v>
      </c>
      <c r="E1674" s="30" t="s">
        <v>50</v>
      </c>
      <c r="F1674" s="30" t="s">
        <v>47</v>
      </c>
      <c r="G1674" s="33">
        <v>0.62160000000000004</v>
      </c>
      <c r="H1674" s="83" t="s">
        <v>88</v>
      </c>
    </row>
    <row r="1675" spans="1:8" ht="16.5" customHeight="1" x14ac:dyDescent="0.25">
      <c r="A1675" s="27">
        <v>45853</v>
      </c>
      <c r="B1675" s="80">
        <v>2025</v>
      </c>
      <c r="C1675" s="80">
        <v>7</v>
      </c>
      <c r="D1675" s="30" t="s">
        <v>56</v>
      </c>
      <c r="E1675" s="30" t="s">
        <v>38</v>
      </c>
      <c r="F1675" s="30" t="s">
        <v>43</v>
      </c>
      <c r="G1675" s="33">
        <v>2.3100260000000001</v>
      </c>
      <c r="H1675" s="83" t="s">
        <v>88</v>
      </c>
    </row>
    <row r="1676" spans="1:8" ht="16.5" customHeight="1" x14ac:dyDescent="0.25">
      <c r="A1676" s="27">
        <v>45853</v>
      </c>
      <c r="B1676" s="80">
        <v>2025</v>
      </c>
      <c r="C1676" s="80">
        <v>7</v>
      </c>
      <c r="D1676" s="30" t="s">
        <v>56</v>
      </c>
      <c r="E1676" s="30" t="s">
        <v>38</v>
      </c>
      <c r="F1676" s="30" t="s">
        <v>58</v>
      </c>
      <c r="G1676" s="33">
        <v>0.50152479999999999</v>
      </c>
      <c r="H1676" s="83" t="s">
        <v>88</v>
      </c>
    </row>
    <row r="1677" spans="1:8" ht="16.5" customHeight="1" x14ac:dyDescent="0.25">
      <c r="A1677" s="27">
        <v>45853</v>
      </c>
      <c r="B1677" s="80">
        <v>2025</v>
      </c>
      <c r="C1677" s="80">
        <v>7</v>
      </c>
      <c r="D1677" s="30" t="s">
        <v>56</v>
      </c>
      <c r="E1677" s="30" t="s">
        <v>42</v>
      </c>
      <c r="F1677" s="30" t="s">
        <v>43</v>
      </c>
      <c r="G1677" s="33">
        <v>44.343000000000004</v>
      </c>
      <c r="H1677" s="83" t="s">
        <v>88</v>
      </c>
    </row>
    <row r="1678" spans="1:8" ht="16.5" customHeight="1" x14ac:dyDescent="0.25">
      <c r="A1678" s="27">
        <v>45853</v>
      </c>
      <c r="B1678" s="80">
        <v>2025</v>
      </c>
      <c r="C1678" s="80">
        <v>7</v>
      </c>
      <c r="D1678" s="30" t="s">
        <v>56</v>
      </c>
      <c r="E1678" s="30" t="s">
        <v>42</v>
      </c>
      <c r="F1678" s="30" t="s">
        <v>58</v>
      </c>
      <c r="G1678" s="33">
        <v>0.43063000000000001</v>
      </c>
      <c r="H1678" s="83" t="s">
        <v>88</v>
      </c>
    </row>
    <row r="1679" spans="1:8" ht="16.5" customHeight="1" x14ac:dyDescent="0.25">
      <c r="A1679" s="27">
        <v>45853</v>
      </c>
      <c r="B1679" s="80">
        <v>2025</v>
      </c>
      <c r="C1679" s="80">
        <v>7</v>
      </c>
      <c r="D1679" s="30" t="s">
        <v>56</v>
      </c>
      <c r="E1679" s="30" t="s">
        <v>46</v>
      </c>
      <c r="F1679" s="30" t="s">
        <v>43</v>
      </c>
      <c r="G1679" s="33">
        <v>2.8371786000000001</v>
      </c>
      <c r="H1679" s="83" t="s">
        <v>88</v>
      </c>
    </row>
    <row r="1680" spans="1:8" ht="16.5" customHeight="1" x14ac:dyDescent="0.25">
      <c r="A1680" s="27">
        <v>45853</v>
      </c>
      <c r="B1680" s="80">
        <v>2025</v>
      </c>
      <c r="C1680" s="80">
        <v>7</v>
      </c>
      <c r="D1680" s="30" t="s">
        <v>56</v>
      </c>
      <c r="E1680" s="30" t="s">
        <v>46</v>
      </c>
      <c r="F1680" s="30" t="s">
        <v>55</v>
      </c>
      <c r="G1680" s="33">
        <v>0.4375</v>
      </c>
      <c r="H1680" s="83" t="s">
        <v>88</v>
      </c>
    </row>
    <row r="1681" spans="1:8" ht="16.5" customHeight="1" x14ac:dyDescent="0.25">
      <c r="A1681" s="27">
        <v>45853</v>
      </c>
      <c r="B1681" s="80">
        <v>2025</v>
      </c>
      <c r="C1681" s="80">
        <v>7</v>
      </c>
      <c r="D1681" s="30" t="s">
        <v>56</v>
      </c>
      <c r="E1681" s="30" t="s">
        <v>46</v>
      </c>
      <c r="F1681" s="30" t="s">
        <v>58</v>
      </c>
      <c r="G1681" s="33">
        <v>0.61167300000000002</v>
      </c>
      <c r="H1681" s="83" t="s">
        <v>88</v>
      </c>
    </row>
    <row r="1682" spans="1:8" ht="16.5" customHeight="1" x14ac:dyDescent="0.25">
      <c r="A1682" s="27">
        <v>45853</v>
      </c>
      <c r="B1682" s="80">
        <v>2025</v>
      </c>
      <c r="C1682" s="80">
        <v>7</v>
      </c>
      <c r="D1682" s="30" t="s">
        <v>56</v>
      </c>
      <c r="E1682" s="30" t="s">
        <v>50</v>
      </c>
      <c r="F1682" s="30" t="s">
        <v>43</v>
      </c>
      <c r="G1682" s="33">
        <v>28.994008999999998</v>
      </c>
      <c r="H1682" s="83" t="s">
        <v>88</v>
      </c>
    </row>
    <row r="1683" spans="1:8" ht="16.5" customHeight="1" x14ac:dyDescent="0.25">
      <c r="A1683" s="27">
        <v>45853</v>
      </c>
      <c r="B1683" s="80">
        <v>2025</v>
      </c>
      <c r="C1683" s="80">
        <v>7</v>
      </c>
      <c r="D1683" s="30" t="s">
        <v>56</v>
      </c>
      <c r="E1683" s="30" t="s">
        <v>50</v>
      </c>
      <c r="F1683" s="30" t="s">
        <v>47</v>
      </c>
      <c r="G1683" s="33">
        <v>0.14025000000000001</v>
      </c>
      <c r="H1683" s="83" t="s">
        <v>88</v>
      </c>
    </row>
    <row r="1684" spans="1:8" ht="16.5" customHeight="1" x14ac:dyDescent="0.25">
      <c r="A1684" s="27">
        <v>45853</v>
      </c>
      <c r="B1684" s="80">
        <v>2025</v>
      </c>
      <c r="C1684" s="80">
        <v>7</v>
      </c>
      <c r="D1684" s="30" t="s">
        <v>56</v>
      </c>
      <c r="E1684" s="30" t="s">
        <v>50</v>
      </c>
      <c r="F1684" s="30" t="s">
        <v>55</v>
      </c>
      <c r="G1684" s="33">
        <v>0.17849999999999999</v>
      </c>
      <c r="H1684" s="83" t="s">
        <v>88</v>
      </c>
    </row>
    <row r="1685" spans="1:8" ht="16.5" customHeight="1" x14ac:dyDescent="0.25">
      <c r="A1685" s="27">
        <v>45853</v>
      </c>
      <c r="B1685" s="80">
        <v>2025</v>
      </c>
      <c r="C1685" s="80">
        <v>7</v>
      </c>
      <c r="D1685" s="30" t="s">
        <v>56</v>
      </c>
      <c r="E1685" s="30" t="s">
        <v>50</v>
      </c>
      <c r="F1685" s="30" t="s">
        <v>58</v>
      </c>
      <c r="G1685" s="33">
        <v>0.19192999999999999</v>
      </c>
      <c r="H1685" s="83" t="s">
        <v>88</v>
      </c>
    </row>
    <row r="1686" spans="1:8" ht="16.5" customHeight="1" x14ac:dyDescent="0.25">
      <c r="A1686" s="27">
        <v>45853</v>
      </c>
      <c r="B1686" s="80">
        <v>2025</v>
      </c>
      <c r="C1686" s="80">
        <v>7</v>
      </c>
      <c r="D1686" s="30" t="s">
        <v>56</v>
      </c>
      <c r="E1686" s="30" t="s">
        <v>54</v>
      </c>
      <c r="F1686" s="30" t="s">
        <v>43</v>
      </c>
      <c r="G1686" s="33">
        <v>5.3020100000000001</v>
      </c>
      <c r="H1686" s="83" t="s">
        <v>88</v>
      </c>
    </row>
    <row r="1687" spans="1:8" ht="16.5" customHeight="1" x14ac:dyDescent="0.25">
      <c r="A1687" s="27">
        <v>45853</v>
      </c>
      <c r="B1687" s="80">
        <v>2025</v>
      </c>
      <c r="C1687" s="80">
        <v>7</v>
      </c>
      <c r="D1687" s="30" t="s">
        <v>56</v>
      </c>
      <c r="E1687" s="30" t="s">
        <v>61</v>
      </c>
      <c r="F1687" s="30" t="s">
        <v>51</v>
      </c>
      <c r="G1687" s="33">
        <v>0.66</v>
      </c>
      <c r="H1687" s="83" t="s">
        <v>89</v>
      </c>
    </row>
    <row r="1688" spans="1:8" ht="16.5" customHeight="1" x14ac:dyDescent="0.25">
      <c r="A1688" s="27">
        <v>45853</v>
      </c>
      <c r="B1688" s="80">
        <v>2025</v>
      </c>
      <c r="C1688" s="80">
        <v>7</v>
      </c>
      <c r="D1688" s="30" t="s">
        <v>56</v>
      </c>
      <c r="E1688" s="30" t="s">
        <v>66</v>
      </c>
      <c r="F1688" s="30" t="s">
        <v>43</v>
      </c>
      <c r="G1688" s="33">
        <v>2.0602499999999999</v>
      </c>
      <c r="H1688" s="83" t="s">
        <v>89</v>
      </c>
    </row>
    <row r="1689" spans="1:8" ht="16.5" customHeight="1" x14ac:dyDescent="0.25">
      <c r="A1689" s="27">
        <v>45853</v>
      </c>
      <c r="B1689" s="80">
        <v>2025</v>
      </c>
      <c r="C1689" s="80">
        <v>7</v>
      </c>
      <c r="D1689" s="30" t="s">
        <v>56</v>
      </c>
      <c r="E1689" s="30" t="s">
        <v>68</v>
      </c>
      <c r="F1689" s="30" t="s">
        <v>43</v>
      </c>
      <c r="G1689" s="33">
        <v>0.71699999999999997</v>
      </c>
      <c r="H1689" s="83" t="s">
        <v>89</v>
      </c>
    </row>
    <row r="1690" spans="1:8" ht="16.5" customHeight="1" x14ac:dyDescent="0.25">
      <c r="A1690" s="27">
        <v>45853</v>
      </c>
      <c r="B1690" s="80">
        <v>2025</v>
      </c>
      <c r="C1690" s="80">
        <v>7</v>
      </c>
      <c r="D1690" s="30" t="s">
        <v>56</v>
      </c>
      <c r="E1690" s="30" t="s">
        <v>75</v>
      </c>
      <c r="F1690" s="30" t="s">
        <v>43</v>
      </c>
      <c r="G1690" s="33">
        <v>12.774699999999999</v>
      </c>
      <c r="H1690" s="83" t="s">
        <v>48</v>
      </c>
    </row>
    <row r="1691" spans="1:8" ht="16.5" customHeight="1" x14ac:dyDescent="0.25">
      <c r="A1691" s="27">
        <v>45853</v>
      </c>
      <c r="B1691" s="80">
        <v>2025</v>
      </c>
      <c r="C1691" s="80">
        <v>7</v>
      </c>
      <c r="D1691" s="30" t="s">
        <v>56</v>
      </c>
      <c r="E1691" s="30" t="s">
        <v>76</v>
      </c>
      <c r="F1691" s="30" t="s">
        <v>39</v>
      </c>
      <c r="G1691" s="33">
        <v>1.3284</v>
      </c>
      <c r="H1691" s="83" t="s">
        <v>48</v>
      </c>
    </row>
    <row r="1692" spans="1:8" ht="16.5" customHeight="1" x14ac:dyDescent="0.25">
      <c r="A1692" s="27">
        <v>45854</v>
      </c>
      <c r="B1692" s="80">
        <v>2025</v>
      </c>
      <c r="C1692" s="80">
        <v>7</v>
      </c>
      <c r="D1692" s="30" t="s">
        <v>56</v>
      </c>
      <c r="E1692" s="30" t="s">
        <v>38</v>
      </c>
      <c r="F1692" s="30" t="s">
        <v>43</v>
      </c>
      <c r="G1692" s="33">
        <v>4.7085800000000004</v>
      </c>
      <c r="H1692" s="83" t="s">
        <v>88</v>
      </c>
    </row>
    <row r="1693" spans="1:8" ht="16.5" customHeight="1" x14ac:dyDescent="0.25">
      <c r="A1693" s="27">
        <v>45854</v>
      </c>
      <c r="B1693" s="80">
        <v>2025</v>
      </c>
      <c r="C1693" s="80">
        <v>7</v>
      </c>
      <c r="D1693" s="30" t="s">
        <v>56</v>
      </c>
      <c r="E1693" s="30" t="s">
        <v>42</v>
      </c>
      <c r="F1693" s="30" t="s">
        <v>43</v>
      </c>
      <c r="G1693" s="33">
        <v>2.6631999999999998</v>
      </c>
      <c r="H1693" s="83" t="s">
        <v>88</v>
      </c>
    </row>
    <row r="1694" spans="1:8" ht="16.5" customHeight="1" x14ac:dyDescent="0.25">
      <c r="A1694" s="27">
        <v>45854</v>
      </c>
      <c r="B1694" s="80">
        <v>2025</v>
      </c>
      <c r="C1694" s="80">
        <v>7</v>
      </c>
      <c r="D1694" s="30" t="s">
        <v>56</v>
      </c>
      <c r="E1694" s="30" t="s">
        <v>42</v>
      </c>
      <c r="F1694" s="30" t="s">
        <v>55</v>
      </c>
      <c r="G1694" s="33">
        <v>3.8490199999999999</v>
      </c>
      <c r="H1694" s="83" t="s">
        <v>88</v>
      </c>
    </row>
    <row r="1695" spans="1:8" ht="16.5" customHeight="1" x14ac:dyDescent="0.25">
      <c r="A1695" s="27">
        <v>45854</v>
      </c>
      <c r="B1695" s="80">
        <v>2025</v>
      </c>
      <c r="C1695" s="80">
        <v>7</v>
      </c>
      <c r="D1695" s="30" t="s">
        <v>56</v>
      </c>
      <c r="E1695" s="30" t="s">
        <v>46</v>
      </c>
      <c r="F1695" s="30" t="s">
        <v>43</v>
      </c>
      <c r="G1695" s="33">
        <v>10.435507599999999</v>
      </c>
      <c r="H1695" s="83" t="s">
        <v>88</v>
      </c>
    </row>
    <row r="1696" spans="1:8" ht="16.5" customHeight="1" x14ac:dyDescent="0.25">
      <c r="A1696" s="27">
        <v>45854</v>
      </c>
      <c r="B1696" s="80">
        <v>2025</v>
      </c>
      <c r="C1696" s="80">
        <v>7</v>
      </c>
      <c r="D1696" s="30" t="s">
        <v>56</v>
      </c>
      <c r="E1696" s="30" t="s">
        <v>50</v>
      </c>
      <c r="F1696" s="30" t="s">
        <v>43</v>
      </c>
      <c r="G1696" s="33">
        <v>6.4719450500000004</v>
      </c>
      <c r="H1696" s="83" t="s">
        <v>88</v>
      </c>
    </row>
    <row r="1697" spans="1:8" ht="16.5" customHeight="1" x14ac:dyDescent="0.25">
      <c r="A1697" s="27">
        <v>45854</v>
      </c>
      <c r="B1697" s="80">
        <v>2025</v>
      </c>
      <c r="C1697" s="80">
        <v>7</v>
      </c>
      <c r="D1697" s="30" t="s">
        <v>56</v>
      </c>
      <c r="E1697" s="30" t="s">
        <v>50</v>
      </c>
      <c r="F1697" s="30" t="s">
        <v>47</v>
      </c>
      <c r="G1697" s="33">
        <v>0.8075</v>
      </c>
      <c r="H1697" s="83" t="s">
        <v>88</v>
      </c>
    </row>
    <row r="1698" spans="1:8" ht="16.5" customHeight="1" x14ac:dyDescent="0.25">
      <c r="A1698" s="27">
        <v>45854</v>
      </c>
      <c r="B1698" s="80">
        <v>2025</v>
      </c>
      <c r="C1698" s="80">
        <v>7</v>
      </c>
      <c r="D1698" s="30" t="s">
        <v>56</v>
      </c>
      <c r="E1698" s="30" t="s">
        <v>50</v>
      </c>
      <c r="F1698" s="30" t="s">
        <v>51</v>
      </c>
      <c r="G1698" s="33">
        <v>0.62475000000000003</v>
      </c>
      <c r="H1698" s="83" t="s">
        <v>88</v>
      </c>
    </row>
    <row r="1699" spans="1:8" ht="16.5" customHeight="1" x14ac:dyDescent="0.25">
      <c r="A1699" s="27">
        <v>45854</v>
      </c>
      <c r="B1699" s="80">
        <v>2025</v>
      </c>
      <c r="C1699" s="80">
        <v>7</v>
      </c>
      <c r="D1699" s="30" t="s">
        <v>56</v>
      </c>
      <c r="E1699" s="30" t="s">
        <v>54</v>
      </c>
      <c r="F1699" s="30" t="s">
        <v>43</v>
      </c>
      <c r="G1699" s="33">
        <v>5.0297499999999999</v>
      </c>
      <c r="H1699" s="83" t="s">
        <v>88</v>
      </c>
    </row>
    <row r="1700" spans="1:8" ht="16.5" customHeight="1" x14ac:dyDescent="0.25">
      <c r="A1700" s="27">
        <v>45854</v>
      </c>
      <c r="B1700" s="80">
        <v>2025</v>
      </c>
      <c r="C1700" s="80">
        <v>7</v>
      </c>
      <c r="D1700" s="30" t="s">
        <v>56</v>
      </c>
      <c r="E1700" s="30" t="s">
        <v>64</v>
      </c>
      <c r="F1700" s="30" t="s">
        <v>43</v>
      </c>
      <c r="G1700" s="33">
        <v>2.1385000000000001</v>
      </c>
      <c r="H1700" s="83" t="s">
        <v>89</v>
      </c>
    </row>
    <row r="1701" spans="1:8" ht="16.5" customHeight="1" x14ac:dyDescent="0.25">
      <c r="A1701" s="27">
        <v>45854</v>
      </c>
      <c r="B1701" s="80">
        <v>2025</v>
      </c>
      <c r="C1701" s="80">
        <v>7</v>
      </c>
      <c r="D1701" s="30" t="s">
        <v>56</v>
      </c>
      <c r="E1701" s="30" t="s">
        <v>68</v>
      </c>
      <c r="F1701" s="30" t="s">
        <v>43</v>
      </c>
      <c r="G1701" s="33">
        <v>1.3</v>
      </c>
      <c r="H1701" s="83" t="s">
        <v>89</v>
      </c>
    </row>
    <row r="1702" spans="1:8" ht="16.5" customHeight="1" x14ac:dyDescent="0.25">
      <c r="A1702" s="27">
        <v>45854</v>
      </c>
      <c r="B1702" s="80">
        <v>2025</v>
      </c>
      <c r="C1702" s="80">
        <v>7</v>
      </c>
      <c r="D1702" s="30" t="s">
        <v>56</v>
      </c>
      <c r="E1702" s="30" t="s">
        <v>71</v>
      </c>
      <c r="F1702" s="30" t="s">
        <v>43</v>
      </c>
      <c r="G1702" s="33">
        <v>3.18</v>
      </c>
      <c r="H1702" s="83" t="s">
        <v>89</v>
      </c>
    </row>
    <row r="1703" spans="1:8" ht="16.5" customHeight="1" x14ac:dyDescent="0.25">
      <c r="A1703" s="27">
        <v>45854</v>
      </c>
      <c r="B1703" s="80">
        <v>2025</v>
      </c>
      <c r="C1703" s="80">
        <v>7</v>
      </c>
      <c r="D1703" s="30" t="s">
        <v>56</v>
      </c>
      <c r="E1703" s="30" t="s">
        <v>75</v>
      </c>
      <c r="F1703" s="30" t="s">
        <v>43</v>
      </c>
      <c r="G1703" s="33">
        <v>3.5015990000000001</v>
      </c>
      <c r="H1703" s="83" t="s">
        <v>48</v>
      </c>
    </row>
    <row r="1704" spans="1:8" ht="16.5" customHeight="1" x14ac:dyDescent="0.25">
      <c r="A1704" s="27">
        <v>45855</v>
      </c>
      <c r="B1704" s="80">
        <v>2025</v>
      </c>
      <c r="C1704" s="80">
        <v>7</v>
      </c>
      <c r="D1704" s="30" t="s">
        <v>56</v>
      </c>
      <c r="E1704" s="30" t="s">
        <v>38</v>
      </c>
      <c r="F1704" s="30" t="s">
        <v>43</v>
      </c>
      <c r="G1704" s="33">
        <v>97.247500000000002</v>
      </c>
      <c r="H1704" s="83" t="s">
        <v>88</v>
      </c>
    </row>
    <row r="1705" spans="1:8" ht="16.5" customHeight="1" x14ac:dyDescent="0.25">
      <c r="A1705" s="27">
        <v>45855</v>
      </c>
      <c r="B1705" s="80">
        <v>2025</v>
      </c>
      <c r="C1705" s="80">
        <v>7</v>
      </c>
      <c r="D1705" s="30" t="s">
        <v>56</v>
      </c>
      <c r="E1705" s="30" t="s">
        <v>38</v>
      </c>
      <c r="F1705" s="30" t="s">
        <v>58</v>
      </c>
      <c r="G1705" s="33">
        <v>0.70772000000000002</v>
      </c>
      <c r="H1705" s="83" t="s">
        <v>88</v>
      </c>
    </row>
    <row r="1706" spans="1:8" ht="16.5" customHeight="1" x14ac:dyDescent="0.25">
      <c r="A1706" s="27">
        <v>45855</v>
      </c>
      <c r="B1706" s="80">
        <v>2025</v>
      </c>
      <c r="C1706" s="80">
        <v>7</v>
      </c>
      <c r="D1706" s="30" t="s">
        <v>56</v>
      </c>
      <c r="E1706" s="30" t="s">
        <v>42</v>
      </c>
      <c r="F1706" s="30" t="s">
        <v>43</v>
      </c>
      <c r="G1706" s="33">
        <v>1.19</v>
      </c>
      <c r="H1706" s="83" t="s">
        <v>88</v>
      </c>
    </row>
    <row r="1707" spans="1:8" ht="16.5" customHeight="1" x14ac:dyDescent="0.25">
      <c r="A1707" s="27">
        <v>45855</v>
      </c>
      <c r="B1707" s="80">
        <v>2025</v>
      </c>
      <c r="C1707" s="80">
        <v>7</v>
      </c>
      <c r="D1707" s="30" t="s">
        <v>56</v>
      </c>
      <c r="E1707" s="30" t="s">
        <v>46</v>
      </c>
      <c r="F1707" s="30" t="s">
        <v>43</v>
      </c>
      <c r="G1707" s="33">
        <v>1.6983632</v>
      </c>
      <c r="H1707" s="83" t="s">
        <v>88</v>
      </c>
    </row>
    <row r="1708" spans="1:8" ht="16.5" customHeight="1" x14ac:dyDescent="0.25">
      <c r="A1708" s="27">
        <v>45855</v>
      </c>
      <c r="B1708" s="80">
        <v>2025</v>
      </c>
      <c r="C1708" s="80">
        <v>7</v>
      </c>
      <c r="D1708" s="30" t="s">
        <v>56</v>
      </c>
      <c r="E1708" s="30" t="s">
        <v>50</v>
      </c>
      <c r="F1708" s="30" t="s">
        <v>43</v>
      </c>
      <c r="G1708" s="33">
        <v>1.1883712500000001</v>
      </c>
      <c r="H1708" s="83" t="s">
        <v>88</v>
      </c>
    </row>
    <row r="1709" spans="1:8" ht="16.5" customHeight="1" x14ac:dyDescent="0.25">
      <c r="A1709" s="27">
        <v>45855</v>
      </c>
      <c r="B1709" s="80">
        <v>2025</v>
      </c>
      <c r="C1709" s="80">
        <v>7</v>
      </c>
      <c r="D1709" s="30" t="s">
        <v>56</v>
      </c>
      <c r="E1709" s="30" t="s">
        <v>50</v>
      </c>
      <c r="F1709" s="30" t="s">
        <v>47</v>
      </c>
      <c r="G1709" s="33">
        <v>0.12155000000000001</v>
      </c>
      <c r="H1709" s="83" t="s">
        <v>88</v>
      </c>
    </row>
    <row r="1710" spans="1:8" ht="16.5" customHeight="1" x14ac:dyDescent="0.25">
      <c r="A1710" s="27">
        <v>45855</v>
      </c>
      <c r="B1710" s="80">
        <v>2025</v>
      </c>
      <c r="C1710" s="80">
        <v>7</v>
      </c>
      <c r="D1710" s="30" t="s">
        <v>56</v>
      </c>
      <c r="E1710" s="30" t="s">
        <v>50</v>
      </c>
      <c r="F1710" s="30" t="s">
        <v>58</v>
      </c>
      <c r="G1710" s="33">
        <v>0.52466699999999999</v>
      </c>
      <c r="H1710" s="83" t="s">
        <v>88</v>
      </c>
    </row>
    <row r="1711" spans="1:8" ht="16.5" customHeight="1" x14ac:dyDescent="0.25">
      <c r="A1711" s="27">
        <v>45855</v>
      </c>
      <c r="B1711" s="80">
        <v>2025</v>
      </c>
      <c r="C1711" s="80">
        <v>7</v>
      </c>
      <c r="D1711" s="30" t="s">
        <v>56</v>
      </c>
      <c r="E1711" s="30" t="s">
        <v>54</v>
      </c>
      <c r="F1711" s="30" t="s">
        <v>43</v>
      </c>
      <c r="G1711" s="33">
        <v>1.7039</v>
      </c>
      <c r="H1711" s="83" t="s">
        <v>88</v>
      </c>
    </row>
    <row r="1712" spans="1:8" ht="16.5" customHeight="1" x14ac:dyDescent="0.25">
      <c r="A1712" s="27">
        <v>45855</v>
      </c>
      <c r="B1712" s="80">
        <v>2025</v>
      </c>
      <c r="C1712" s="80">
        <v>7</v>
      </c>
      <c r="D1712" s="30" t="s">
        <v>56</v>
      </c>
      <c r="E1712" s="30" t="s">
        <v>68</v>
      </c>
      <c r="F1712" s="30" t="s">
        <v>43</v>
      </c>
      <c r="G1712" s="33">
        <v>7.1</v>
      </c>
      <c r="H1712" s="83" t="s">
        <v>89</v>
      </c>
    </row>
    <row r="1713" spans="1:8" ht="16.5" customHeight="1" x14ac:dyDescent="0.25">
      <c r="A1713" s="27">
        <v>45855</v>
      </c>
      <c r="B1713" s="80">
        <v>2025</v>
      </c>
      <c r="C1713" s="80">
        <v>7</v>
      </c>
      <c r="D1713" s="30" t="s">
        <v>56</v>
      </c>
      <c r="E1713" s="30" t="s">
        <v>71</v>
      </c>
      <c r="F1713" s="30" t="s">
        <v>43</v>
      </c>
      <c r="G1713" s="33">
        <v>2.1204000000000001</v>
      </c>
      <c r="H1713" s="83" t="s">
        <v>89</v>
      </c>
    </row>
    <row r="1714" spans="1:8" ht="16.5" customHeight="1" x14ac:dyDescent="0.25">
      <c r="A1714" s="27">
        <v>45855</v>
      </c>
      <c r="B1714" s="80">
        <v>2025</v>
      </c>
      <c r="C1714" s="80">
        <v>7</v>
      </c>
      <c r="D1714" s="30" t="s">
        <v>56</v>
      </c>
      <c r="E1714" s="30" t="s">
        <v>73</v>
      </c>
      <c r="F1714" s="30" t="s">
        <v>43</v>
      </c>
      <c r="G1714" s="33">
        <v>4.41</v>
      </c>
      <c r="H1714" s="83" t="s">
        <v>89</v>
      </c>
    </row>
    <row r="1715" spans="1:8" ht="16.5" customHeight="1" x14ac:dyDescent="0.25">
      <c r="A1715" s="27">
        <v>45855</v>
      </c>
      <c r="B1715" s="80">
        <v>2025</v>
      </c>
      <c r="C1715" s="80">
        <v>7</v>
      </c>
      <c r="D1715" s="30" t="s">
        <v>56</v>
      </c>
      <c r="E1715" s="30" t="s">
        <v>76</v>
      </c>
      <c r="F1715" s="30" t="s">
        <v>39</v>
      </c>
      <c r="G1715" s="33">
        <v>233.033883</v>
      </c>
      <c r="H1715" s="83" t="s">
        <v>48</v>
      </c>
    </row>
    <row r="1716" spans="1:8" ht="16.5" customHeight="1" x14ac:dyDescent="0.25">
      <c r="A1716" s="27">
        <v>45856</v>
      </c>
      <c r="B1716" s="80">
        <v>2025</v>
      </c>
      <c r="C1716" s="80">
        <v>7</v>
      </c>
      <c r="D1716" s="30" t="s">
        <v>56</v>
      </c>
      <c r="E1716" s="30" t="s">
        <v>42</v>
      </c>
      <c r="F1716" s="30" t="s">
        <v>43</v>
      </c>
      <c r="G1716" s="33">
        <v>7.6315</v>
      </c>
      <c r="H1716" s="83" t="s">
        <v>88</v>
      </c>
    </row>
    <row r="1717" spans="1:8" ht="16.5" customHeight="1" x14ac:dyDescent="0.25">
      <c r="A1717" s="27">
        <v>45856</v>
      </c>
      <c r="B1717" s="80">
        <v>2025</v>
      </c>
      <c r="C1717" s="80">
        <v>7</v>
      </c>
      <c r="D1717" s="30" t="s">
        <v>56</v>
      </c>
      <c r="E1717" s="30" t="s">
        <v>46</v>
      </c>
      <c r="F1717" s="30" t="s">
        <v>43</v>
      </c>
      <c r="G1717" s="33">
        <v>1.694116</v>
      </c>
      <c r="H1717" s="83" t="s">
        <v>88</v>
      </c>
    </row>
    <row r="1718" spans="1:8" ht="16.5" customHeight="1" x14ac:dyDescent="0.25">
      <c r="A1718" s="27">
        <v>45856</v>
      </c>
      <c r="B1718" s="80">
        <v>2025</v>
      </c>
      <c r="C1718" s="80">
        <v>7</v>
      </c>
      <c r="D1718" s="30" t="s">
        <v>56</v>
      </c>
      <c r="E1718" s="30" t="s">
        <v>50</v>
      </c>
      <c r="F1718" s="30" t="s">
        <v>43</v>
      </c>
      <c r="G1718" s="33">
        <v>4.3949330440000001</v>
      </c>
      <c r="H1718" s="83" t="s">
        <v>88</v>
      </c>
    </row>
    <row r="1719" spans="1:8" ht="16.5" customHeight="1" x14ac:dyDescent="0.25">
      <c r="A1719" s="27">
        <v>45856</v>
      </c>
      <c r="B1719" s="80">
        <v>2025</v>
      </c>
      <c r="C1719" s="80">
        <v>7</v>
      </c>
      <c r="D1719" s="30" t="s">
        <v>56</v>
      </c>
      <c r="E1719" s="30" t="s">
        <v>50</v>
      </c>
      <c r="F1719" s="30" t="s">
        <v>47</v>
      </c>
      <c r="G1719" s="33">
        <v>0.62160000000000004</v>
      </c>
      <c r="H1719" s="83" t="s">
        <v>88</v>
      </c>
    </row>
    <row r="1720" spans="1:8" ht="16.5" customHeight="1" x14ac:dyDescent="0.25">
      <c r="A1720" s="27">
        <v>45856</v>
      </c>
      <c r="B1720" s="80">
        <v>2025</v>
      </c>
      <c r="C1720" s="80">
        <v>7</v>
      </c>
      <c r="D1720" s="30" t="s">
        <v>56</v>
      </c>
      <c r="E1720" s="30" t="s">
        <v>54</v>
      </c>
      <c r="F1720" s="30" t="s">
        <v>43</v>
      </c>
      <c r="G1720" s="33">
        <v>3.1459999999999999</v>
      </c>
      <c r="H1720" s="83" t="s">
        <v>88</v>
      </c>
    </row>
    <row r="1721" spans="1:8" ht="16.5" customHeight="1" x14ac:dyDescent="0.25">
      <c r="A1721" s="27">
        <v>45856</v>
      </c>
      <c r="B1721" s="80">
        <v>2025</v>
      </c>
      <c r="C1721" s="80">
        <v>7</v>
      </c>
      <c r="D1721" s="30" t="s">
        <v>56</v>
      </c>
      <c r="E1721" s="30" t="s">
        <v>57</v>
      </c>
      <c r="F1721" s="30" t="s">
        <v>39</v>
      </c>
      <c r="G1721" s="33">
        <v>7.992</v>
      </c>
      <c r="H1721" s="83" t="s">
        <v>89</v>
      </c>
    </row>
    <row r="1722" spans="1:8" ht="16.5" customHeight="1" x14ac:dyDescent="0.25">
      <c r="A1722" s="27">
        <v>45856</v>
      </c>
      <c r="B1722" s="80">
        <v>2025</v>
      </c>
      <c r="C1722" s="80">
        <v>7</v>
      </c>
      <c r="D1722" s="30" t="s">
        <v>56</v>
      </c>
      <c r="E1722" s="30" t="s">
        <v>57</v>
      </c>
      <c r="F1722" s="30" t="s">
        <v>43</v>
      </c>
      <c r="G1722" s="33">
        <v>2.431</v>
      </c>
      <c r="H1722" s="83" t="s">
        <v>89</v>
      </c>
    </row>
    <row r="1723" spans="1:8" ht="16.5" customHeight="1" x14ac:dyDescent="0.25">
      <c r="A1723" s="27">
        <v>45856</v>
      </c>
      <c r="B1723" s="80">
        <v>2025</v>
      </c>
      <c r="C1723" s="80">
        <v>7</v>
      </c>
      <c r="D1723" s="30" t="s">
        <v>56</v>
      </c>
      <c r="E1723" s="30" t="s">
        <v>66</v>
      </c>
      <c r="F1723" s="30" t="s">
        <v>43</v>
      </c>
      <c r="G1723" s="33">
        <v>3.3929999999999998</v>
      </c>
      <c r="H1723" s="83" t="s">
        <v>89</v>
      </c>
    </row>
    <row r="1724" spans="1:8" ht="16.5" customHeight="1" x14ac:dyDescent="0.25">
      <c r="A1724" s="27">
        <v>45856</v>
      </c>
      <c r="B1724" s="80">
        <v>2025</v>
      </c>
      <c r="C1724" s="80">
        <v>7</v>
      </c>
      <c r="D1724" s="30" t="s">
        <v>56</v>
      </c>
      <c r="E1724" s="30" t="s">
        <v>68</v>
      </c>
      <c r="F1724" s="30" t="s">
        <v>43</v>
      </c>
      <c r="G1724" s="33">
        <v>0.46500000000000002</v>
      </c>
      <c r="H1724" s="83" t="s">
        <v>89</v>
      </c>
    </row>
    <row r="1725" spans="1:8" ht="16.5" customHeight="1" x14ac:dyDescent="0.25">
      <c r="A1725" s="27">
        <v>45856</v>
      </c>
      <c r="B1725" s="80">
        <v>2025</v>
      </c>
      <c r="C1725" s="80">
        <v>7</v>
      </c>
      <c r="D1725" s="30" t="s">
        <v>56</v>
      </c>
      <c r="E1725" s="30" t="s">
        <v>71</v>
      </c>
      <c r="F1725" s="30" t="s">
        <v>39</v>
      </c>
      <c r="G1725" s="33">
        <v>18.09675</v>
      </c>
      <c r="H1725" s="83" t="s">
        <v>89</v>
      </c>
    </row>
    <row r="1726" spans="1:8" ht="16.5" customHeight="1" x14ac:dyDescent="0.25">
      <c r="A1726" s="27">
        <v>45856</v>
      </c>
      <c r="B1726" s="80">
        <v>2025</v>
      </c>
      <c r="C1726" s="80">
        <v>7</v>
      </c>
      <c r="D1726" s="30" t="s">
        <v>56</v>
      </c>
      <c r="E1726" s="30" t="s">
        <v>71</v>
      </c>
      <c r="F1726" s="30" t="s">
        <v>55</v>
      </c>
      <c r="G1726" s="33">
        <v>1.23</v>
      </c>
      <c r="H1726" s="83" t="s">
        <v>89</v>
      </c>
    </row>
    <row r="1727" spans="1:8" ht="16.5" customHeight="1" x14ac:dyDescent="0.25">
      <c r="A1727" s="27">
        <v>45859</v>
      </c>
      <c r="B1727" s="80">
        <v>2025</v>
      </c>
      <c r="C1727" s="80">
        <v>7</v>
      </c>
      <c r="D1727" s="30" t="s">
        <v>56</v>
      </c>
      <c r="E1727" s="30" t="s">
        <v>50</v>
      </c>
      <c r="F1727" s="30" t="s">
        <v>43</v>
      </c>
      <c r="G1727" s="33">
        <v>4.1550865000000003</v>
      </c>
      <c r="H1727" s="83" t="s">
        <v>88</v>
      </c>
    </row>
    <row r="1728" spans="1:8" ht="16.5" customHeight="1" x14ac:dyDescent="0.25">
      <c r="A1728" s="27">
        <v>45859</v>
      </c>
      <c r="B1728" s="80">
        <v>2025</v>
      </c>
      <c r="C1728" s="80">
        <v>7</v>
      </c>
      <c r="D1728" s="30" t="s">
        <v>56</v>
      </c>
      <c r="E1728" s="30" t="s">
        <v>50</v>
      </c>
      <c r="F1728" s="30" t="s">
        <v>47</v>
      </c>
      <c r="G1728" s="33">
        <v>0.62160000000000004</v>
      </c>
      <c r="H1728" s="83" t="s">
        <v>88</v>
      </c>
    </row>
    <row r="1729" spans="1:8" ht="16.5" customHeight="1" x14ac:dyDescent="0.25">
      <c r="A1729" s="27">
        <v>45859</v>
      </c>
      <c r="B1729" s="80">
        <v>2025</v>
      </c>
      <c r="C1729" s="80">
        <v>7</v>
      </c>
      <c r="D1729" s="30" t="s">
        <v>56</v>
      </c>
      <c r="E1729" s="30" t="s">
        <v>50</v>
      </c>
      <c r="F1729" s="30" t="s">
        <v>51</v>
      </c>
      <c r="G1729" s="33">
        <v>0.50575000000000003</v>
      </c>
      <c r="H1729" s="83" t="s">
        <v>88</v>
      </c>
    </row>
    <row r="1730" spans="1:8" ht="16.5" customHeight="1" x14ac:dyDescent="0.25">
      <c r="A1730" s="27">
        <v>45859</v>
      </c>
      <c r="B1730" s="80">
        <v>2025</v>
      </c>
      <c r="C1730" s="80">
        <v>7</v>
      </c>
      <c r="D1730" s="30" t="s">
        <v>56</v>
      </c>
      <c r="E1730" s="30" t="s">
        <v>50</v>
      </c>
      <c r="F1730" s="30" t="s">
        <v>58</v>
      </c>
      <c r="G1730" s="33">
        <v>0.39933000000000002</v>
      </c>
      <c r="H1730" s="83" t="s">
        <v>88</v>
      </c>
    </row>
    <row r="1731" spans="1:8" ht="16.5" customHeight="1" x14ac:dyDescent="0.25">
      <c r="A1731" s="27">
        <v>45860</v>
      </c>
      <c r="B1731" s="80">
        <v>2025</v>
      </c>
      <c r="C1731" s="80">
        <v>7</v>
      </c>
      <c r="D1731" s="30" t="s">
        <v>56</v>
      </c>
      <c r="E1731" s="30" t="s">
        <v>38</v>
      </c>
      <c r="F1731" s="30" t="s">
        <v>43</v>
      </c>
      <c r="G1731" s="33">
        <v>2.38</v>
      </c>
      <c r="H1731" s="83" t="s">
        <v>88</v>
      </c>
    </row>
    <row r="1732" spans="1:8" ht="16.5" customHeight="1" x14ac:dyDescent="0.25">
      <c r="A1732" s="27">
        <v>45860</v>
      </c>
      <c r="B1732" s="80">
        <v>2025</v>
      </c>
      <c r="C1732" s="80">
        <v>7</v>
      </c>
      <c r="D1732" s="30" t="s">
        <v>56</v>
      </c>
      <c r="E1732" s="30" t="s">
        <v>42</v>
      </c>
      <c r="F1732" s="30" t="s">
        <v>43</v>
      </c>
      <c r="G1732" s="33">
        <v>9.7333999999999996</v>
      </c>
      <c r="H1732" s="83" t="s">
        <v>88</v>
      </c>
    </row>
    <row r="1733" spans="1:8" ht="16.5" customHeight="1" x14ac:dyDescent="0.25">
      <c r="A1733" s="27">
        <v>45860</v>
      </c>
      <c r="B1733" s="80">
        <v>2025</v>
      </c>
      <c r="C1733" s="80">
        <v>7</v>
      </c>
      <c r="D1733" s="30" t="s">
        <v>56</v>
      </c>
      <c r="E1733" s="30" t="s">
        <v>46</v>
      </c>
      <c r="F1733" s="30" t="s">
        <v>43</v>
      </c>
      <c r="G1733" s="33">
        <v>5.1903029500000004</v>
      </c>
      <c r="H1733" s="83" t="s">
        <v>88</v>
      </c>
    </row>
    <row r="1734" spans="1:8" ht="16.5" customHeight="1" x14ac:dyDescent="0.25">
      <c r="A1734" s="27">
        <v>45860</v>
      </c>
      <c r="B1734" s="80">
        <v>2025</v>
      </c>
      <c r="C1734" s="80">
        <v>7</v>
      </c>
      <c r="D1734" s="30" t="s">
        <v>56</v>
      </c>
      <c r="E1734" s="30" t="s">
        <v>46</v>
      </c>
      <c r="F1734" s="30" t="s">
        <v>47</v>
      </c>
      <c r="G1734" s="33">
        <v>0.13514999999999999</v>
      </c>
      <c r="H1734" s="83" t="s">
        <v>88</v>
      </c>
    </row>
    <row r="1735" spans="1:8" ht="16.5" customHeight="1" x14ac:dyDescent="0.25">
      <c r="A1735" s="27">
        <v>45860</v>
      </c>
      <c r="B1735" s="80">
        <v>2025</v>
      </c>
      <c r="C1735" s="80">
        <v>7</v>
      </c>
      <c r="D1735" s="30" t="s">
        <v>56</v>
      </c>
      <c r="E1735" s="30" t="s">
        <v>50</v>
      </c>
      <c r="F1735" s="30" t="s">
        <v>43</v>
      </c>
      <c r="G1735" s="33">
        <v>33.600000999999999</v>
      </c>
      <c r="H1735" s="83" t="s">
        <v>88</v>
      </c>
    </row>
    <row r="1736" spans="1:8" ht="16.5" customHeight="1" x14ac:dyDescent="0.25">
      <c r="A1736" s="27">
        <v>45860</v>
      </c>
      <c r="B1736" s="80">
        <v>2025</v>
      </c>
      <c r="C1736" s="80">
        <v>7</v>
      </c>
      <c r="D1736" s="30" t="s">
        <v>56</v>
      </c>
      <c r="E1736" s="30" t="s">
        <v>50</v>
      </c>
      <c r="F1736" s="30" t="s">
        <v>47</v>
      </c>
      <c r="G1736" s="33">
        <v>1.2432000000000001</v>
      </c>
      <c r="H1736" s="83" t="s">
        <v>88</v>
      </c>
    </row>
    <row r="1737" spans="1:8" ht="16.5" customHeight="1" x14ac:dyDescent="0.25">
      <c r="A1737" s="27">
        <v>45860</v>
      </c>
      <c r="B1737" s="80">
        <v>2025</v>
      </c>
      <c r="C1737" s="80">
        <v>7</v>
      </c>
      <c r="D1737" s="30" t="s">
        <v>56</v>
      </c>
      <c r="E1737" s="30" t="s">
        <v>50</v>
      </c>
      <c r="F1737" s="30" t="s">
        <v>55</v>
      </c>
      <c r="G1737" s="33">
        <v>0.71550000000000002</v>
      </c>
      <c r="H1737" s="83" t="s">
        <v>88</v>
      </c>
    </row>
    <row r="1738" spans="1:8" ht="16.5" customHeight="1" x14ac:dyDescent="0.25">
      <c r="A1738" s="27">
        <v>45860</v>
      </c>
      <c r="B1738" s="80">
        <v>2025</v>
      </c>
      <c r="C1738" s="80">
        <v>7</v>
      </c>
      <c r="D1738" s="30" t="s">
        <v>56</v>
      </c>
      <c r="E1738" s="30" t="s">
        <v>50</v>
      </c>
      <c r="F1738" s="30" t="s">
        <v>58</v>
      </c>
      <c r="G1738" s="33">
        <v>2.2605666000000002</v>
      </c>
      <c r="H1738" s="83" t="s">
        <v>88</v>
      </c>
    </row>
    <row r="1739" spans="1:8" ht="16.5" customHeight="1" x14ac:dyDescent="0.25">
      <c r="A1739" s="27">
        <v>45860</v>
      </c>
      <c r="B1739" s="80">
        <v>2025</v>
      </c>
      <c r="C1739" s="80">
        <v>7</v>
      </c>
      <c r="D1739" s="30" t="s">
        <v>56</v>
      </c>
      <c r="E1739" s="30" t="s">
        <v>54</v>
      </c>
      <c r="F1739" s="30" t="s">
        <v>43</v>
      </c>
      <c r="G1739" s="33">
        <v>20.600100000000001</v>
      </c>
      <c r="H1739" s="83" t="s">
        <v>88</v>
      </c>
    </row>
    <row r="1740" spans="1:8" ht="16.5" customHeight="1" x14ac:dyDescent="0.25">
      <c r="A1740" s="27">
        <v>45860</v>
      </c>
      <c r="B1740" s="80">
        <v>2025</v>
      </c>
      <c r="C1740" s="80">
        <v>7</v>
      </c>
      <c r="D1740" s="30" t="s">
        <v>56</v>
      </c>
      <c r="E1740" s="30" t="s">
        <v>64</v>
      </c>
      <c r="F1740" s="30" t="s">
        <v>43</v>
      </c>
      <c r="G1740" s="33">
        <v>14.317</v>
      </c>
      <c r="H1740" s="83" t="s">
        <v>89</v>
      </c>
    </row>
    <row r="1741" spans="1:8" ht="16.5" customHeight="1" x14ac:dyDescent="0.25">
      <c r="A1741" s="27">
        <v>45860</v>
      </c>
      <c r="B1741" s="80">
        <v>2025</v>
      </c>
      <c r="C1741" s="80">
        <v>7</v>
      </c>
      <c r="D1741" s="30" t="s">
        <v>56</v>
      </c>
      <c r="E1741" s="30" t="s">
        <v>66</v>
      </c>
      <c r="F1741" s="30" t="s">
        <v>39</v>
      </c>
      <c r="G1741" s="33">
        <v>62.868000000000002</v>
      </c>
      <c r="H1741" s="83" t="s">
        <v>89</v>
      </c>
    </row>
    <row r="1742" spans="1:8" ht="16.5" customHeight="1" x14ac:dyDescent="0.25">
      <c r="A1742" s="27">
        <v>45860</v>
      </c>
      <c r="B1742" s="80">
        <v>2025</v>
      </c>
      <c r="C1742" s="80">
        <v>7</v>
      </c>
      <c r="D1742" s="30" t="s">
        <v>56</v>
      </c>
      <c r="E1742" s="30" t="s">
        <v>66</v>
      </c>
      <c r="F1742" s="30" t="s">
        <v>43</v>
      </c>
      <c r="G1742" s="33">
        <v>10.21405</v>
      </c>
      <c r="H1742" s="83" t="s">
        <v>89</v>
      </c>
    </row>
    <row r="1743" spans="1:8" ht="16.5" customHeight="1" x14ac:dyDescent="0.25">
      <c r="A1743" s="27">
        <v>45860</v>
      </c>
      <c r="B1743" s="80">
        <v>2025</v>
      </c>
      <c r="C1743" s="80">
        <v>7</v>
      </c>
      <c r="D1743" s="30" t="s">
        <v>56</v>
      </c>
      <c r="E1743" s="30" t="s">
        <v>68</v>
      </c>
      <c r="F1743" s="30" t="s">
        <v>43</v>
      </c>
      <c r="G1743" s="33">
        <v>1.5549999999999999</v>
      </c>
      <c r="H1743" s="83" t="s">
        <v>89</v>
      </c>
    </row>
    <row r="1744" spans="1:8" ht="16.5" customHeight="1" x14ac:dyDescent="0.25">
      <c r="A1744" s="27">
        <v>45860</v>
      </c>
      <c r="B1744" s="80">
        <v>2025</v>
      </c>
      <c r="C1744" s="80">
        <v>7</v>
      </c>
      <c r="D1744" s="30" t="s">
        <v>56</v>
      </c>
      <c r="E1744" s="30" t="s">
        <v>74</v>
      </c>
      <c r="F1744" s="30" t="s">
        <v>43</v>
      </c>
      <c r="G1744" s="33">
        <v>42.053959999999996</v>
      </c>
      <c r="H1744" s="83" t="s">
        <v>89</v>
      </c>
    </row>
    <row r="1745" spans="1:8" ht="16.5" customHeight="1" x14ac:dyDescent="0.25">
      <c r="A1745" s="27">
        <v>45861</v>
      </c>
      <c r="B1745" s="80">
        <v>2025</v>
      </c>
      <c r="C1745" s="80">
        <v>7</v>
      </c>
      <c r="D1745" s="30" t="s">
        <v>56</v>
      </c>
      <c r="E1745" s="30" t="s">
        <v>38</v>
      </c>
      <c r="F1745" s="30" t="s">
        <v>43</v>
      </c>
      <c r="G1745" s="33">
        <v>2.3119999999999998</v>
      </c>
      <c r="H1745" s="83" t="s">
        <v>88</v>
      </c>
    </row>
    <row r="1746" spans="1:8" ht="16.5" customHeight="1" x14ac:dyDescent="0.25">
      <c r="A1746" s="27">
        <v>45861</v>
      </c>
      <c r="B1746" s="80">
        <v>2025</v>
      </c>
      <c r="C1746" s="80">
        <v>7</v>
      </c>
      <c r="D1746" s="30" t="s">
        <v>56</v>
      </c>
      <c r="E1746" s="30" t="s">
        <v>50</v>
      </c>
      <c r="F1746" s="30" t="s">
        <v>43</v>
      </c>
      <c r="G1746" s="33">
        <v>32.015644399999999</v>
      </c>
      <c r="H1746" s="83" t="s">
        <v>88</v>
      </c>
    </row>
    <row r="1747" spans="1:8" ht="16.5" customHeight="1" x14ac:dyDescent="0.25">
      <c r="A1747" s="27">
        <v>45861</v>
      </c>
      <c r="B1747" s="80">
        <v>2025</v>
      </c>
      <c r="C1747" s="80">
        <v>7</v>
      </c>
      <c r="D1747" s="30" t="s">
        <v>56</v>
      </c>
      <c r="E1747" s="30" t="s">
        <v>50</v>
      </c>
      <c r="F1747" s="30" t="s">
        <v>47</v>
      </c>
      <c r="G1747" s="33">
        <v>0.62160000000000004</v>
      </c>
      <c r="H1747" s="83" t="s">
        <v>88</v>
      </c>
    </row>
    <row r="1748" spans="1:8" ht="16.5" customHeight="1" x14ac:dyDescent="0.25">
      <c r="A1748" s="27">
        <v>45861</v>
      </c>
      <c r="B1748" s="80">
        <v>2025</v>
      </c>
      <c r="C1748" s="80">
        <v>7</v>
      </c>
      <c r="D1748" s="30" t="s">
        <v>56</v>
      </c>
      <c r="E1748" s="30" t="s">
        <v>54</v>
      </c>
      <c r="F1748" s="30" t="s">
        <v>43</v>
      </c>
      <c r="G1748" s="33">
        <v>11.218500000000001</v>
      </c>
      <c r="H1748" s="83" t="s">
        <v>88</v>
      </c>
    </row>
    <row r="1749" spans="1:8" ht="16.5" customHeight="1" x14ac:dyDescent="0.25">
      <c r="A1749" s="27">
        <v>45861</v>
      </c>
      <c r="B1749" s="80">
        <v>2025</v>
      </c>
      <c r="C1749" s="80">
        <v>7</v>
      </c>
      <c r="D1749" s="30" t="s">
        <v>56</v>
      </c>
      <c r="E1749" s="30" t="s">
        <v>54</v>
      </c>
      <c r="F1749" s="30" t="s">
        <v>47</v>
      </c>
      <c r="G1749" s="33">
        <v>2.5779999999999998</v>
      </c>
      <c r="H1749" s="83" t="s">
        <v>88</v>
      </c>
    </row>
    <row r="1750" spans="1:8" ht="16.5" customHeight="1" x14ac:dyDescent="0.25">
      <c r="A1750" s="27">
        <v>45861</v>
      </c>
      <c r="B1750" s="80">
        <v>2025</v>
      </c>
      <c r="C1750" s="80">
        <v>7</v>
      </c>
      <c r="D1750" s="30" t="s">
        <v>56</v>
      </c>
      <c r="E1750" s="30" t="s">
        <v>57</v>
      </c>
      <c r="F1750" s="30" t="s">
        <v>55</v>
      </c>
      <c r="G1750" s="33">
        <v>2.42</v>
      </c>
      <c r="H1750" s="83" t="s">
        <v>89</v>
      </c>
    </row>
    <row r="1751" spans="1:8" ht="16.5" customHeight="1" x14ac:dyDescent="0.25">
      <c r="A1751" s="27">
        <v>45861</v>
      </c>
      <c r="B1751" s="80">
        <v>2025</v>
      </c>
      <c r="C1751" s="80">
        <v>7</v>
      </c>
      <c r="D1751" s="30" t="s">
        <v>56</v>
      </c>
      <c r="E1751" s="30" t="s">
        <v>66</v>
      </c>
      <c r="F1751" s="30" t="s">
        <v>43</v>
      </c>
      <c r="G1751" s="33">
        <v>8.2445000000000004</v>
      </c>
      <c r="H1751" s="83" t="s">
        <v>89</v>
      </c>
    </row>
    <row r="1752" spans="1:8" ht="16.5" customHeight="1" x14ac:dyDescent="0.25">
      <c r="A1752" s="27">
        <v>45861</v>
      </c>
      <c r="B1752" s="80">
        <v>2025</v>
      </c>
      <c r="C1752" s="80">
        <v>7</v>
      </c>
      <c r="D1752" s="30" t="s">
        <v>56</v>
      </c>
      <c r="E1752" s="30" t="s">
        <v>75</v>
      </c>
      <c r="F1752" s="30" t="s">
        <v>43</v>
      </c>
      <c r="G1752" s="33">
        <v>4.3470000000000004</v>
      </c>
      <c r="H1752" s="83" t="s">
        <v>48</v>
      </c>
    </row>
    <row r="1753" spans="1:8" ht="16.5" customHeight="1" x14ac:dyDescent="0.25">
      <c r="A1753" s="27">
        <v>45861</v>
      </c>
      <c r="B1753" s="80">
        <v>2025</v>
      </c>
      <c r="C1753" s="80">
        <v>7</v>
      </c>
      <c r="D1753" s="30" t="s">
        <v>56</v>
      </c>
      <c r="E1753" s="30" t="s">
        <v>76</v>
      </c>
      <c r="F1753" s="30" t="s">
        <v>39</v>
      </c>
      <c r="G1753" s="33">
        <v>359.53850249999999</v>
      </c>
      <c r="H1753" s="83" t="s">
        <v>48</v>
      </c>
    </row>
    <row r="1754" spans="1:8" ht="16.5" customHeight="1" x14ac:dyDescent="0.25">
      <c r="A1754" s="27">
        <v>45862</v>
      </c>
      <c r="B1754" s="80">
        <v>2025</v>
      </c>
      <c r="C1754" s="80">
        <v>7</v>
      </c>
      <c r="D1754" s="30" t="s">
        <v>56</v>
      </c>
      <c r="E1754" s="30" t="s">
        <v>38</v>
      </c>
      <c r="F1754" s="30" t="s">
        <v>43</v>
      </c>
      <c r="G1754" s="33">
        <v>2.9561000000000002</v>
      </c>
      <c r="H1754" s="83" t="s">
        <v>88</v>
      </c>
    </row>
    <row r="1755" spans="1:8" ht="16.5" customHeight="1" x14ac:dyDescent="0.25">
      <c r="A1755" s="27">
        <v>45862</v>
      </c>
      <c r="B1755" s="80">
        <v>2025</v>
      </c>
      <c r="C1755" s="80">
        <v>7</v>
      </c>
      <c r="D1755" s="30" t="s">
        <v>56</v>
      </c>
      <c r="E1755" s="30" t="s">
        <v>42</v>
      </c>
      <c r="F1755" s="30" t="s">
        <v>43</v>
      </c>
      <c r="G1755" s="33">
        <v>2.5514999999999999</v>
      </c>
      <c r="H1755" s="83" t="s">
        <v>88</v>
      </c>
    </row>
    <row r="1756" spans="1:8" ht="16.5" customHeight="1" x14ac:dyDescent="0.25">
      <c r="A1756" s="27">
        <v>45862</v>
      </c>
      <c r="B1756" s="80">
        <v>2025</v>
      </c>
      <c r="C1756" s="80">
        <v>7</v>
      </c>
      <c r="D1756" s="30" t="s">
        <v>56</v>
      </c>
      <c r="E1756" s="30" t="s">
        <v>46</v>
      </c>
      <c r="F1756" s="30" t="s">
        <v>43</v>
      </c>
      <c r="G1756" s="33">
        <v>1.5775832000000001</v>
      </c>
      <c r="H1756" s="83" t="s">
        <v>88</v>
      </c>
    </row>
    <row r="1757" spans="1:8" ht="16.5" customHeight="1" x14ac:dyDescent="0.25">
      <c r="A1757" s="27">
        <v>45862</v>
      </c>
      <c r="B1757" s="80">
        <v>2025</v>
      </c>
      <c r="C1757" s="80">
        <v>7</v>
      </c>
      <c r="D1757" s="30" t="s">
        <v>56</v>
      </c>
      <c r="E1757" s="30" t="s">
        <v>46</v>
      </c>
      <c r="F1757" s="30" t="s">
        <v>58</v>
      </c>
      <c r="G1757" s="33">
        <v>1.4450665</v>
      </c>
      <c r="H1757" s="83" t="s">
        <v>88</v>
      </c>
    </row>
    <row r="1758" spans="1:8" ht="16.5" customHeight="1" x14ac:dyDescent="0.25">
      <c r="A1758" s="27">
        <v>45862</v>
      </c>
      <c r="B1758" s="80">
        <v>2025</v>
      </c>
      <c r="C1758" s="80">
        <v>7</v>
      </c>
      <c r="D1758" s="30" t="s">
        <v>56</v>
      </c>
      <c r="E1758" s="30" t="s">
        <v>50</v>
      </c>
      <c r="F1758" s="30" t="s">
        <v>43</v>
      </c>
      <c r="G1758" s="33">
        <v>5.4408456000000003</v>
      </c>
      <c r="H1758" s="83" t="s">
        <v>88</v>
      </c>
    </row>
    <row r="1759" spans="1:8" ht="16.5" customHeight="1" x14ac:dyDescent="0.25">
      <c r="A1759" s="27">
        <v>45862</v>
      </c>
      <c r="B1759" s="80">
        <v>2025</v>
      </c>
      <c r="C1759" s="80">
        <v>7</v>
      </c>
      <c r="D1759" s="30" t="s">
        <v>56</v>
      </c>
      <c r="E1759" s="30" t="s">
        <v>57</v>
      </c>
      <c r="F1759" s="30" t="s">
        <v>43</v>
      </c>
      <c r="G1759" s="33">
        <v>22.84</v>
      </c>
      <c r="H1759" s="83" t="s">
        <v>89</v>
      </c>
    </row>
    <row r="1760" spans="1:8" ht="16.5" customHeight="1" x14ac:dyDescent="0.25">
      <c r="A1760" s="27">
        <v>45862</v>
      </c>
      <c r="B1760" s="80">
        <v>2025</v>
      </c>
      <c r="C1760" s="80">
        <v>7</v>
      </c>
      <c r="D1760" s="30" t="s">
        <v>56</v>
      </c>
      <c r="E1760" s="30" t="s">
        <v>61</v>
      </c>
      <c r="F1760" s="30" t="s">
        <v>43</v>
      </c>
      <c r="G1760" s="33">
        <v>5.61</v>
      </c>
      <c r="H1760" s="83" t="s">
        <v>89</v>
      </c>
    </row>
    <row r="1761" spans="1:8" ht="16.5" customHeight="1" x14ac:dyDescent="0.25">
      <c r="A1761" s="27">
        <v>45862</v>
      </c>
      <c r="B1761" s="80">
        <v>2025</v>
      </c>
      <c r="C1761" s="80">
        <v>7</v>
      </c>
      <c r="D1761" s="30" t="s">
        <v>56</v>
      </c>
      <c r="E1761" s="30" t="s">
        <v>64</v>
      </c>
      <c r="F1761" s="30" t="s">
        <v>43</v>
      </c>
      <c r="G1761" s="33">
        <v>14.00705</v>
      </c>
      <c r="H1761" s="83" t="s">
        <v>89</v>
      </c>
    </row>
    <row r="1762" spans="1:8" ht="16.5" customHeight="1" x14ac:dyDescent="0.25">
      <c r="A1762" s="27">
        <v>45862</v>
      </c>
      <c r="B1762" s="80">
        <v>2025</v>
      </c>
      <c r="C1762" s="80">
        <v>7</v>
      </c>
      <c r="D1762" s="30" t="s">
        <v>56</v>
      </c>
      <c r="E1762" s="30" t="s">
        <v>68</v>
      </c>
      <c r="F1762" s="30" t="s">
        <v>43</v>
      </c>
      <c r="G1762" s="33">
        <v>4.55</v>
      </c>
      <c r="H1762" s="83" t="s">
        <v>89</v>
      </c>
    </row>
    <row r="1763" spans="1:8" ht="16.5" customHeight="1" x14ac:dyDescent="0.25">
      <c r="A1763" s="27">
        <v>45862</v>
      </c>
      <c r="B1763" s="80">
        <v>2025</v>
      </c>
      <c r="C1763" s="80">
        <v>7</v>
      </c>
      <c r="D1763" s="30" t="s">
        <v>56</v>
      </c>
      <c r="E1763" s="30" t="s">
        <v>74</v>
      </c>
      <c r="F1763" s="30" t="s">
        <v>43</v>
      </c>
      <c r="G1763" s="33">
        <v>8.4600000000000009</v>
      </c>
      <c r="H1763" s="83" t="s">
        <v>89</v>
      </c>
    </row>
    <row r="1764" spans="1:8" ht="16.5" customHeight="1" x14ac:dyDescent="0.25">
      <c r="A1764" s="27">
        <v>45862</v>
      </c>
      <c r="B1764" s="80">
        <v>2025</v>
      </c>
      <c r="C1764" s="80">
        <v>7</v>
      </c>
      <c r="D1764" s="30" t="s">
        <v>56</v>
      </c>
      <c r="E1764" s="30" t="s">
        <v>76</v>
      </c>
      <c r="F1764" s="30" t="s">
        <v>39</v>
      </c>
      <c r="G1764" s="33">
        <v>297.76899950000001</v>
      </c>
      <c r="H1764" s="83" t="s">
        <v>48</v>
      </c>
    </row>
    <row r="1765" spans="1:8" ht="16.5" customHeight="1" x14ac:dyDescent="0.25">
      <c r="A1765" s="27">
        <v>45862</v>
      </c>
      <c r="B1765" s="80">
        <v>2025</v>
      </c>
      <c r="C1765" s="80">
        <v>7</v>
      </c>
      <c r="D1765" s="30" t="s">
        <v>56</v>
      </c>
      <c r="E1765" s="30" t="s">
        <v>76</v>
      </c>
      <c r="F1765" s="30" t="s">
        <v>43</v>
      </c>
      <c r="G1765" s="33">
        <v>15.576000000000001</v>
      </c>
      <c r="H1765" s="83" t="s">
        <v>48</v>
      </c>
    </row>
    <row r="1766" spans="1:8" ht="16.5" customHeight="1" x14ac:dyDescent="0.25">
      <c r="A1766" s="27">
        <v>45863</v>
      </c>
      <c r="B1766" s="80">
        <v>2025</v>
      </c>
      <c r="C1766" s="80">
        <v>7</v>
      </c>
      <c r="D1766" s="30" t="s">
        <v>56</v>
      </c>
      <c r="E1766" s="30" t="s">
        <v>38</v>
      </c>
      <c r="F1766" s="30" t="s">
        <v>43</v>
      </c>
      <c r="G1766" s="33">
        <v>10.664576</v>
      </c>
      <c r="H1766" s="83" t="s">
        <v>88</v>
      </c>
    </row>
    <row r="1767" spans="1:8" ht="16.5" customHeight="1" x14ac:dyDescent="0.25">
      <c r="A1767" s="27">
        <v>45863</v>
      </c>
      <c r="B1767" s="80">
        <v>2025</v>
      </c>
      <c r="C1767" s="80">
        <v>7</v>
      </c>
      <c r="D1767" s="30" t="s">
        <v>56</v>
      </c>
      <c r="E1767" s="30" t="s">
        <v>38</v>
      </c>
      <c r="F1767" s="30" t="s">
        <v>58</v>
      </c>
      <c r="G1767" s="33">
        <v>0.1606416</v>
      </c>
      <c r="H1767" s="83" t="s">
        <v>88</v>
      </c>
    </row>
    <row r="1768" spans="1:8" ht="16.5" customHeight="1" x14ac:dyDescent="0.25">
      <c r="A1768" s="27">
        <v>45863</v>
      </c>
      <c r="B1768" s="80">
        <v>2025</v>
      </c>
      <c r="C1768" s="80">
        <v>7</v>
      </c>
      <c r="D1768" s="30" t="s">
        <v>56</v>
      </c>
      <c r="E1768" s="30" t="s">
        <v>42</v>
      </c>
      <c r="F1768" s="30" t="s">
        <v>43</v>
      </c>
      <c r="G1768" s="33">
        <v>6.39</v>
      </c>
      <c r="H1768" s="83" t="s">
        <v>88</v>
      </c>
    </row>
    <row r="1769" spans="1:8" ht="16.5" customHeight="1" x14ac:dyDescent="0.25">
      <c r="A1769" s="27">
        <v>45863</v>
      </c>
      <c r="B1769" s="80">
        <v>2025</v>
      </c>
      <c r="C1769" s="80">
        <v>7</v>
      </c>
      <c r="D1769" s="30" t="s">
        <v>56</v>
      </c>
      <c r="E1769" s="30" t="s">
        <v>46</v>
      </c>
      <c r="F1769" s="30" t="s">
        <v>58</v>
      </c>
      <c r="G1769" s="33">
        <v>0.64013399999999998</v>
      </c>
      <c r="H1769" s="83" t="s">
        <v>88</v>
      </c>
    </row>
    <row r="1770" spans="1:8" ht="16.5" customHeight="1" x14ac:dyDescent="0.25">
      <c r="A1770" s="27">
        <v>45863</v>
      </c>
      <c r="B1770" s="80">
        <v>2025</v>
      </c>
      <c r="C1770" s="80">
        <v>7</v>
      </c>
      <c r="D1770" s="30" t="s">
        <v>56</v>
      </c>
      <c r="E1770" s="30" t="s">
        <v>50</v>
      </c>
      <c r="F1770" s="30" t="s">
        <v>43</v>
      </c>
      <c r="G1770" s="33">
        <v>13.9833602</v>
      </c>
      <c r="H1770" s="83" t="s">
        <v>88</v>
      </c>
    </row>
    <row r="1771" spans="1:8" ht="16.5" customHeight="1" x14ac:dyDescent="0.25">
      <c r="A1771" s="27">
        <v>45863</v>
      </c>
      <c r="B1771" s="80">
        <v>2025</v>
      </c>
      <c r="C1771" s="80">
        <v>7</v>
      </c>
      <c r="D1771" s="30" t="s">
        <v>56</v>
      </c>
      <c r="E1771" s="30" t="s">
        <v>50</v>
      </c>
      <c r="F1771" s="30" t="s">
        <v>47</v>
      </c>
      <c r="G1771" s="33">
        <v>0.62160000000000004</v>
      </c>
      <c r="H1771" s="83" t="s">
        <v>88</v>
      </c>
    </row>
    <row r="1772" spans="1:8" ht="16.5" customHeight="1" x14ac:dyDescent="0.25">
      <c r="A1772" s="27">
        <v>45863</v>
      </c>
      <c r="B1772" s="80">
        <v>2025</v>
      </c>
      <c r="C1772" s="80">
        <v>7</v>
      </c>
      <c r="D1772" s="30" t="s">
        <v>56</v>
      </c>
      <c r="E1772" s="30" t="s">
        <v>54</v>
      </c>
      <c r="F1772" s="30" t="s">
        <v>43</v>
      </c>
      <c r="G1772" s="33">
        <v>2.448</v>
      </c>
      <c r="H1772" s="83" t="s">
        <v>88</v>
      </c>
    </row>
    <row r="1773" spans="1:8" ht="16.5" customHeight="1" x14ac:dyDescent="0.25">
      <c r="A1773" s="27">
        <v>45863</v>
      </c>
      <c r="B1773" s="80">
        <v>2025</v>
      </c>
      <c r="C1773" s="80">
        <v>7</v>
      </c>
      <c r="D1773" s="30" t="s">
        <v>56</v>
      </c>
      <c r="E1773" s="30" t="s">
        <v>54</v>
      </c>
      <c r="F1773" s="30" t="s">
        <v>47</v>
      </c>
      <c r="G1773" s="33">
        <v>2.0499999999999998</v>
      </c>
      <c r="H1773" s="83" t="s">
        <v>88</v>
      </c>
    </row>
    <row r="1774" spans="1:8" ht="16.5" customHeight="1" x14ac:dyDescent="0.25">
      <c r="A1774" s="27">
        <v>45863</v>
      </c>
      <c r="B1774" s="80">
        <v>2025</v>
      </c>
      <c r="C1774" s="80">
        <v>7</v>
      </c>
      <c r="D1774" s="30" t="s">
        <v>56</v>
      </c>
      <c r="E1774" s="30" t="s">
        <v>57</v>
      </c>
      <c r="F1774" s="30" t="s">
        <v>43</v>
      </c>
      <c r="G1774" s="33">
        <v>30.444649999999999</v>
      </c>
      <c r="H1774" s="83" t="s">
        <v>89</v>
      </c>
    </row>
    <row r="1775" spans="1:8" ht="16.5" customHeight="1" x14ac:dyDescent="0.25">
      <c r="A1775" s="27">
        <v>45863</v>
      </c>
      <c r="B1775" s="80">
        <v>2025</v>
      </c>
      <c r="C1775" s="80">
        <v>7</v>
      </c>
      <c r="D1775" s="30" t="s">
        <v>56</v>
      </c>
      <c r="E1775" s="30" t="s">
        <v>68</v>
      </c>
      <c r="F1775" s="30" t="s">
        <v>43</v>
      </c>
      <c r="G1775" s="33">
        <v>2.5550000000000002</v>
      </c>
      <c r="H1775" s="83" t="s">
        <v>89</v>
      </c>
    </row>
    <row r="1776" spans="1:8" ht="16.5" customHeight="1" x14ac:dyDescent="0.25">
      <c r="A1776" s="27">
        <v>45863</v>
      </c>
      <c r="B1776" s="80">
        <v>2025</v>
      </c>
      <c r="C1776" s="80">
        <v>7</v>
      </c>
      <c r="D1776" s="30" t="s">
        <v>56</v>
      </c>
      <c r="E1776" s="30" t="s">
        <v>71</v>
      </c>
      <c r="F1776" s="30" t="s">
        <v>51</v>
      </c>
      <c r="G1776" s="33">
        <v>2.25</v>
      </c>
      <c r="H1776" s="83" t="s">
        <v>89</v>
      </c>
    </row>
    <row r="1777" spans="1:8" ht="16.5" customHeight="1" x14ac:dyDescent="0.25">
      <c r="A1777" s="27">
        <v>45863</v>
      </c>
      <c r="B1777" s="80">
        <v>2025</v>
      </c>
      <c r="C1777" s="80">
        <v>7</v>
      </c>
      <c r="D1777" s="30" t="s">
        <v>56</v>
      </c>
      <c r="E1777" s="30" t="s">
        <v>73</v>
      </c>
      <c r="F1777" s="30" t="s">
        <v>43</v>
      </c>
      <c r="G1777" s="33">
        <v>13.776999999999999</v>
      </c>
      <c r="H1777" s="83" t="s">
        <v>89</v>
      </c>
    </row>
    <row r="1778" spans="1:8" ht="16.5" customHeight="1" x14ac:dyDescent="0.25">
      <c r="A1778" s="27">
        <v>45863</v>
      </c>
      <c r="B1778" s="80">
        <v>2025</v>
      </c>
      <c r="C1778" s="80">
        <v>7</v>
      </c>
      <c r="D1778" s="30" t="s">
        <v>56</v>
      </c>
      <c r="E1778" s="30" t="s">
        <v>76</v>
      </c>
      <c r="F1778" s="30" t="s">
        <v>39</v>
      </c>
      <c r="G1778" s="33">
        <v>34.923298000000003</v>
      </c>
      <c r="H1778" s="83" t="s">
        <v>48</v>
      </c>
    </row>
    <row r="1779" spans="1:8" ht="16.5" customHeight="1" x14ac:dyDescent="0.25">
      <c r="A1779" s="27">
        <v>45866</v>
      </c>
      <c r="B1779" s="80">
        <v>2025</v>
      </c>
      <c r="C1779" s="80">
        <v>7</v>
      </c>
      <c r="D1779" s="30" t="s">
        <v>56</v>
      </c>
      <c r="E1779" s="30" t="s">
        <v>38</v>
      </c>
      <c r="F1779" s="30" t="s">
        <v>43</v>
      </c>
      <c r="G1779" s="33">
        <v>5.0709999999999997</v>
      </c>
      <c r="H1779" s="83" t="s">
        <v>88</v>
      </c>
    </row>
    <row r="1780" spans="1:8" ht="16.5" customHeight="1" x14ac:dyDescent="0.25">
      <c r="A1780" s="27">
        <v>45866</v>
      </c>
      <c r="B1780" s="80">
        <v>2025</v>
      </c>
      <c r="C1780" s="80">
        <v>7</v>
      </c>
      <c r="D1780" s="30" t="s">
        <v>56</v>
      </c>
      <c r="E1780" s="30" t="s">
        <v>42</v>
      </c>
      <c r="F1780" s="30" t="s">
        <v>43</v>
      </c>
      <c r="G1780" s="33">
        <v>16.09356</v>
      </c>
      <c r="H1780" s="83" t="s">
        <v>88</v>
      </c>
    </row>
    <row r="1781" spans="1:8" ht="16.5" customHeight="1" x14ac:dyDescent="0.25">
      <c r="A1781" s="27">
        <v>45866</v>
      </c>
      <c r="B1781" s="80">
        <v>2025</v>
      </c>
      <c r="C1781" s="80">
        <v>7</v>
      </c>
      <c r="D1781" s="30" t="s">
        <v>56</v>
      </c>
      <c r="E1781" s="30" t="s">
        <v>46</v>
      </c>
      <c r="F1781" s="30" t="s">
        <v>43</v>
      </c>
      <c r="G1781" s="33">
        <v>4.7403758900000001</v>
      </c>
      <c r="H1781" s="83" t="s">
        <v>88</v>
      </c>
    </row>
    <row r="1782" spans="1:8" ht="16.5" customHeight="1" x14ac:dyDescent="0.25">
      <c r="A1782" s="27">
        <v>45866</v>
      </c>
      <c r="B1782" s="80">
        <v>2025</v>
      </c>
      <c r="C1782" s="80">
        <v>7</v>
      </c>
      <c r="D1782" s="30" t="s">
        <v>56</v>
      </c>
      <c r="E1782" s="30" t="s">
        <v>46</v>
      </c>
      <c r="F1782" s="30" t="s">
        <v>51</v>
      </c>
      <c r="G1782" s="33">
        <v>0.26216</v>
      </c>
      <c r="H1782" s="83" t="s">
        <v>88</v>
      </c>
    </row>
    <row r="1783" spans="1:8" ht="16.5" customHeight="1" x14ac:dyDescent="0.25">
      <c r="A1783" s="27">
        <v>45866</v>
      </c>
      <c r="B1783" s="80">
        <v>2025</v>
      </c>
      <c r="C1783" s="80">
        <v>7</v>
      </c>
      <c r="D1783" s="30" t="s">
        <v>56</v>
      </c>
      <c r="E1783" s="30" t="s">
        <v>46</v>
      </c>
      <c r="F1783" s="30" t="s">
        <v>58</v>
      </c>
      <c r="G1783" s="33">
        <v>0.38696625000000001</v>
      </c>
      <c r="H1783" s="83" t="s">
        <v>88</v>
      </c>
    </row>
    <row r="1784" spans="1:8" ht="16.5" customHeight="1" x14ac:dyDescent="0.25">
      <c r="A1784" s="27">
        <v>45866</v>
      </c>
      <c r="B1784" s="80">
        <v>2025</v>
      </c>
      <c r="C1784" s="80">
        <v>7</v>
      </c>
      <c r="D1784" s="30" t="s">
        <v>56</v>
      </c>
      <c r="E1784" s="30" t="s">
        <v>50</v>
      </c>
      <c r="F1784" s="30" t="s">
        <v>43</v>
      </c>
      <c r="G1784" s="33">
        <v>62.168671500000002</v>
      </c>
      <c r="H1784" s="83" t="s">
        <v>88</v>
      </c>
    </row>
    <row r="1785" spans="1:8" ht="16.5" customHeight="1" x14ac:dyDescent="0.25">
      <c r="A1785" s="27">
        <v>45866</v>
      </c>
      <c r="B1785" s="80">
        <v>2025</v>
      </c>
      <c r="C1785" s="80">
        <v>7</v>
      </c>
      <c r="D1785" s="30" t="s">
        <v>56</v>
      </c>
      <c r="E1785" s="30" t="s">
        <v>50</v>
      </c>
      <c r="F1785" s="30" t="s">
        <v>47</v>
      </c>
      <c r="G1785" s="33">
        <v>0.62160000000000004</v>
      </c>
      <c r="H1785" s="83" t="s">
        <v>88</v>
      </c>
    </row>
    <row r="1786" spans="1:8" ht="16.5" customHeight="1" x14ac:dyDescent="0.25">
      <c r="A1786" s="27">
        <v>45866</v>
      </c>
      <c r="B1786" s="80">
        <v>2025</v>
      </c>
      <c r="C1786" s="80">
        <v>7</v>
      </c>
      <c r="D1786" s="30" t="s">
        <v>56</v>
      </c>
      <c r="E1786" s="30" t="s">
        <v>50</v>
      </c>
      <c r="F1786" s="30" t="s">
        <v>55</v>
      </c>
      <c r="G1786" s="33">
        <v>0.53549999999999998</v>
      </c>
      <c r="H1786" s="83" t="s">
        <v>88</v>
      </c>
    </row>
    <row r="1787" spans="1:8" ht="16.5" customHeight="1" x14ac:dyDescent="0.25">
      <c r="A1787" s="27">
        <v>45866</v>
      </c>
      <c r="B1787" s="80">
        <v>2025</v>
      </c>
      <c r="C1787" s="80">
        <v>7</v>
      </c>
      <c r="D1787" s="30" t="s">
        <v>56</v>
      </c>
      <c r="E1787" s="30" t="s">
        <v>50</v>
      </c>
      <c r="F1787" s="30" t="s">
        <v>58</v>
      </c>
      <c r="G1787" s="33">
        <v>0.25414674999999998</v>
      </c>
      <c r="H1787" s="83" t="s">
        <v>88</v>
      </c>
    </row>
    <row r="1788" spans="1:8" ht="16.5" customHeight="1" x14ac:dyDescent="0.25">
      <c r="A1788" s="27">
        <v>45866</v>
      </c>
      <c r="B1788" s="80">
        <v>2025</v>
      </c>
      <c r="C1788" s="80">
        <v>7</v>
      </c>
      <c r="D1788" s="30" t="s">
        <v>56</v>
      </c>
      <c r="E1788" s="30" t="s">
        <v>54</v>
      </c>
      <c r="F1788" s="30" t="s">
        <v>43</v>
      </c>
      <c r="G1788" s="33">
        <v>6.3397500000000004</v>
      </c>
      <c r="H1788" s="83" t="s">
        <v>88</v>
      </c>
    </row>
    <row r="1789" spans="1:8" ht="16.5" customHeight="1" x14ac:dyDescent="0.25">
      <c r="A1789" s="27">
        <v>45866</v>
      </c>
      <c r="B1789" s="80">
        <v>2025</v>
      </c>
      <c r="C1789" s="80">
        <v>7</v>
      </c>
      <c r="D1789" s="30" t="s">
        <v>56</v>
      </c>
      <c r="E1789" s="30" t="s">
        <v>64</v>
      </c>
      <c r="F1789" s="30" t="s">
        <v>43</v>
      </c>
      <c r="G1789" s="33">
        <v>39.6</v>
      </c>
      <c r="H1789" s="83" t="s">
        <v>89</v>
      </c>
    </row>
    <row r="1790" spans="1:8" ht="16.5" customHeight="1" x14ac:dyDescent="0.25">
      <c r="A1790" s="27">
        <v>45866</v>
      </c>
      <c r="B1790" s="80">
        <v>2025</v>
      </c>
      <c r="C1790" s="80">
        <v>7</v>
      </c>
      <c r="D1790" s="30" t="s">
        <v>56</v>
      </c>
      <c r="E1790" s="30" t="s">
        <v>68</v>
      </c>
      <c r="F1790" s="30" t="s">
        <v>43</v>
      </c>
      <c r="G1790" s="33">
        <v>1.5075000000000001</v>
      </c>
      <c r="H1790" s="83" t="s">
        <v>89</v>
      </c>
    </row>
    <row r="1791" spans="1:8" ht="16.5" customHeight="1" x14ac:dyDescent="0.25">
      <c r="A1791" s="27">
        <v>45867</v>
      </c>
      <c r="B1791" s="80">
        <v>2025</v>
      </c>
      <c r="C1791" s="80">
        <v>7</v>
      </c>
      <c r="D1791" s="30" t="s">
        <v>56</v>
      </c>
      <c r="E1791" s="30" t="s">
        <v>38</v>
      </c>
      <c r="F1791" s="30" t="s">
        <v>43</v>
      </c>
      <c r="G1791" s="33">
        <v>8.0145</v>
      </c>
      <c r="H1791" s="83" t="s">
        <v>88</v>
      </c>
    </row>
    <row r="1792" spans="1:8" ht="16.5" customHeight="1" x14ac:dyDescent="0.25">
      <c r="A1792" s="27">
        <v>45867</v>
      </c>
      <c r="B1792" s="80">
        <v>2025</v>
      </c>
      <c r="C1792" s="80">
        <v>7</v>
      </c>
      <c r="D1792" s="30" t="s">
        <v>56</v>
      </c>
      <c r="E1792" s="30" t="s">
        <v>42</v>
      </c>
      <c r="F1792" s="30" t="s">
        <v>43</v>
      </c>
      <c r="G1792" s="33">
        <v>7.0285000000000002</v>
      </c>
      <c r="H1792" s="83" t="s">
        <v>88</v>
      </c>
    </row>
    <row r="1793" spans="1:8" ht="16.5" customHeight="1" x14ac:dyDescent="0.25">
      <c r="A1793" s="27">
        <v>45867</v>
      </c>
      <c r="B1793" s="80">
        <v>2025</v>
      </c>
      <c r="C1793" s="80">
        <v>7</v>
      </c>
      <c r="D1793" s="30" t="s">
        <v>56</v>
      </c>
      <c r="E1793" s="30" t="s">
        <v>42</v>
      </c>
      <c r="F1793" s="30" t="s">
        <v>58</v>
      </c>
      <c r="G1793" s="33">
        <v>1.30399</v>
      </c>
      <c r="H1793" s="83" t="s">
        <v>88</v>
      </c>
    </row>
    <row r="1794" spans="1:8" ht="16.5" customHeight="1" x14ac:dyDescent="0.25">
      <c r="A1794" s="27">
        <v>45867</v>
      </c>
      <c r="B1794" s="80">
        <v>2025</v>
      </c>
      <c r="C1794" s="80">
        <v>7</v>
      </c>
      <c r="D1794" s="30" t="s">
        <v>56</v>
      </c>
      <c r="E1794" s="30" t="s">
        <v>46</v>
      </c>
      <c r="F1794" s="30" t="s">
        <v>43</v>
      </c>
      <c r="G1794" s="33">
        <v>1.060392</v>
      </c>
      <c r="H1794" s="83" t="s">
        <v>88</v>
      </c>
    </row>
    <row r="1795" spans="1:8" ht="16.5" customHeight="1" x14ac:dyDescent="0.25">
      <c r="A1795" s="27">
        <v>45867</v>
      </c>
      <c r="B1795" s="80">
        <v>2025</v>
      </c>
      <c r="C1795" s="80">
        <v>7</v>
      </c>
      <c r="D1795" s="30" t="s">
        <v>56</v>
      </c>
      <c r="E1795" s="30" t="s">
        <v>46</v>
      </c>
      <c r="F1795" s="30" t="s">
        <v>58</v>
      </c>
      <c r="G1795" s="33">
        <v>0.90455099999999999</v>
      </c>
      <c r="H1795" s="83" t="s">
        <v>88</v>
      </c>
    </row>
    <row r="1796" spans="1:8" ht="16.5" customHeight="1" x14ac:dyDescent="0.25">
      <c r="A1796" s="27">
        <v>45867</v>
      </c>
      <c r="B1796" s="80">
        <v>2025</v>
      </c>
      <c r="C1796" s="80">
        <v>7</v>
      </c>
      <c r="D1796" s="30" t="s">
        <v>56</v>
      </c>
      <c r="E1796" s="30" t="s">
        <v>50</v>
      </c>
      <c r="F1796" s="30" t="s">
        <v>43</v>
      </c>
      <c r="G1796" s="33">
        <v>53.139715199999998</v>
      </c>
      <c r="H1796" s="83" t="s">
        <v>88</v>
      </c>
    </row>
    <row r="1797" spans="1:8" ht="16.5" customHeight="1" x14ac:dyDescent="0.25">
      <c r="A1797" s="27">
        <v>45867</v>
      </c>
      <c r="B1797" s="80">
        <v>2025</v>
      </c>
      <c r="C1797" s="80">
        <v>7</v>
      </c>
      <c r="D1797" s="30" t="s">
        <v>56</v>
      </c>
      <c r="E1797" s="30" t="s">
        <v>54</v>
      </c>
      <c r="F1797" s="30" t="s">
        <v>43</v>
      </c>
      <c r="G1797" s="33">
        <v>3.2</v>
      </c>
      <c r="H1797" s="83" t="s">
        <v>88</v>
      </c>
    </row>
    <row r="1798" spans="1:8" ht="16.5" customHeight="1" x14ac:dyDescent="0.25">
      <c r="A1798" s="27">
        <v>45867</v>
      </c>
      <c r="B1798" s="80">
        <v>2025</v>
      </c>
      <c r="C1798" s="80">
        <v>7</v>
      </c>
      <c r="D1798" s="30" t="s">
        <v>56</v>
      </c>
      <c r="E1798" s="30" t="s">
        <v>68</v>
      </c>
      <c r="F1798" s="30" t="s">
        <v>43</v>
      </c>
      <c r="G1798" s="33">
        <v>9.25</v>
      </c>
      <c r="H1798" s="83" t="s">
        <v>89</v>
      </c>
    </row>
    <row r="1799" spans="1:8" ht="16.5" customHeight="1" x14ac:dyDescent="0.25">
      <c r="A1799" s="27">
        <v>45867</v>
      </c>
      <c r="B1799" s="80">
        <v>2025</v>
      </c>
      <c r="C1799" s="80">
        <v>7</v>
      </c>
      <c r="D1799" s="30" t="s">
        <v>56</v>
      </c>
      <c r="E1799" s="30" t="s">
        <v>73</v>
      </c>
      <c r="F1799" s="30" t="s">
        <v>43</v>
      </c>
      <c r="G1799" s="33">
        <v>3.601416</v>
      </c>
      <c r="H1799" s="83" t="s">
        <v>89</v>
      </c>
    </row>
    <row r="1800" spans="1:8" ht="16.5" customHeight="1" x14ac:dyDescent="0.25">
      <c r="A1800" s="27">
        <v>45868</v>
      </c>
      <c r="B1800" s="80">
        <v>2025</v>
      </c>
      <c r="C1800" s="80">
        <v>7</v>
      </c>
      <c r="D1800" s="30" t="s">
        <v>56</v>
      </c>
      <c r="E1800" s="30" t="s">
        <v>38</v>
      </c>
      <c r="F1800" s="30" t="s">
        <v>43</v>
      </c>
      <c r="G1800" s="33">
        <v>9.3309999999999995</v>
      </c>
      <c r="H1800" s="83" t="s">
        <v>88</v>
      </c>
    </row>
    <row r="1801" spans="1:8" ht="16.5" customHeight="1" x14ac:dyDescent="0.25">
      <c r="A1801" s="27">
        <v>45868</v>
      </c>
      <c r="B1801" s="80">
        <v>2025</v>
      </c>
      <c r="C1801" s="80">
        <v>7</v>
      </c>
      <c r="D1801" s="30" t="s">
        <v>56</v>
      </c>
      <c r="E1801" s="30" t="s">
        <v>38</v>
      </c>
      <c r="F1801" s="30" t="s">
        <v>55</v>
      </c>
      <c r="G1801" s="33">
        <v>0.72</v>
      </c>
      <c r="H1801" s="83" t="s">
        <v>88</v>
      </c>
    </row>
    <row r="1802" spans="1:8" ht="16.5" customHeight="1" x14ac:dyDescent="0.25">
      <c r="A1802" s="27">
        <v>45868</v>
      </c>
      <c r="B1802" s="80">
        <v>2025</v>
      </c>
      <c r="C1802" s="80">
        <v>7</v>
      </c>
      <c r="D1802" s="30" t="s">
        <v>56</v>
      </c>
      <c r="E1802" s="30" t="s">
        <v>46</v>
      </c>
      <c r="F1802" s="30" t="s">
        <v>43</v>
      </c>
      <c r="G1802" s="33">
        <v>22.17183</v>
      </c>
      <c r="H1802" s="83" t="s">
        <v>88</v>
      </c>
    </row>
    <row r="1803" spans="1:8" ht="16.5" customHeight="1" x14ac:dyDescent="0.25">
      <c r="A1803" s="27">
        <v>45868</v>
      </c>
      <c r="B1803" s="80">
        <v>2025</v>
      </c>
      <c r="C1803" s="80">
        <v>7</v>
      </c>
      <c r="D1803" s="30" t="s">
        <v>56</v>
      </c>
      <c r="E1803" s="30" t="s">
        <v>46</v>
      </c>
      <c r="F1803" s="30" t="s">
        <v>51</v>
      </c>
      <c r="G1803" s="33">
        <v>7.9500000000000001E-2</v>
      </c>
      <c r="H1803" s="83" t="s">
        <v>88</v>
      </c>
    </row>
    <row r="1804" spans="1:8" ht="16.5" customHeight="1" x14ac:dyDescent="0.25">
      <c r="A1804" s="27">
        <v>45868</v>
      </c>
      <c r="B1804" s="80">
        <v>2025</v>
      </c>
      <c r="C1804" s="80">
        <v>7</v>
      </c>
      <c r="D1804" s="30" t="s">
        <v>56</v>
      </c>
      <c r="E1804" s="30" t="s">
        <v>46</v>
      </c>
      <c r="F1804" s="30" t="s">
        <v>58</v>
      </c>
      <c r="G1804" s="33">
        <v>1.2251286749999999</v>
      </c>
      <c r="H1804" s="83" t="s">
        <v>88</v>
      </c>
    </row>
    <row r="1805" spans="1:8" ht="16.5" customHeight="1" x14ac:dyDescent="0.25">
      <c r="A1805" s="27">
        <v>45868</v>
      </c>
      <c r="B1805" s="80">
        <v>2025</v>
      </c>
      <c r="C1805" s="80">
        <v>7</v>
      </c>
      <c r="D1805" s="30" t="s">
        <v>56</v>
      </c>
      <c r="E1805" s="30" t="s">
        <v>54</v>
      </c>
      <c r="F1805" s="30" t="s">
        <v>43</v>
      </c>
      <c r="G1805" s="33">
        <v>3.9624999999999999</v>
      </c>
      <c r="H1805" s="83" t="s">
        <v>88</v>
      </c>
    </row>
    <row r="1806" spans="1:8" ht="16.5" customHeight="1" x14ac:dyDescent="0.25">
      <c r="A1806" s="27">
        <v>45868</v>
      </c>
      <c r="B1806" s="80">
        <v>2025</v>
      </c>
      <c r="C1806" s="80">
        <v>7</v>
      </c>
      <c r="D1806" s="30" t="s">
        <v>56</v>
      </c>
      <c r="E1806" s="30" t="s">
        <v>61</v>
      </c>
      <c r="F1806" s="30" t="s">
        <v>43</v>
      </c>
      <c r="G1806" s="33">
        <v>28.488900000000001</v>
      </c>
      <c r="H1806" s="83" t="s">
        <v>89</v>
      </c>
    </row>
    <row r="1807" spans="1:8" ht="16.5" customHeight="1" x14ac:dyDescent="0.25">
      <c r="A1807" s="27">
        <v>45868</v>
      </c>
      <c r="B1807" s="80">
        <v>2025</v>
      </c>
      <c r="C1807" s="80">
        <v>7</v>
      </c>
      <c r="D1807" s="30" t="s">
        <v>56</v>
      </c>
      <c r="E1807" s="30" t="s">
        <v>64</v>
      </c>
      <c r="F1807" s="30" t="s">
        <v>43</v>
      </c>
      <c r="G1807" s="33">
        <v>2.1595</v>
      </c>
      <c r="H1807" s="83" t="s">
        <v>89</v>
      </c>
    </row>
    <row r="1808" spans="1:8" ht="16.5" customHeight="1" x14ac:dyDescent="0.25">
      <c r="A1808" s="27">
        <v>45868</v>
      </c>
      <c r="B1808" s="80">
        <v>2025</v>
      </c>
      <c r="C1808" s="80">
        <v>7</v>
      </c>
      <c r="D1808" s="30" t="s">
        <v>56</v>
      </c>
      <c r="E1808" s="30" t="s">
        <v>64</v>
      </c>
      <c r="F1808" s="30" t="s">
        <v>55</v>
      </c>
      <c r="G1808" s="33">
        <v>0.6</v>
      </c>
      <c r="H1808" s="83" t="s">
        <v>89</v>
      </c>
    </row>
    <row r="1809" spans="1:8" ht="16.5" customHeight="1" x14ac:dyDescent="0.25">
      <c r="A1809" s="27">
        <v>45868</v>
      </c>
      <c r="B1809" s="80">
        <v>2025</v>
      </c>
      <c r="C1809" s="80">
        <v>7</v>
      </c>
      <c r="D1809" s="30" t="s">
        <v>56</v>
      </c>
      <c r="E1809" s="30" t="s">
        <v>66</v>
      </c>
      <c r="F1809" s="30" t="s">
        <v>43</v>
      </c>
      <c r="G1809" s="33">
        <v>11.622</v>
      </c>
      <c r="H1809" s="83" t="s">
        <v>89</v>
      </c>
    </row>
    <row r="1810" spans="1:8" ht="16.5" customHeight="1" x14ac:dyDescent="0.25">
      <c r="A1810" s="27">
        <v>45868</v>
      </c>
      <c r="B1810" s="80">
        <v>2025</v>
      </c>
      <c r="C1810" s="80">
        <v>7</v>
      </c>
      <c r="D1810" s="30" t="s">
        <v>56</v>
      </c>
      <c r="E1810" s="30" t="s">
        <v>68</v>
      </c>
      <c r="F1810" s="30" t="s">
        <v>43</v>
      </c>
      <c r="G1810" s="33">
        <v>1.5974999999999999</v>
      </c>
      <c r="H1810" s="83" t="s">
        <v>89</v>
      </c>
    </row>
    <row r="1811" spans="1:8" ht="16.5" customHeight="1" x14ac:dyDescent="0.25">
      <c r="A1811" s="27">
        <v>45868</v>
      </c>
      <c r="B1811" s="80">
        <v>2025</v>
      </c>
      <c r="C1811" s="80">
        <v>7</v>
      </c>
      <c r="D1811" s="30" t="s">
        <v>56</v>
      </c>
      <c r="E1811" s="30" t="s">
        <v>71</v>
      </c>
      <c r="F1811" s="30" t="s">
        <v>43</v>
      </c>
      <c r="G1811" s="33">
        <v>8.4133899999999997</v>
      </c>
      <c r="H1811" s="83" t="s">
        <v>89</v>
      </c>
    </row>
    <row r="1812" spans="1:8" ht="16.5" customHeight="1" x14ac:dyDescent="0.25">
      <c r="A1812" s="27">
        <v>45869</v>
      </c>
      <c r="B1812" s="80">
        <v>2025</v>
      </c>
      <c r="C1812" s="80">
        <v>7</v>
      </c>
      <c r="D1812" s="30" t="s">
        <v>56</v>
      </c>
      <c r="E1812" s="30" t="s">
        <v>38</v>
      </c>
      <c r="F1812" s="30" t="s">
        <v>43</v>
      </c>
      <c r="G1812" s="33">
        <v>0.35160000000000002</v>
      </c>
      <c r="H1812" s="83" t="s">
        <v>88</v>
      </c>
    </row>
    <row r="1813" spans="1:8" ht="16.5" customHeight="1" x14ac:dyDescent="0.25">
      <c r="A1813" s="27">
        <v>45869</v>
      </c>
      <c r="B1813" s="80">
        <v>2025</v>
      </c>
      <c r="C1813" s="80">
        <v>7</v>
      </c>
      <c r="D1813" s="30" t="s">
        <v>56</v>
      </c>
      <c r="E1813" s="30" t="s">
        <v>42</v>
      </c>
      <c r="F1813" s="30" t="s">
        <v>43</v>
      </c>
      <c r="G1813" s="33">
        <v>2.0750000000000002</v>
      </c>
      <c r="H1813" s="83" t="s">
        <v>88</v>
      </c>
    </row>
    <row r="1814" spans="1:8" ht="16.5" customHeight="1" x14ac:dyDescent="0.25">
      <c r="A1814" s="27">
        <v>45869</v>
      </c>
      <c r="B1814" s="80">
        <v>2025</v>
      </c>
      <c r="C1814" s="80">
        <v>7</v>
      </c>
      <c r="D1814" s="30" t="s">
        <v>56</v>
      </c>
      <c r="E1814" s="30" t="s">
        <v>46</v>
      </c>
      <c r="F1814" s="30" t="s">
        <v>43</v>
      </c>
      <c r="G1814" s="33">
        <v>7.7111999999999998</v>
      </c>
      <c r="H1814" s="83" t="s">
        <v>88</v>
      </c>
    </row>
    <row r="1815" spans="1:8" ht="16.5" customHeight="1" x14ac:dyDescent="0.25">
      <c r="A1815" s="27">
        <v>45869</v>
      </c>
      <c r="B1815" s="80">
        <v>2025</v>
      </c>
      <c r="C1815" s="80">
        <v>7</v>
      </c>
      <c r="D1815" s="30" t="s">
        <v>56</v>
      </c>
      <c r="E1815" s="30" t="s">
        <v>46</v>
      </c>
      <c r="F1815" s="30" t="s">
        <v>47</v>
      </c>
      <c r="G1815" s="33">
        <v>-3.8555999999999999</v>
      </c>
      <c r="H1815" s="83" t="s">
        <v>88</v>
      </c>
    </row>
    <row r="1816" spans="1:8" ht="16.5" customHeight="1" x14ac:dyDescent="0.25">
      <c r="A1816" s="27">
        <v>45869</v>
      </c>
      <c r="B1816" s="80">
        <v>2025</v>
      </c>
      <c r="C1816" s="80">
        <v>7</v>
      </c>
      <c r="D1816" s="30" t="s">
        <v>56</v>
      </c>
      <c r="E1816" s="30" t="s">
        <v>50</v>
      </c>
      <c r="F1816" s="30" t="s">
        <v>43</v>
      </c>
      <c r="G1816" s="33">
        <v>6.6619362000000004</v>
      </c>
      <c r="H1816" s="83" t="s">
        <v>88</v>
      </c>
    </row>
    <row r="1817" spans="1:8" ht="16.5" customHeight="1" x14ac:dyDescent="0.25">
      <c r="A1817" s="27">
        <v>45869</v>
      </c>
      <c r="B1817" s="80">
        <v>2025</v>
      </c>
      <c r="C1817" s="80">
        <v>7</v>
      </c>
      <c r="D1817" s="30" t="s">
        <v>56</v>
      </c>
      <c r="E1817" s="30" t="s">
        <v>50</v>
      </c>
      <c r="F1817" s="30" t="s">
        <v>51</v>
      </c>
      <c r="G1817" s="33">
        <v>1.0029999999999999</v>
      </c>
      <c r="H1817" s="83" t="s">
        <v>88</v>
      </c>
    </row>
    <row r="1818" spans="1:8" ht="16.5" customHeight="1" x14ac:dyDescent="0.25">
      <c r="A1818" s="27">
        <v>45869</v>
      </c>
      <c r="B1818" s="80">
        <v>2025</v>
      </c>
      <c r="C1818" s="80">
        <v>7</v>
      </c>
      <c r="D1818" s="30" t="s">
        <v>56</v>
      </c>
      <c r="E1818" s="30" t="s">
        <v>54</v>
      </c>
      <c r="F1818" s="30" t="s">
        <v>43</v>
      </c>
      <c r="G1818" s="33">
        <v>0.2475</v>
      </c>
      <c r="H1818" s="83" t="s">
        <v>88</v>
      </c>
    </row>
    <row r="1819" spans="1:8" ht="16.5" customHeight="1" x14ac:dyDescent="0.25">
      <c r="A1819" s="27">
        <v>45869</v>
      </c>
      <c r="B1819" s="80">
        <v>2025</v>
      </c>
      <c r="C1819" s="80">
        <v>7</v>
      </c>
      <c r="D1819" s="30" t="s">
        <v>56</v>
      </c>
      <c r="E1819" s="30" t="s">
        <v>66</v>
      </c>
      <c r="F1819" s="30" t="s">
        <v>43</v>
      </c>
      <c r="G1819" s="33">
        <v>8.3845500000000008</v>
      </c>
      <c r="H1819" s="83" t="s">
        <v>89</v>
      </c>
    </row>
    <row r="1820" spans="1:8" ht="16.5" customHeight="1" x14ac:dyDescent="0.25">
      <c r="A1820" s="27">
        <v>45869</v>
      </c>
      <c r="B1820" s="80">
        <v>2025</v>
      </c>
      <c r="C1820" s="80">
        <v>7</v>
      </c>
      <c r="D1820" s="30" t="s">
        <v>56</v>
      </c>
      <c r="E1820" s="30" t="s">
        <v>68</v>
      </c>
      <c r="F1820" s="30" t="s">
        <v>43</v>
      </c>
      <c r="G1820" s="33">
        <v>4.7319000000000004</v>
      </c>
      <c r="H1820" s="83" t="s">
        <v>89</v>
      </c>
    </row>
    <row r="1821" spans="1:8" ht="16.5" customHeight="1" x14ac:dyDescent="0.25">
      <c r="A1821" s="27">
        <v>45869</v>
      </c>
      <c r="B1821" s="80">
        <v>2025</v>
      </c>
      <c r="C1821" s="80">
        <v>7</v>
      </c>
      <c r="D1821" s="30" t="s">
        <v>56</v>
      </c>
      <c r="E1821" s="30" t="s">
        <v>71</v>
      </c>
      <c r="F1821" s="30" t="s">
        <v>43</v>
      </c>
      <c r="G1821" s="33">
        <v>6.2862</v>
      </c>
      <c r="H1821" s="83" t="s">
        <v>89</v>
      </c>
    </row>
    <row r="1822" spans="1:8" ht="16.5" customHeight="1" x14ac:dyDescent="0.25">
      <c r="A1822" s="27">
        <v>45870</v>
      </c>
      <c r="B1822" s="80">
        <v>2025</v>
      </c>
      <c r="C1822" s="80">
        <v>8</v>
      </c>
      <c r="D1822" s="30" t="s">
        <v>60</v>
      </c>
      <c r="E1822" s="30" t="s">
        <v>38</v>
      </c>
      <c r="F1822" s="30" t="s">
        <v>43</v>
      </c>
      <c r="G1822" s="33">
        <v>6.4932999999999996</v>
      </c>
      <c r="H1822" s="83" t="s">
        <v>88</v>
      </c>
    </row>
    <row r="1823" spans="1:8" ht="16.5" customHeight="1" x14ac:dyDescent="0.25">
      <c r="A1823" s="27">
        <v>45870</v>
      </c>
      <c r="B1823" s="80">
        <v>2025</v>
      </c>
      <c r="C1823" s="80">
        <v>8</v>
      </c>
      <c r="D1823" s="30" t="s">
        <v>60</v>
      </c>
      <c r="E1823" s="30" t="s">
        <v>42</v>
      </c>
      <c r="F1823" s="30" t="s">
        <v>43</v>
      </c>
      <c r="G1823" s="33">
        <v>6.5659999999999998</v>
      </c>
      <c r="H1823" s="83" t="s">
        <v>88</v>
      </c>
    </row>
    <row r="1824" spans="1:8" ht="16.5" customHeight="1" x14ac:dyDescent="0.25">
      <c r="A1824" s="27">
        <v>45870</v>
      </c>
      <c r="B1824" s="80">
        <v>2025</v>
      </c>
      <c r="C1824" s="80">
        <v>8</v>
      </c>
      <c r="D1824" s="30" t="s">
        <v>60</v>
      </c>
      <c r="E1824" s="30" t="s">
        <v>46</v>
      </c>
      <c r="F1824" s="30" t="s">
        <v>43</v>
      </c>
      <c r="G1824" s="33">
        <v>3.533782</v>
      </c>
      <c r="H1824" s="83" t="s">
        <v>88</v>
      </c>
    </row>
    <row r="1825" spans="1:8" ht="16.5" customHeight="1" x14ac:dyDescent="0.25">
      <c r="A1825" s="27">
        <v>45870</v>
      </c>
      <c r="B1825" s="80">
        <v>2025</v>
      </c>
      <c r="C1825" s="80">
        <v>8</v>
      </c>
      <c r="D1825" s="30" t="s">
        <v>60</v>
      </c>
      <c r="E1825" s="30" t="s">
        <v>50</v>
      </c>
      <c r="F1825" s="30" t="s">
        <v>43</v>
      </c>
      <c r="G1825" s="33">
        <v>10.356999</v>
      </c>
      <c r="H1825" s="83" t="s">
        <v>88</v>
      </c>
    </row>
    <row r="1826" spans="1:8" ht="16.5" customHeight="1" x14ac:dyDescent="0.25">
      <c r="A1826" s="27">
        <v>45870</v>
      </c>
      <c r="B1826" s="80">
        <v>2025</v>
      </c>
      <c r="C1826" s="80">
        <v>8</v>
      </c>
      <c r="D1826" s="30" t="s">
        <v>60</v>
      </c>
      <c r="E1826" s="30" t="s">
        <v>54</v>
      </c>
      <c r="F1826" s="30" t="s">
        <v>43</v>
      </c>
      <c r="G1826" s="33">
        <v>4.08</v>
      </c>
      <c r="H1826" s="83" t="s">
        <v>88</v>
      </c>
    </row>
    <row r="1827" spans="1:8" ht="16.5" customHeight="1" x14ac:dyDescent="0.25">
      <c r="A1827" s="27">
        <v>45870</v>
      </c>
      <c r="B1827" s="80">
        <v>2025</v>
      </c>
      <c r="C1827" s="80">
        <v>8</v>
      </c>
      <c r="D1827" s="30" t="s">
        <v>60</v>
      </c>
      <c r="E1827" s="30" t="s">
        <v>57</v>
      </c>
      <c r="F1827" s="30" t="s">
        <v>39</v>
      </c>
      <c r="G1827" s="33">
        <v>2.9260000000000002</v>
      </c>
      <c r="H1827" s="83" t="s">
        <v>89</v>
      </c>
    </row>
    <row r="1828" spans="1:8" ht="16.5" customHeight="1" x14ac:dyDescent="0.25">
      <c r="A1828" s="27">
        <v>45870</v>
      </c>
      <c r="B1828" s="80">
        <v>2025</v>
      </c>
      <c r="C1828" s="80">
        <v>8</v>
      </c>
      <c r="D1828" s="30" t="s">
        <v>60</v>
      </c>
      <c r="E1828" s="30" t="s">
        <v>68</v>
      </c>
      <c r="F1828" s="30" t="s">
        <v>43</v>
      </c>
      <c r="G1828" s="33">
        <v>0.45</v>
      </c>
      <c r="H1828" s="83" t="s">
        <v>89</v>
      </c>
    </row>
    <row r="1829" spans="1:8" ht="16.5" customHeight="1" x14ac:dyDescent="0.25">
      <c r="A1829" s="27">
        <v>45870</v>
      </c>
      <c r="B1829" s="80">
        <v>2025</v>
      </c>
      <c r="C1829" s="80">
        <v>8</v>
      </c>
      <c r="D1829" s="30" t="s">
        <v>60</v>
      </c>
      <c r="E1829" s="30" t="s">
        <v>68</v>
      </c>
      <c r="F1829" s="30" t="s">
        <v>47</v>
      </c>
      <c r="G1829" s="33">
        <v>0.43</v>
      </c>
      <c r="H1829" s="83" t="s">
        <v>89</v>
      </c>
    </row>
    <row r="1830" spans="1:8" ht="16.5" customHeight="1" x14ac:dyDescent="0.25">
      <c r="A1830" s="27">
        <v>45870</v>
      </c>
      <c r="B1830" s="80">
        <v>2025</v>
      </c>
      <c r="C1830" s="80">
        <v>8</v>
      </c>
      <c r="D1830" s="30" t="s">
        <v>60</v>
      </c>
      <c r="E1830" s="30" t="s">
        <v>75</v>
      </c>
      <c r="F1830" s="30" t="s">
        <v>43</v>
      </c>
      <c r="G1830" s="33">
        <v>15.235492499999999</v>
      </c>
      <c r="H1830" s="83" t="s">
        <v>48</v>
      </c>
    </row>
    <row r="1831" spans="1:8" ht="16.5" customHeight="1" x14ac:dyDescent="0.25">
      <c r="A1831" s="27">
        <v>45873</v>
      </c>
      <c r="B1831" s="80">
        <v>2025</v>
      </c>
      <c r="C1831" s="80">
        <v>8</v>
      </c>
      <c r="D1831" s="30" t="s">
        <v>60</v>
      </c>
      <c r="E1831" s="30" t="s">
        <v>38</v>
      </c>
      <c r="F1831" s="30" t="s">
        <v>43</v>
      </c>
      <c r="G1831" s="33">
        <v>2.9567999999999999</v>
      </c>
      <c r="H1831" s="83" t="s">
        <v>88</v>
      </c>
    </row>
    <row r="1832" spans="1:8" ht="16.5" customHeight="1" x14ac:dyDescent="0.25">
      <c r="A1832" s="27">
        <v>45873</v>
      </c>
      <c r="B1832" s="80">
        <v>2025</v>
      </c>
      <c r="C1832" s="80">
        <v>8</v>
      </c>
      <c r="D1832" s="30" t="s">
        <v>60</v>
      </c>
      <c r="E1832" s="30" t="s">
        <v>46</v>
      </c>
      <c r="F1832" s="30" t="s">
        <v>43</v>
      </c>
      <c r="G1832" s="33">
        <v>4.4040232000000001</v>
      </c>
      <c r="H1832" s="83" t="s">
        <v>88</v>
      </c>
    </row>
    <row r="1833" spans="1:8" ht="16.5" customHeight="1" x14ac:dyDescent="0.25">
      <c r="A1833" s="27">
        <v>45873</v>
      </c>
      <c r="B1833" s="80">
        <v>2025</v>
      </c>
      <c r="C1833" s="80">
        <v>8</v>
      </c>
      <c r="D1833" s="30" t="s">
        <v>60</v>
      </c>
      <c r="E1833" s="30" t="s">
        <v>46</v>
      </c>
      <c r="F1833" s="30" t="s">
        <v>51</v>
      </c>
      <c r="G1833" s="33">
        <v>0.65539999999999998</v>
      </c>
      <c r="H1833" s="83" t="s">
        <v>88</v>
      </c>
    </row>
    <row r="1834" spans="1:8" ht="16.5" customHeight="1" x14ac:dyDescent="0.25">
      <c r="A1834" s="27">
        <v>45873</v>
      </c>
      <c r="B1834" s="80">
        <v>2025</v>
      </c>
      <c r="C1834" s="80">
        <v>8</v>
      </c>
      <c r="D1834" s="30" t="s">
        <v>60</v>
      </c>
      <c r="E1834" s="30" t="s">
        <v>50</v>
      </c>
      <c r="F1834" s="30" t="s">
        <v>43</v>
      </c>
      <c r="G1834" s="33">
        <v>8.4266126999999997</v>
      </c>
      <c r="H1834" s="83" t="s">
        <v>88</v>
      </c>
    </row>
    <row r="1835" spans="1:8" ht="16.5" customHeight="1" x14ac:dyDescent="0.25">
      <c r="A1835" s="27">
        <v>45873</v>
      </c>
      <c r="B1835" s="80">
        <v>2025</v>
      </c>
      <c r="C1835" s="80">
        <v>8</v>
      </c>
      <c r="D1835" s="30" t="s">
        <v>60</v>
      </c>
      <c r="E1835" s="30" t="s">
        <v>50</v>
      </c>
      <c r="F1835" s="30" t="s">
        <v>47</v>
      </c>
      <c r="G1835" s="33">
        <v>1.554</v>
      </c>
      <c r="H1835" s="83" t="s">
        <v>88</v>
      </c>
    </row>
    <row r="1836" spans="1:8" ht="16.5" customHeight="1" x14ac:dyDescent="0.25">
      <c r="A1836" s="27">
        <v>45873</v>
      </c>
      <c r="B1836" s="80">
        <v>2025</v>
      </c>
      <c r="C1836" s="80">
        <v>8</v>
      </c>
      <c r="D1836" s="30" t="s">
        <v>60</v>
      </c>
      <c r="E1836" s="30" t="s">
        <v>50</v>
      </c>
      <c r="F1836" s="30" t="s">
        <v>55</v>
      </c>
      <c r="G1836" s="33">
        <v>1.071</v>
      </c>
      <c r="H1836" s="83" t="s">
        <v>88</v>
      </c>
    </row>
    <row r="1837" spans="1:8" ht="16.5" customHeight="1" x14ac:dyDescent="0.25">
      <c r="A1837" s="27">
        <v>45873</v>
      </c>
      <c r="B1837" s="80">
        <v>2025</v>
      </c>
      <c r="C1837" s="80">
        <v>8</v>
      </c>
      <c r="D1837" s="30" t="s">
        <v>60</v>
      </c>
      <c r="E1837" s="30" t="s">
        <v>50</v>
      </c>
      <c r="F1837" s="30" t="s">
        <v>58</v>
      </c>
      <c r="G1837" s="33">
        <v>0.51178500000000005</v>
      </c>
      <c r="H1837" s="83" t="s">
        <v>88</v>
      </c>
    </row>
    <row r="1838" spans="1:8" ht="16.5" customHeight="1" x14ac:dyDescent="0.25">
      <c r="A1838" s="27">
        <v>45873</v>
      </c>
      <c r="B1838" s="80">
        <v>2025</v>
      </c>
      <c r="C1838" s="80">
        <v>8</v>
      </c>
      <c r="D1838" s="30" t="s">
        <v>60</v>
      </c>
      <c r="E1838" s="30" t="s">
        <v>54</v>
      </c>
      <c r="F1838" s="30" t="s">
        <v>43</v>
      </c>
      <c r="G1838" s="33">
        <v>2.7339000000000002</v>
      </c>
      <c r="H1838" s="83" t="s">
        <v>88</v>
      </c>
    </row>
    <row r="1839" spans="1:8" ht="16.5" customHeight="1" x14ac:dyDescent="0.25">
      <c r="A1839" s="27">
        <v>45873</v>
      </c>
      <c r="B1839" s="80">
        <v>2025</v>
      </c>
      <c r="C1839" s="80">
        <v>8</v>
      </c>
      <c r="D1839" s="30" t="s">
        <v>60</v>
      </c>
      <c r="E1839" s="30" t="s">
        <v>64</v>
      </c>
      <c r="F1839" s="30" t="s">
        <v>43</v>
      </c>
      <c r="G1839" s="33">
        <v>43.055999999999997</v>
      </c>
      <c r="H1839" s="83" t="s">
        <v>89</v>
      </c>
    </row>
    <row r="1840" spans="1:8" ht="16.5" customHeight="1" x14ac:dyDescent="0.25">
      <c r="A1840" s="27">
        <v>45873</v>
      </c>
      <c r="B1840" s="80">
        <v>2025</v>
      </c>
      <c r="C1840" s="80">
        <v>8</v>
      </c>
      <c r="D1840" s="30" t="s">
        <v>60</v>
      </c>
      <c r="E1840" s="30" t="s">
        <v>66</v>
      </c>
      <c r="F1840" s="30" t="s">
        <v>43</v>
      </c>
      <c r="G1840" s="33">
        <v>1.6695</v>
      </c>
      <c r="H1840" s="83" t="s">
        <v>89</v>
      </c>
    </row>
    <row r="1841" spans="1:8" ht="16.5" customHeight="1" x14ac:dyDescent="0.25">
      <c r="A1841" s="27">
        <v>45873</v>
      </c>
      <c r="B1841" s="80">
        <v>2025</v>
      </c>
      <c r="C1841" s="80">
        <v>8</v>
      </c>
      <c r="D1841" s="30" t="s">
        <v>60</v>
      </c>
      <c r="E1841" s="30" t="s">
        <v>71</v>
      </c>
      <c r="F1841" s="30" t="s">
        <v>43</v>
      </c>
      <c r="G1841" s="33">
        <v>24.877749999999999</v>
      </c>
      <c r="H1841" s="83" t="s">
        <v>89</v>
      </c>
    </row>
    <row r="1842" spans="1:8" ht="16.5" customHeight="1" x14ac:dyDescent="0.25">
      <c r="A1842" s="27">
        <v>45873</v>
      </c>
      <c r="B1842" s="80">
        <v>2025</v>
      </c>
      <c r="C1842" s="80">
        <v>8</v>
      </c>
      <c r="D1842" s="30" t="s">
        <v>60</v>
      </c>
      <c r="E1842" s="30" t="s">
        <v>76</v>
      </c>
      <c r="F1842" s="30" t="s">
        <v>39</v>
      </c>
      <c r="G1842" s="33">
        <v>55.351999999999997</v>
      </c>
      <c r="H1842" s="83" t="s">
        <v>48</v>
      </c>
    </row>
    <row r="1843" spans="1:8" ht="16.5" customHeight="1" x14ac:dyDescent="0.25">
      <c r="A1843" s="27">
        <v>45874</v>
      </c>
      <c r="B1843" s="80">
        <v>2025</v>
      </c>
      <c r="C1843" s="80">
        <v>8</v>
      </c>
      <c r="D1843" s="30" t="s">
        <v>60</v>
      </c>
      <c r="E1843" s="30" t="s">
        <v>38</v>
      </c>
      <c r="F1843" s="30" t="s">
        <v>43</v>
      </c>
      <c r="G1843" s="33">
        <v>4.1820000000000004</v>
      </c>
      <c r="H1843" s="83" t="s">
        <v>88</v>
      </c>
    </row>
    <row r="1844" spans="1:8" ht="16.5" customHeight="1" x14ac:dyDescent="0.25">
      <c r="A1844" s="27">
        <v>45874</v>
      </c>
      <c r="B1844" s="80">
        <v>2025</v>
      </c>
      <c r="C1844" s="80">
        <v>8</v>
      </c>
      <c r="D1844" s="30" t="s">
        <v>60</v>
      </c>
      <c r="E1844" s="30" t="s">
        <v>38</v>
      </c>
      <c r="F1844" s="30" t="s">
        <v>55</v>
      </c>
      <c r="G1844" s="33">
        <v>0.33</v>
      </c>
      <c r="H1844" s="83" t="s">
        <v>88</v>
      </c>
    </row>
    <row r="1845" spans="1:8" ht="16.5" customHeight="1" x14ac:dyDescent="0.25">
      <c r="A1845" s="27">
        <v>45874</v>
      </c>
      <c r="B1845" s="80">
        <v>2025</v>
      </c>
      <c r="C1845" s="80">
        <v>8</v>
      </c>
      <c r="D1845" s="30" t="s">
        <v>60</v>
      </c>
      <c r="E1845" s="30" t="s">
        <v>46</v>
      </c>
      <c r="F1845" s="30" t="s">
        <v>43</v>
      </c>
      <c r="G1845" s="33">
        <v>1.2862499999999999</v>
      </c>
      <c r="H1845" s="83" t="s">
        <v>88</v>
      </c>
    </row>
    <row r="1846" spans="1:8" ht="16.5" customHeight="1" x14ac:dyDescent="0.25">
      <c r="A1846" s="27">
        <v>45874</v>
      </c>
      <c r="B1846" s="80">
        <v>2025</v>
      </c>
      <c r="C1846" s="80">
        <v>8</v>
      </c>
      <c r="D1846" s="30" t="s">
        <v>60</v>
      </c>
      <c r="E1846" s="30" t="s">
        <v>46</v>
      </c>
      <c r="F1846" s="30" t="s">
        <v>47</v>
      </c>
      <c r="G1846" s="33">
        <v>2.2843529999999999</v>
      </c>
      <c r="H1846" s="83" t="s">
        <v>88</v>
      </c>
    </row>
    <row r="1847" spans="1:8" ht="16.5" customHeight="1" x14ac:dyDescent="0.25">
      <c r="A1847" s="27">
        <v>45874</v>
      </c>
      <c r="B1847" s="80">
        <v>2025</v>
      </c>
      <c r="C1847" s="80">
        <v>8</v>
      </c>
      <c r="D1847" s="30" t="s">
        <v>60</v>
      </c>
      <c r="E1847" s="30" t="s">
        <v>50</v>
      </c>
      <c r="F1847" s="30" t="s">
        <v>43</v>
      </c>
      <c r="G1847" s="33">
        <v>2.8461959999999999</v>
      </c>
      <c r="H1847" s="83" t="s">
        <v>88</v>
      </c>
    </row>
    <row r="1848" spans="1:8" ht="16.5" customHeight="1" x14ac:dyDescent="0.25">
      <c r="A1848" s="27">
        <v>45874</v>
      </c>
      <c r="B1848" s="80">
        <v>2025</v>
      </c>
      <c r="C1848" s="80">
        <v>8</v>
      </c>
      <c r="D1848" s="30" t="s">
        <v>60</v>
      </c>
      <c r="E1848" s="30" t="s">
        <v>50</v>
      </c>
      <c r="F1848" s="30" t="s">
        <v>47</v>
      </c>
      <c r="G1848" s="33">
        <v>0.47915999999999997</v>
      </c>
      <c r="H1848" s="83" t="s">
        <v>88</v>
      </c>
    </row>
    <row r="1849" spans="1:8" ht="16.5" customHeight="1" x14ac:dyDescent="0.25">
      <c r="A1849" s="27">
        <v>45874</v>
      </c>
      <c r="B1849" s="80">
        <v>2025</v>
      </c>
      <c r="C1849" s="80">
        <v>8</v>
      </c>
      <c r="D1849" s="30" t="s">
        <v>60</v>
      </c>
      <c r="E1849" s="30" t="s">
        <v>54</v>
      </c>
      <c r="F1849" s="30" t="s">
        <v>43</v>
      </c>
      <c r="G1849" s="33">
        <v>2.9424999999999999</v>
      </c>
      <c r="H1849" s="83" t="s">
        <v>88</v>
      </c>
    </row>
    <row r="1850" spans="1:8" ht="16.5" customHeight="1" x14ac:dyDescent="0.25">
      <c r="A1850" s="27">
        <v>45874</v>
      </c>
      <c r="B1850" s="80">
        <v>2025</v>
      </c>
      <c r="C1850" s="80">
        <v>8</v>
      </c>
      <c r="D1850" s="30" t="s">
        <v>60</v>
      </c>
      <c r="E1850" s="30" t="s">
        <v>54</v>
      </c>
      <c r="F1850" s="30" t="s">
        <v>47</v>
      </c>
      <c r="G1850" s="33">
        <v>0.15</v>
      </c>
      <c r="H1850" s="83" t="s">
        <v>88</v>
      </c>
    </row>
    <row r="1851" spans="1:8" ht="16.5" customHeight="1" x14ac:dyDescent="0.25">
      <c r="A1851" s="27">
        <v>45874</v>
      </c>
      <c r="B1851" s="80">
        <v>2025</v>
      </c>
      <c r="C1851" s="80">
        <v>8</v>
      </c>
      <c r="D1851" s="30" t="s">
        <v>60</v>
      </c>
      <c r="E1851" s="30" t="s">
        <v>68</v>
      </c>
      <c r="F1851" s="30" t="s">
        <v>43</v>
      </c>
      <c r="G1851" s="33">
        <v>0.76249999999999996</v>
      </c>
      <c r="H1851" s="83" t="s">
        <v>89</v>
      </c>
    </row>
    <row r="1852" spans="1:8" ht="16.5" customHeight="1" x14ac:dyDescent="0.25">
      <c r="A1852" s="27">
        <v>45874</v>
      </c>
      <c r="B1852" s="80">
        <v>2025</v>
      </c>
      <c r="C1852" s="80">
        <v>8</v>
      </c>
      <c r="D1852" s="30" t="s">
        <v>60</v>
      </c>
      <c r="E1852" s="30" t="s">
        <v>71</v>
      </c>
      <c r="F1852" s="30" t="s">
        <v>43</v>
      </c>
      <c r="G1852" s="33">
        <v>31.670999999999999</v>
      </c>
      <c r="H1852" s="83" t="s">
        <v>89</v>
      </c>
    </row>
    <row r="1853" spans="1:8" ht="16.5" customHeight="1" x14ac:dyDescent="0.25">
      <c r="A1853" s="27">
        <v>45874</v>
      </c>
      <c r="B1853" s="80">
        <v>2025</v>
      </c>
      <c r="C1853" s="80">
        <v>8</v>
      </c>
      <c r="D1853" s="30" t="s">
        <v>60</v>
      </c>
      <c r="E1853" s="30" t="s">
        <v>76</v>
      </c>
      <c r="F1853" s="30" t="s">
        <v>39</v>
      </c>
      <c r="G1853" s="33">
        <v>122.81742300000001</v>
      </c>
      <c r="H1853" s="83" t="s">
        <v>48</v>
      </c>
    </row>
    <row r="1854" spans="1:8" ht="16.5" customHeight="1" x14ac:dyDescent="0.25">
      <c r="A1854" s="27">
        <v>45875</v>
      </c>
      <c r="B1854" s="80">
        <v>2025</v>
      </c>
      <c r="C1854" s="80">
        <v>8</v>
      </c>
      <c r="D1854" s="30" t="s">
        <v>60</v>
      </c>
      <c r="E1854" s="30" t="s">
        <v>38</v>
      </c>
      <c r="F1854" s="30" t="s">
        <v>43</v>
      </c>
      <c r="G1854" s="33">
        <v>10.342499999999999</v>
      </c>
      <c r="H1854" s="83" t="s">
        <v>88</v>
      </c>
    </row>
    <row r="1855" spans="1:8" ht="16.5" customHeight="1" x14ac:dyDescent="0.25">
      <c r="A1855" s="27">
        <v>45875</v>
      </c>
      <c r="B1855" s="80">
        <v>2025</v>
      </c>
      <c r="C1855" s="80">
        <v>8</v>
      </c>
      <c r="D1855" s="30" t="s">
        <v>60</v>
      </c>
      <c r="E1855" s="30" t="s">
        <v>42</v>
      </c>
      <c r="F1855" s="30" t="s">
        <v>43</v>
      </c>
      <c r="G1855" s="33">
        <v>1.292</v>
      </c>
      <c r="H1855" s="83" t="s">
        <v>88</v>
      </c>
    </row>
    <row r="1856" spans="1:8" ht="16.5" customHeight="1" x14ac:dyDescent="0.25">
      <c r="A1856" s="27">
        <v>45875</v>
      </c>
      <c r="B1856" s="80">
        <v>2025</v>
      </c>
      <c r="C1856" s="80">
        <v>8</v>
      </c>
      <c r="D1856" s="30" t="s">
        <v>60</v>
      </c>
      <c r="E1856" s="30" t="s">
        <v>46</v>
      </c>
      <c r="F1856" s="30" t="s">
        <v>43</v>
      </c>
      <c r="G1856" s="33">
        <v>1.0698032</v>
      </c>
      <c r="H1856" s="83" t="s">
        <v>88</v>
      </c>
    </row>
    <row r="1857" spans="1:8" ht="16.5" customHeight="1" x14ac:dyDescent="0.25">
      <c r="A1857" s="27">
        <v>45875</v>
      </c>
      <c r="B1857" s="80">
        <v>2025</v>
      </c>
      <c r="C1857" s="80">
        <v>8</v>
      </c>
      <c r="D1857" s="30" t="s">
        <v>60</v>
      </c>
      <c r="E1857" s="30" t="s">
        <v>50</v>
      </c>
      <c r="F1857" s="30" t="s">
        <v>43</v>
      </c>
      <c r="G1857" s="33">
        <v>47.289127499999999</v>
      </c>
      <c r="H1857" s="83" t="s">
        <v>88</v>
      </c>
    </row>
    <row r="1858" spans="1:8" ht="16.5" customHeight="1" x14ac:dyDescent="0.25">
      <c r="A1858" s="27">
        <v>45875</v>
      </c>
      <c r="B1858" s="80">
        <v>2025</v>
      </c>
      <c r="C1858" s="80">
        <v>8</v>
      </c>
      <c r="D1858" s="30" t="s">
        <v>60</v>
      </c>
      <c r="E1858" s="30" t="s">
        <v>50</v>
      </c>
      <c r="F1858" s="30" t="s">
        <v>47</v>
      </c>
      <c r="G1858" s="33">
        <v>0.62160000000000004</v>
      </c>
      <c r="H1858" s="83" t="s">
        <v>88</v>
      </c>
    </row>
    <row r="1859" spans="1:8" ht="16.5" customHeight="1" x14ac:dyDescent="0.25">
      <c r="A1859" s="27">
        <v>45875</v>
      </c>
      <c r="B1859" s="80">
        <v>2025</v>
      </c>
      <c r="C1859" s="80">
        <v>8</v>
      </c>
      <c r="D1859" s="30" t="s">
        <v>60</v>
      </c>
      <c r="E1859" s="30" t="s">
        <v>50</v>
      </c>
      <c r="F1859" s="30" t="s">
        <v>55</v>
      </c>
      <c r="G1859" s="33">
        <v>0.65339999999999998</v>
      </c>
      <c r="H1859" s="83" t="s">
        <v>88</v>
      </c>
    </row>
    <row r="1860" spans="1:8" ht="16.5" customHeight="1" x14ac:dyDescent="0.25">
      <c r="A1860" s="27">
        <v>45875</v>
      </c>
      <c r="B1860" s="80">
        <v>2025</v>
      </c>
      <c r="C1860" s="80">
        <v>8</v>
      </c>
      <c r="D1860" s="30" t="s">
        <v>60</v>
      </c>
      <c r="E1860" s="30" t="s">
        <v>50</v>
      </c>
      <c r="F1860" s="30" t="s">
        <v>58</v>
      </c>
      <c r="G1860" s="33">
        <v>35.396063456</v>
      </c>
      <c r="H1860" s="83" t="s">
        <v>88</v>
      </c>
    </row>
    <row r="1861" spans="1:8" ht="16.5" customHeight="1" x14ac:dyDescent="0.25">
      <c r="A1861" s="27">
        <v>45875</v>
      </c>
      <c r="B1861" s="80">
        <v>2025</v>
      </c>
      <c r="C1861" s="80">
        <v>8</v>
      </c>
      <c r="D1861" s="30" t="s">
        <v>60</v>
      </c>
      <c r="E1861" s="30" t="s">
        <v>68</v>
      </c>
      <c r="F1861" s="30" t="s">
        <v>43</v>
      </c>
      <c r="G1861" s="33">
        <v>1.3447499999999999</v>
      </c>
      <c r="H1861" s="83" t="s">
        <v>89</v>
      </c>
    </row>
    <row r="1862" spans="1:8" ht="16.5" customHeight="1" x14ac:dyDescent="0.25">
      <c r="A1862" s="27">
        <v>45875</v>
      </c>
      <c r="B1862" s="80">
        <v>2025</v>
      </c>
      <c r="C1862" s="80">
        <v>8</v>
      </c>
      <c r="D1862" s="30" t="s">
        <v>60</v>
      </c>
      <c r="E1862" s="30" t="s">
        <v>75</v>
      </c>
      <c r="F1862" s="30" t="s">
        <v>43</v>
      </c>
      <c r="G1862" s="33">
        <v>11.604100000000001</v>
      </c>
      <c r="H1862" s="83" t="s">
        <v>48</v>
      </c>
    </row>
    <row r="1863" spans="1:8" ht="16.5" customHeight="1" x14ac:dyDescent="0.25">
      <c r="A1863" s="27">
        <v>45876</v>
      </c>
      <c r="B1863" s="80">
        <v>2025</v>
      </c>
      <c r="C1863" s="80">
        <v>8</v>
      </c>
      <c r="D1863" s="30" t="s">
        <v>60</v>
      </c>
      <c r="E1863" s="30" t="s">
        <v>38</v>
      </c>
      <c r="F1863" s="30" t="s">
        <v>43</v>
      </c>
      <c r="G1863" s="33">
        <v>0.29970000000000002</v>
      </c>
      <c r="H1863" s="83" t="s">
        <v>88</v>
      </c>
    </row>
    <row r="1864" spans="1:8" ht="16.5" customHeight="1" x14ac:dyDescent="0.25">
      <c r="A1864" s="27">
        <v>45876</v>
      </c>
      <c r="B1864" s="80">
        <v>2025</v>
      </c>
      <c r="C1864" s="80">
        <v>8</v>
      </c>
      <c r="D1864" s="30" t="s">
        <v>60</v>
      </c>
      <c r="E1864" s="30" t="s">
        <v>42</v>
      </c>
      <c r="F1864" s="30" t="s">
        <v>43</v>
      </c>
      <c r="G1864" s="33">
        <v>2.2522280000000001</v>
      </c>
      <c r="H1864" s="83" t="s">
        <v>88</v>
      </c>
    </row>
    <row r="1865" spans="1:8" ht="16.5" customHeight="1" x14ac:dyDescent="0.25">
      <c r="A1865" s="27">
        <v>45876</v>
      </c>
      <c r="B1865" s="80">
        <v>2025</v>
      </c>
      <c r="C1865" s="80">
        <v>8</v>
      </c>
      <c r="D1865" s="30" t="s">
        <v>60</v>
      </c>
      <c r="E1865" s="30" t="s">
        <v>42</v>
      </c>
      <c r="F1865" s="30" t="s">
        <v>55</v>
      </c>
      <c r="G1865" s="33">
        <v>0.2646</v>
      </c>
      <c r="H1865" s="83" t="s">
        <v>88</v>
      </c>
    </row>
    <row r="1866" spans="1:8" ht="16.5" customHeight="1" x14ac:dyDescent="0.25">
      <c r="A1866" s="27">
        <v>45876</v>
      </c>
      <c r="B1866" s="80">
        <v>2025</v>
      </c>
      <c r="C1866" s="80">
        <v>8</v>
      </c>
      <c r="D1866" s="30" t="s">
        <v>60</v>
      </c>
      <c r="E1866" s="30" t="s">
        <v>54</v>
      </c>
      <c r="F1866" s="30" t="s">
        <v>43</v>
      </c>
      <c r="G1866" s="33">
        <v>1.21</v>
      </c>
      <c r="H1866" s="83" t="s">
        <v>88</v>
      </c>
    </row>
    <row r="1867" spans="1:8" ht="16.5" customHeight="1" x14ac:dyDescent="0.25">
      <c r="A1867" s="27">
        <v>45876</v>
      </c>
      <c r="B1867" s="80">
        <v>2025</v>
      </c>
      <c r="C1867" s="80">
        <v>8</v>
      </c>
      <c r="D1867" s="30" t="s">
        <v>60</v>
      </c>
      <c r="E1867" s="30" t="s">
        <v>57</v>
      </c>
      <c r="F1867" s="30" t="s">
        <v>43</v>
      </c>
      <c r="G1867" s="33">
        <v>6.048</v>
      </c>
      <c r="H1867" s="83" t="s">
        <v>89</v>
      </c>
    </row>
    <row r="1868" spans="1:8" ht="16.5" customHeight="1" x14ac:dyDescent="0.25">
      <c r="A1868" s="27">
        <v>45876</v>
      </c>
      <c r="B1868" s="80">
        <v>2025</v>
      </c>
      <c r="C1868" s="80">
        <v>8</v>
      </c>
      <c r="D1868" s="30" t="s">
        <v>60</v>
      </c>
      <c r="E1868" s="30" t="s">
        <v>66</v>
      </c>
      <c r="F1868" s="30" t="s">
        <v>43</v>
      </c>
      <c r="G1868" s="33">
        <v>7.1775000000000002</v>
      </c>
      <c r="H1868" s="83" t="s">
        <v>89</v>
      </c>
    </row>
    <row r="1869" spans="1:8" ht="16.5" customHeight="1" x14ac:dyDescent="0.25">
      <c r="A1869" s="27">
        <v>45876</v>
      </c>
      <c r="B1869" s="80">
        <v>2025</v>
      </c>
      <c r="C1869" s="80">
        <v>8</v>
      </c>
      <c r="D1869" s="30" t="s">
        <v>60</v>
      </c>
      <c r="E1869" s="30" t="s">
        <v>68</v>
      </c>
      <c r="F1869" s="30" t="s">
        <v>43</v>
      </c>
      <c r="G1869" s="33">
        <v>4.0876000000000001</v>
      </c>
      <c r="H1869" s="83" t="s">
        <v>89</v>
      </c>
    </row>
    <row r="1870" spans="1:8" ht="16.5" customHeight="1" x14ac:dyDescent="0.25">
      <c r="A1870" s="27">
        <v>45877</v>
      </c>
      <c r="B1870" s="80">
        <v>2025</v>
      </c>
      <c r="C1870" s="80">
        <v>8</v>
      </c>
      <c r="D1870" s="30" t="s">
        <v>60</v>
      </c>
      <c r="E1870" s="30" t="s">
        <v>38</v>
      </c>
      <c r="F1870" s="30" t="s">
        <v>43</v>
      </c>
      <c r="G1870" s="33">
        <v>4.4000000000000004</v>
      </c>
      <c r="H1870" s="83" t="s">
        <v>88</v>
      </c>
    </row>
    <row r="1871" spans="1:8" ht="16.5" customHeight="1" x14ac:dyDescent="0.25">
      <c r="A1871" s="27">
        <v>45877</v>
      </c>
      <c r="B1871" s="80">
        <v>2025</v>
      </c>
      <c r="C1871" s="80">
        <v>8</v>
      </c>
      <c r="D1871" s="30" t="s">
        <v>60</v>
      </c>
      <c r="E1871" s="30" t="s">
        <v>42</v>
      </c>
      <c r="F1871" s="30" t="s">
        <v>43</v>
      </c>
      <c r="G1871" s="33">
        <v>11.55</v>
      </c>
      <c r="H1871" s="83" t="s">
        <v>88</v>
      </c>
    </row>
    <row r="1872" spans="1:8" ht="16.5" customHeight="1" x14ac:dyDescent="0.25">
      <c r="A1872" s="27">
        <v>45877</v>
      </c>
      <c r="B1872" s="80">
        <v>2025</v>
      </c>
      <c r="C1872" s="80">
        <v>8</v>
      </c>
      <c r="D1872" s="30" t="s">
        <v>60</v>
      </c>
      <c r="E1872" s="30" t="s">
        <v>46</v>
      </c>
      <c r="F1872" s="30" t="s">
        <v>43</v>
      </c>
      <c r="G1872" s="33">
        <v>3.7500803999999999</v>
      </c>
      <c r="H1872" s="83" t="s">
        <v>88</v>
      </c>
    </row>
    <row r="1873" spans="1:8" ht="16.5" customHeight="1" x14ac:dyDescent="0.25">
      <c r="A1873" s="27">
        <v>45877</v>
      </c>
      <c r="B1873" s="80">
        <v>2025</v>
      </c>
      <c r="C1873" s="80">
        <v>8</v>
      </c>
      <c r="D1873" s="30" t="s">
        <v>60</v>
      </c>
      <c r="E1873" s="30" t="s">
        <v>46</v>
      </c>
      <c r="F1873" s="30" t="s">
        <v>58</v>
      </c>
      <c r="G1873" s="33">
        <v>0.35862450000000001</v>
      </c>
      <c r="H1873" s="83" t="s">
        <v>88</v>
      </c>
    </row>
    <row r="1874" spans="1:8" ht="16.5" customHeight="1" x14ac:dyDescent="0.25">
      <c r="A1874" s="27">
        <v>45877</v>
      </c>
      <c r="B1874" s="80">
        <v>2025</v>
      </c>
      <c r="C1874" s="80">
        <v>8</v>
      </c>
      <c r="D1874" s="30" t="s">
        <v>60</v>
      </c>
      <c r="E1874" s="30" t="s">
        <v>50</v>
      </c>
      <c r="F1874" s="30" t="s">
        <v>43</v>
      </c>
      <c r="G1874" s="33">
        <v>1.0373943999999999</v>
      </c>
      <c r="H1874" s="83" t="s">
        <v>88</v>
      </c>
    </row>
    <row r="1875" spans="1:8" ht="16.5" customHeight="1" x14ac:dyDescent="0.25">
      <c r="A1875" s="27">
        <v>45877</v>
      </c>
      <c r="B1875" s="80">
        <v>2025</v>
      </c>
      <c r="C1875" s="80">
        <v>8</v>
      </c>
      <c r="D1875" s="30" t="s">
        <v>60</v>
      </c>
      <c r="E1875" s="30" t="s">
        <v>50</v>
      </c>
      <c r="F1875" s="30" t="s">
        <v>47</v>
      </c>
      <c r="G1875" s="33">
        <v>1.2432000000000001</v>
      </c>
      <c r="H1875" s="83" t="s">
        <v>88</v>
      </c>
    </row>
    <row r="1876" spans="1:8" ht="16.5" customHeight="1" x14ac:dyDescent="0.25">
      <c r="A1876" s="27">
        <v>45877</v>
      </c>
      <c r="B1876" s="80">
        <v>2025</v>
      </c>
      <c r="C1876" s="80">
        <v>8</v>
      </c>
      <c r="D1876" s="30" t="s">
        <v>60</v>
      </c>
      <c r="E1876" s="30" t="s">
        <v>50</v>
      </c>
      <c r="F1876" s="30" t="s">
        <v>51</v>
      </c>
      <c r="G1876" s="33">
        <v>0.62475000000000003</v>
      </c>
      <c r="H1876" s="83" t="s">
        <v>88</v>
      </c>
    </row>
    <row r="1877" spans="1:8" ht="16.5" customHeight="1" x14ac:dyDescent="0.25">
      <c r="A1877" s="27">
        <v>45877</v>
      </c>
      <c r="B1877" s="80">
        <v>2025</v>
      </c>
      <c r="C1877" s="80">
        <v>8</v>
      </c>
      <c r="D1877" s="30" t="s">
        <v>60</v>
      </c>
      <c r="E1877" s="30" t="s">
        <v>50</v>
      </c>
      <c r="F1877" s="30" t="s">
        <v>55</v>
      </c>
      <c r="G1877" s="33">
        <v>0.17849999999999999</v>
      </c>
      <c r="H1877" s="83" t="s">
        <v>88</v>
      </c>
    </row>
    <row r="1878" spans="1:8" ht="16.5" customHeight="1" x14ac:dyDescent="0.25">
      <c r="A1878" s="27">
        <v>45877</v>
      </c>
      <c r="B1878" s="80">
        <v>2025</v>
      </c>
      <c r="C1878" s="80">
        <v>8</v>
      </c>
      <c r="D1878" s="30" t="s">
        <v>60</v>
      </c>
      <c r="E1878" s="30" t="s">
        <v>57</v>
      </c>
      <c r="F1878" s="30" t="s">
        <v>43</v>
      </c>
      <c r="G1878" s="33">
        <v>3.9621</v>
      </c>
      <c r="H1878" s="83" t="s">
        <v>89</v>
      </c>
    </row>
    <row r="1879" spans="1:8" ht="16.5" customHeight="1" x14ac:dyDescent="0.25">
      <c r="A1879" s="27">
        <v>45877</v>
      </c>
      <c r="B1879" s="80">
        <v>2025</v>
      </c>
      <c r="C1879" s="80">
        <v>8</v>
      </c>
      <c r="D1879" s="30" t="s">
        <v>60</v>
      </c>
      <c r="E1879" s="30" t="s">
        <v>68</v>
      </c>
      <c r="F1879" s="30" t="s">
        <v>43</v>
      </c>
      <c r="G1879" s="33">
        <v>2.1</v>
      </c>
      <c r="H1879" s="83" t="s">
        <v>89</v>
      </c>
    </row>
    <row r="1880" spans="1:8" ht="16.5" customHeight="1" x14ac:dyDescent="0.25">
      <c r="A1880" s="27">
        <v>45877</v>
      </c>
      <c r="B1880" s="80">
        <v>2025</v>
      </c>
      <c r="C1880" s="80">
        <v>8</v>
      </c>
      <c r="D1880" s="30" t="s">
        <v>60</v>
      </c>
      <c r="E1880" s="30" t="s">
        <v>71</v>
      </c>
      <c r="F1880" s="30" t="s">
        <v>43</v>
      </c>
      <c r="G1880" s="33">
        <v>17.824000000000002</v>
      </c>
      <c r="H1880" s="83" t="s">
        <v>89</v>
      </c>
    </row>
    <row r="1881" spans="1:8" ht="16.5" customHeight="1" x14ac:dyDescent="0.25">
      <c r="A1881" s="27">
        <v>45880</v>
      </c>
      <c r="B1881" s="80">
        <v>2025</v>
      </c>
      <c r="C1881" s="80">
        <v>8</v>
      </c>
      <c r="D1881" s="30" t="s">
        <v>60</v>
      </c>
      <c r="E1881" s="30" t="s">
        <v>38</v>
      </c>
      <c r="F1881" s="30" t="s">
        <v>43</v>
      </c>
      <c r="G1881" s="33">
        <v>1.1186</v>
      </c>
      <c r="H1881" s="83" t="s">
        <v>88</v>
      </c>
    </row>
    <row r="1882" spans="1:8" ht="16.5" customHeight="1" x14ac:dyDescent="0.25">
      <c r="A1882" s="27">
        <v>45880</v>
      </c>
      <c r="B1882" s="80">
        <v>2025</v>
      </c>
      <c r="C1882" s="80">
        <v>8</v>
      </c>
      <c r="D1882" s="30" t="s">
        <v>60</v>
      </c>
      <c r="E1882" s="30" t="s">
        <v>42</v>
      </c>
      <c r="F1882" s="30" t="s">
        <v>43</v>
      </c>
      <c r="G1882" s="33">
        <v>1.1594</v>
      </c>
      <c r="H1882" s="83" t="s">
        <v>88</v>
      </c>
    </row>
    <row r="1883" spans="1:8" ht="16.5" customHeight="1" x14ac:dyDescent="0.25">
      <c r="A1883" s="27">
        <v>45880</v>
      </c>
      <c r="B1883" s="80">
        <v>2025</v>
      </c>
      <c r="C1883" s="80">
        <v>8</v>
      </c>
      <c r="D1883" s="30" t="s">
        <v>60</v>
      </c>
      <c r="E1883" s="30" t="s">
        <v>46</v>
      </c>
      <c r="F1883" s="30" t="s">
        <v>43</v>
      </c>
      <c r="G1883" s="33">
        <v>1.162215</v>
      </c>
      <c r="H1883" s="83" t="s">
        <v>88</v>
      </c>
    </row>
    <row r="1884" spans="1:8" ht="16.5" customHeight="1" x14ac:dyDescent="0.25">
      <c r="A1884" s="27">
        <v>45880</v>
      </c>
      <c r="B1884" s="80">
        <v>2025</v>
      </c>
      <c r="C1884" s="80">
        <v>8</v>
      </c>
      <c r="D1884" s="30" t="s">
        <v>60</v>
      </c>
      <c r="E1884" s="30" t="s">
        <v>50</v>
      </c>
      <c r="F1884" s="30" t="s">
        <v>43</v>
      </c>
      <c r="G1884" s="33">
        <v>7.7396311100000004</v>
      </c>
      <c r="H1884" s="83" t="s">
        <v>88</v>
      </c>
    </row>
    <row r="1885" spans="1:8" ht="16.5" customHeight="1" x14ac:dyDescent="0.25">
      <c r="A1885" s="27">
        <v>45880</v>
      </c>
      <c r="B1885" s="80">
        <v>2025</v>
      </c>
      <c r="C1885" s="80">
        <v>8</v>
      </c>
      <c r="D1885" s="30" t="s">
        <v>60</v>
      </c>
      <c r="E1885" s="30" t="s">
        <v>50</v>
      </c>
      <c r="F1885" s="30" t="s">
        <v>47</v>
      </c>
      <c r="G1885" s="33">
        <v>0.28050000000000003</v>
      </c>
      <c r="H1885" s="83" t="s">
        <v>88</v>
      </c>
    </row>
    <row r="1886" spans="1:8" ht="16.5" customHeight="1" x14ac:dyDescent="0.25">
      <c r="A1886" s="27">
        <v>45880</v>
      </c>
      <c r="B1886" s="80">
        <v>2025</v>
      </c>
      <c r="C1886" s="80">
        <v>8</v>
      </c>
      <c r="D1886" s="30" t="s">
        <v>60</v>
      </c>
      <c r="E1886" s="30" t="s">
        <v>50</v>
      </c>
      <c r="F1886" s="30" t="s">
        <v>55</v>
      </c>
      <c r="G1886" s="33">
        <v>0.17849999999999999</v>
      </c>
      <c r="H1886" s="83" t="s">
        <v>88</v>
      </c>
    </row>
    <row r="1887" spans="1:8" ht="16.5" customHeight="1" x14ac:dyDescent="0.25">
      <c r="A1887" s="27">
        <v>45880</v>
      </c>
      <c r="B1887" s="80">
        <v>2025</v>
      </c>
      <c r="C1887" s="80">
        <v>8</v>
      </c>
      <c r="D1887" s="30" t="s">
        <v>60</v>
      </c>
      <c r="E1887" s="30" t="s">
        <v>50</v>
      </c>
      <c r="F1887" s="30" t="s">
        <v>58</v>
      </c>
      <c r="G1887" s="33">
        <v>0.80664999999999998</v>
      </c>
      <c r="H1887" s="83" t="s">
        <v>88</v>
      </c>
    </row>
    <row r="1888" spans="1:8" ht="16.5" customHeight="1" x14ac:dyDescent="0.25">
      <c r="A1888" s="27">
        <v>45880</v>
      </c>
      <c r="B1888" s="80">
        <v>2025</v>
      </c>
      <c r="C1888" s="80">
        <v>8</v>
      </c>
      <c r="D1888" s="30" t="s">
        <v>60</v>
      </c>
      <c r="E1888" s="30" t="s">
        <v>54</v>
      </c>
      <c r="F1888" s="30" t="s">
        <v>43</v>
      </c>
      <c r="G1888" s="33">
        <v>1.8905000000000001</v>
      </c>
      <c r="H1888" s="83" t="s">
        <v>88</v>
      </c>
    </row>
    <row r="1889" spans="1:8" ht="16.5" customHeight="1" x14ac:dyDescent="0.25">
      <c r="A1889" s="27">
        <v>45880</v>
      </c>
      <c r="B1889" s="80">
        <v>2025</v>
      </c>
      <c r="C1889" s="80">
        <v>8</v>
      </c>
      <c r="D1889" s="30" t="s">
        <v>60</v>
      </c>
      <c r="E1889" s="30" t="s">
        <v>57</v>
      </c>
      <c r="F1889" s="30" t="s">
        <v>43</v>
      </c>
      <c r="G1889" s="33">
        <v>1.4177500000000001</v>
      </c>
      <c r="H1889" s="83" t="s">
        <v>89</v>
      </c>
    </row>
    <row r="1890" spans="1:8" ht="16.5" customHeight="1" x14ac:dyDescent="0.25">
      <c r="A1890" s="27">
        <v>45881</v>
      </c>
      <c r="B1890" s="80">
        <v>2025</v>
      </c>
      <c r="C1890" s="80">
        <v>8</v>
      </c>
      <c r="D1890" s="30" t="s">
        <v>60</v>
      </c>
      <c r="E1890" s="30" t="s">
        <v>54</v>
      </c>
      <c r="F1890" s="30" t="s">
        <v>43</v>
      </c>
      <c r="G1890" s="33">
        <v>0.57499999999999996</v>
      </c>
      <c r="H1890" s="83" t="s">
        <v>88</v>
      </c>
    </row>
    <row r="1891" spans="1:8" ht="16.5" customHeight="1" x14ac:dyDescent="0.25">
      <c r="A1891" s="27">
        <v>45882</v>
      </c>
      <c r="B1891" s="80">
        <v>2025</v>
      </c>
      <c r="C1891" s="80">
        <v>8</v>
      </c>
      <c r="D1891" s="30" t="s">
        <v>60</v>
      </c>
      <c r="E1891" s="30" t="s">
        <v>42</v>
      </c>
      <c r="F1891" s="30" t="s">
        <v>51</v>
      </c>
      <c r="G1891" s="33">
        <v>0.63</v>
      </c>
      <c r="H1891" s="83" t="s">
        <v>88</v>
      </c>
    </row>
    <row r="1892" spans="1:8" ht="16.5" customHeight="1" x14ac:dyDescent="0.25">
      <c r="A1892" s="27">
        <v>45882</v>
      </c>
      <c r="B1892" s="80">
        <v>2025</v>
      </c>
      <c r="C1892" s="80">
        <v>8</v>
      </c>
      <c r="D1892" s="30" t="s">
        <v>60</v>
      </c>
      <c r="E1892" s="30" t="s">
        <v>50</v>
      </c>
      <c r="F1892" s="30" t="s">
        <v>43</v>
      </c>
      <c r="G1892" s="33">
        <v>73.624731499999996</v>
      </c>
      <c r="H1892" s="83" t="s">
        <v>88</v>
      </c>
    </row>
    <row r="1893" spans="1:8" ht="16.5" customHeight="1" x14ac:dyDescent="0.25">
      <c r="A1893" s="27">
        <v>45882</v>
      </c>
      <c r="B1893" s="80">
        <v>2025</v>
      </c>
      <c r="C1893" s="80">
        <v>8</v>
      </c>
      <c r="D1893" s="30" t="s">
        <v>60</v>
      </c>
      <c r="E1893" s="30" t="s">
        <v>50</v>
      </c>
      <c r="F1893" s="30" t="s">
        <v>47</v>
      </c>
      <c r="G1893" s="33">
        <v>1.2432000000000001</v>
      </c>
      <c r="H1893" s="83" t="s">
        <v>88</v>
      </c>
    </row>
    <row r="1894" spans="1:8" ht="16.5" customHeight="1" x14ac:dyDescent="0.25">
      <c r="A1894" s="27">
        <v>45882</v>
      </c>
      <c r="B1894" s="80">
        <v>2025</v>
      </c>
      <c r="C1894" s="80">
        <v>8</v>
      </c>
      <c r="D1894" s="30" t="s">
        <v>60</v>
      </c>
      <c r="E1894" s="30" t="s">
        <v>50</v>
      </c>
      <c r="F1894" s="30" t="s">
        <v>51</v>
      </c>
      <c r="G1894" s="33">
        <v>0.86699999999999999</v>
      </c>
      <c r="H1894" s="83" t="s">
        <v>88</v>
      </c>
    </row>
    <row r="1895" spans="1:8" ht="16.5" customHeight="1" x14ac:dyDescent="0.25">
      <c r="A1895" s="27">
        <v>45882</v>
      </c>
      <c r="B1895" s="80">
        <v>2025</v>
      </c>
      <c r="C1895" s="80">
        <v>8</v>
      </c>
      <c r="D1895" s="30" t="s">
        <v>60</v>
      </c>
      <c r="E1895" s="30" t="s">
        <v>50</v>
      </c>
      <c r="F1895" s="30" t="s">
        <v>55</v>
      </c>
      <c r="G1895" s="33">
        <v>0.17849999999999999</v>
      </c>
      <c r="H1895" s="83" t="s">
        <v>88</v>
      </c>
    </row>
    <row r="1896" spans="1:8" ht="16.5" customHeight="1" x14ac:dyDescent="0.25">
      <c r="A1896" s="27">
        <v>45882</v>
      </c>
      <c r="B1896" s="80">
        <v>2025</v>
      </c>
      <c r="C1896" s="80">
        <v>8</v>
      </c>
      <c r="D1896" s="30" t="s">
        <v>60</v>
      </c>
      <c r="E1896" s="30" t="s">
        <v>50</v>
      </c>
      <c r="F1896" s="30" t="s">
        <v>58</v>
      </c>
      <c r="G1896" s="33">
        <v>0.26889750000000001</v>
      </c>
      <c r="H1896" s="83" t="s">
        <v>88</v>
      </c>
    </row>
    <row r="1897" spans="1:8" ht="16.5" customHeight="1" x14ac:dyDescent="0.25">
      <c r="A1897" s="27">
        <v>45882</v>
      </c>
      <c r="B1897" s="80">
        <v>2025</v>
      </c>
      <c r="C1897" s="80">
        <v>8</v>
      </c>
      <c r="D1897" s="30" t="s">
        <v>60</v>
      </c>
      <c r="E1897" s="30" t="s">
        <v>54</v>
      </c>
      <c r="F1897" s="30" t="s">
        <v>43</v>
      </c>
      <c r="G1897" s="33">
        <v>5.0202499999999999</v>
      </c>
      <c r="H1897" s="83" t="s">
        <v>88</v>
      </c>
    </row>
    <row r="1898" spans="1:8" ht="16.5" customHeight="1" x14ac:dyDescent="0.25">
      <c r="A1898" s="27">
        <v>45882</v>
      </c>
      <c r="B1898" s="80">
        <v>2025</v>
      </c>
      <c r="C1898" s="80">
        <v>8</v>
      </c>
      <c r="D1898" s="30" t="s">
        <v>60</v>
      </c>
      <c r="E1898" s="30" t="s">
        <v>57</v>
      </c>
      <c r="F1898" s="30" t="s">
        <v>43</v>
      </c>
      <c r="G1898" s="33">
        <v>4.1769999999999996</v>
      </c>
      <c r="H1898" s="83" t="s">
        <v>89</v>
      </c>
    </row>
    <row r="1899" spans="1:8" ht="16.5" customHeight="1" x14ac:dyDescent="0.25">
      <c r="A1899" s="27">
        <v>45882</v>
      </c>
      <c r="B1899" s="80">
        <v>2025</v>
      </c>
      <c r="C1899" s="80">
        <v>8</v>
      </c>
      <c r="D1899" s="30" t="s">
        <v>60</v>
      </c>
      <c r="E1899" s="30" t="s">
        <v>71</v>
      </c>
      <c r="F1899" s="30" t="s">
        <v>43</v>
      </c>
      <c r="G1899" s="33">
        <v>5.6433999999999997</v>
      </c>
      <c r="H1899" s="83" t="s">
        <v>89</v>
      </c>
    </row>
    <row r="1900" spans="1:8" ht="16.5" customHeight="1" x14ac:dyDescent="0.25">
      <c r="A1900" s="27">
        <v>45882</v>
      </c>
      <c r="B1900" s="80">
        <v>2025</v>
      </c>
      <c r="C1900" s="80">
        <v>8</v>
      </c>
      <c r="D1900" s="30" t="s">
        <v>60</v>
      </c>
      <c r="E1900" s="30" t="s">
        <v>73</v>
      </c>
      <c r="F1900" s="30" t="s">
        <v>39</v>
      </c>
      <c r="G1900" s="33">
        <v>2.5768049999999998</v>
      </c>
      <c r="H1900" s="83" t="s">
        <v>89</v>
      </c>
    </row>
    <row r="1901" spans="1:8" ht="16.5" customHeight="1" x14ac:dyDescent="0.25">
      <c r="A1901" s="27">
        <v>45882</v>
      </c>
      <c r="B1901" s="80">
        <v>2025</v>
      </c>
      <c r="C1901" s="80">
        <v>8</v>
      </c>
      <c r="D1901" s="30" t="s">
        <v>60</v>
      </c>
      <c r="E1901" s="30" t="s">
        <v>76</v>
      </c>
      <c r="F1901" s="30" t="s">
        <v>39</v>
      </c>
      <c r="G1901" s="33">
        <v>1.3324499999999999</v>
      </c>
      <c r="H1901" s="83" t="s">
        <v>48</v>
      </c>
    </row>
    <row r="1902" spans="1:8" ht="16.5" customHeight="1" x14ac:dyDescent="0.25">
      <c r="A1902" s="27">
        <v>45883</v>
      </c>
      <c r="B1902" s="80">
        <v>2025</v>
      </c>
      <c r="C1902" s="80">
        <v>8</v>
      </c>
      <c r="D1902" s="30" t="s">
        <v>60</v>
      </c>
      <c r="E1902" s="30" t="s">
        <v>42</v>
      </c>
      <c r="F1902" s="30" t="s">
        <v>43</v>
      </c>
      <c r="G1902" s="33">
        <v>3.7229999999999999</v>
      </c>
      <c r="H1902" s="83" t="s">
        <v>88</v>
      </c>
    </row>
    <row r="1903" spans="1:8" ht="16.5" customHeight="1" x14ac:dyDescent="0.25">
      <c r="A1903" s="27">
        <v>45883</v>
      </c>
      <c r="B1903" s="80">
        <v>2025</v>
      </c>
      <c r="C1903" s="80">
        <v>8</v>
      </c>
      <c r="D1903" s="30" t="s">
        <v>60</v>
      </c>
      <c r="E1903" s="30" t="s">
        <v>46</v>
      </c>
      <c r="F1903" s="30" t="s">
        <v>43</v>
      </c>
      <c r="G1903" s="33">
        <v>0.63997499999999996</v>
      </c>
      <c r="H1903" s="83" t="s">
        <v>88</v>
      </c>
    </row>
    <row r="1904" spans="1:8" ht="16.5" customHeight="1" x14ac:dyDescent="0.25">
      <c r="A1904" s="27">
        <v>45883</v>
      </c>
      <c r="B1904" s="80">
        <v>2025</v>
      </c>
      <c r="C1904" s="80">
        <v>8</v>
      </c>
      <c r="D1904" s="30" t="s">
        <v>60</v>
      </c>
      <c r="E1904" s="30" t="s">
        <v>50</v>
      </c>
      <c r="F1904" s="30" t="s">
        <v>43</v>
      </c>
      <c r="G1904" s="33">
        <v>1.0306249999999999</v>
      </c>
      <c r="H1904" s="83" t="s">
        <v>88</v>
      </c>
    </row>
    <row r="1905" spans="1:8" ht="16.5" customHeight="1" x14ac:dyDescent="0.25">
      <c r="A1905" s="27">
        <v>45883</v>
      </c>
      <c r="B1905" s="80">
        <v>2025</v>
      </c>
      <c r="C1905" s="80">
        <v>8</v>
      </c>
      <c r="D1905" s="30" t="s">
        <v>60</v>
      </c>
      <c r="E1905" s="30" t="s">
        <v>54</v>
      </c>
      <c r="F1905" s="30" t="s">
        <v>43</v>
      </c>
      <c r="G1905" s="33">
        <v>3.6732499999999999</v>
      </c>
      <c r="H1905" s="83" t="s">
        <v>88</v>
      </c>
    </row>
    <row r="1906" spans="1:8" ht="16.5" customHeight="1" x14ac:dyDescent="0.25">
      <c r="A1906" s="27">
        <v>45883</v>
      </c>
      <c r="B1906" s="80">
        <v>2025</v>
      </c>
      <c r="C1906" s="80">
        <v>8</v>
      </c>
      <c r="D1906" s="30" t="s">
        <v>60</v>
      </c>
      <c r="E1906" s="30" t="s">
        <v>54</v>
      </c>
      <c r="F1906" s="30" t="s">
        <v>47</v>
      </c>
      <c r="G1906" s="33">
        <v>0.20624999999999999</v>
      </c>
      <c r="H1906" s="83" t="s">
        <v>88</v>
      </c>
    </row>
    <row r="1907" spans="1:8" ht="16.5" customHeight="1" x14ac:dyDescent="0.25">
      <c r="A1907" s="27">
        <v>45883</v>
      </c>
      <c r="B1907" s="80">
        <v>2025</v>
      </c>
      <c r="C1907" s="80">
        <v>8</v>
      </c>
      <c r="D1907" s="30" t="s">
        <v>60</v>
      </c>
      <c r="E1907" s="30" t="s">
        <v>75</v>
      </c>
      <c r="F1907" s="30" t="s">
        <v>43</v>
      </c>
      <c r="G1907" s="33">
        <v>0.96543000000000001</v>
      </c>
      <c r="H1907" s="83" t="s">
        <v>48</v>
      </c>
    </row>
    <row r="1908" spans="1:8" ht="16.5" customHeight="1" x14ac:dyDescent="0.25">
      <c r="A1908" s="27">
        <v>45887</v>
      </c>
      <c r="B1908" s="80">
        <v>2025</v>
      </c>
      <c r="C1908" s="80">
        <v>8</v>
      </c>
      <c r="D1908" s="30" t="s">
        <v>60</v>
      </c>
      <c r="E1908" s="30" t="s">
        <v>38</v>
      </c>
      <c r="F1908" s="30" t="s">
        <v>43</v>
      </c>
      <c r="G1908" s="33">
        <v>1.0595760000000001</v>
      </c>
      <c r="H1908" s="83" t="s">
        <v>88</v>
      </c>
    </row>
    <row r="1909" spans="1:8" ht="16.5" customHeight="1" x14ac:dyDescent="0.25">
      <c r="A1909" s="27">
        <v>45887</v>
      </c>
      <c r="B1909" s="80">
        <v>2025</v>
      </c>
      <c r="C1909" s="80">
        <v>8</v>
      </c>
      <c r="D1909" s="30" t="s">
        <v>60</v>
      </c>
      <c r="E1909" s="30" t="s">
        <v>42</v>
      </c>
      <c r="F1909" s="30" t="s">
        <v>43</v>
      </c>
      <c r="G1909" s="33">
        <v>4.0884999999999998</v>
      </c>
      <c r="H1909" s="83" t="s">
        <v>88</v>
      </c>
    </row>
    <row r="1910" spans="1:8" ht="16.5" customHeight="1" x14ac:dyDescent="0.25">
      <c r="A1910" s="27">
        <v>45887</v>
      </c>
      <c r="B1910" s="80">
        <v>2025</v>
      </c>
      <c r="C1910" s="80">
        <v>8</v>
      </c>
      <c r="D1910" s="30" t="s">
        <v>60</v>
      </c>
      <c r="E1910" s="30" t="s">
        <v>46</v>
      </c>
      <c r="F1910" s="30" t="s">
        <v>43</v>
      </c>
      <c r="G1910" s="33">
        <v>3.3310344000000001</v>
      </c>
      <c r="H1910" s="83" t="s">
        <v>88</v>
      </c>
    </row>
    <row r="1911" spans="1:8" ht="16.5" customHeight="1" x14ac:dyDescent="0.25">
      <c r="A1911" s="27">
        <v>45887</v>
      </c>
      <c r="B1911" s="80">
        <v>2025</v>
      </c>
      <c r="C1911" s="80">
        <v>8</v>
      </c>
      <c r="D1911" s="30" t="s">
        <v>60</v>
      </c>
      <c r="E1911" s="30" t="s">
        <v>50</v>
      </c>
      <c r="F1911" s="30" t="s">
        <v>43</v>
      </c>
      <c r="G1911" s="33">
        <v>1.5075750000000001</v>
      </c>
      <c r="H1911" s="83" t="s">
        <v>88</v>
      </c>
    </row>
    <row r="1912" spans="1:8" ht="16.5" customHeight="1" x14ac:dyDescent="0.25">
      <c r="A1912" s="27">
        <v>45887</v>
      </c>
      <c r="B1912" s="80">
        <v>2025</v>
      </c>
      <c r="C1912" s="80">
        <v>8</v>
      </c>
      <c r="D1912" s="30" t="s">
        <v>60</v>
      </c>
      <c r="E1912" s="30" t="s">
        <v>50</v>
      </c>
      <c r="F1912" s="30" t="s">
        <v>47</v>
      </c>
      <c r="G1912" s="33">
        <v>0.14025000000000001</v>
      </c>
      <c r="H1912" s="83" t="s">
        <v>88</v>
      </c>
    </row>
    <row r="1913" spans="1:8" ht="16.5" customHeight="1" x14ac:dyDescent="0.25">
      <c r="A1913" s="27">
        <v>45887</v>
      </c>
      <c r="B1913" s="80">
        <v>2025</v>
      </c>
      <c r="C1913" s="80">
        <v>8</v>
      </c>
      <c r="D1913" s="30" t="s">
        <v>60</v>
      </c>
      <c r="E1913" s="30" t="s">
        <v>50</v>
      </c>
      <c r="F1913" s="30" t="s">
        <v>51</v>
      </c>
      <c r="G1913" s="33">
        <v>0.374</v>
      </c>
      <c r="H1913" s="83" t="s">
        <v>88</v>
      </c>
    </row>
    <row r="1914" spans="1:8" ht="16.5" customHeight="1" x14ac:dyDescent="0.25">
      <c r="A1914" s="27">
        <v>45887</v>
      </c>
      <c r="B1914" s="80">
        <v>2025</v>
      </c>
      <c r="C1914" s="80">
        <v>8</v>
      </c>
      <c r="D1914" s="30" t="s">
        <v>60</v>
      </c>
      <c r="E1914" s="30" t="s">
        <v>50</v>
      </c>
      <c r="F1914" s="30" t="s">
        <v>55</v>
      </c>
      <c r="G1914" s="33">
        <v>0.17849999999999999</v>
      </c>
      <c r="H1914" s="83" t="s">
        <v>88</v>
      </c>
    </row>
    <row r="1915" spans="1:8" ht="16.5" customHeight="1" x14ac:dyDescent="0.25">
      <c r="A1915" s="27">
        <v>45887</v>
      </c>
      <c r="B1915" s="80">
        <v>2025</v>
      </c>
      <c r="C1915" s="80">
        <v>8</v>
      </c>
      <c r="D1915" s="30" t="s">
        <v>60</v>
      </c>
      <c r="E1915" s="30" t="s">
        <v>50</v>
      </c>
      <c r="F1915" s="30" t="s">
        <v>58</v>
      </c>
      <c r="G1915" s="33">
        <v>0.82874999999999999</v>
      </c>
      <c r="H1915" s="83" t="s">
        <v>88</v>
      </c>
    </row>
    <row r="1916" spans="1:8" ht="16.5" customHeight="1" x14ac:dyDescent="0.25">
      <c r="A1916" s="27">
        <v>45887</v>
      </c>
      <c r="B1916" s="80">
        <v>2025</v>
      </c>
      <c r="C1916" s="80">
        <v>8</v>
      </c>
      <c r="D1916" s="30" t="s">
        <v>60</v>
      </c>
      <c r="E1916" s="30" t="s">
        <v>54</v>
      </c>
      <c r="F1916" s="30" t="s">
        <v>43</v>
      </c>
      <c r="G1916" s="33">
        <v>2.78</v>
      </c>
      <c r="H1916" s="83" t="s">
        <v>88</v>
      </c>
    </row>
    <row r="1917" spans="1:8" ht="16.5" customHeight="1" x14ac:dyDescent="0.25">
      <c r="A1917" s="27">
        <v>45887</v>
      </c>
      <c r="B1917" s="80">
        <v>2025</v>
      </c>
      <c r="C1917" s="80">
        <v>8</v>
      </c>
      <c r="D1917" s="30" t="s">
        <v>60</v>
      </c>
      <c r="E1917" s="30" t="s">
        <v>68</v>
      </c>
      <c r="F1917" s="30" t="s">
        <v>43</v>
      </c>
      <c r="G1917" s="33">
        <v>2.1150000000000002</v>
      </c>
      <c r="H1917" s="83" t="s">
        <v>89</v>
      </c>
    </row>
    <row r="1918" spans="1:8" ht="16.5" customHeight="1" x14ac:dyDescent="0.25">
      <c r="A1918" s="27">
        <v>45888</v>
      </c>
      <c r="B1918" s="80">
        <v>2025</v>
      </c>
      <c r="C1918" s="80">
        <v>8</v>
      </c>
      <c r="D1918" s="30" t="s">
        <v>60</v>
      </c>
      <c r="E1918" s="30" t="s">
        <v>38</v>
      </c>
      <c r="F1918" s="30" t="s">
        <v>43</v>
      </c>
      <c r="G1918" s="33">
        <v>2.9249999999999998</v>
      </c>
      <c r="H1918" s="83" t="s">
        <v>88</v>
      </c>
    </row>
    <row r="1919" spans="1:8" ht="16.5" customHeight="1" x14ac:dyDescent="0.25">
      <c r="A1919" s="27">
        <v>45888</v>
      </c>
      <c r="B1919" s="80">
        <v>2025</v>
      </c>
      <c r="C1919" s="80">
        <v>8</v>
      </c>
      <c r="D1919" s="30" t="s">
        <v>60</v>
      </c>
      <c r="E1919" s="30" t="s">
        <v>42</v>
      </c>
      <c r="F1919" s="30" t="s">
        <v>58</v>
      </c>
      <c r="G1919" s="33">
        <v>0.92884999999999995</v>
      </c>
      <c r="H1919" s="83" t="s">
        <v>88</v>
      </c>
    </row>
    <row r="1920" spans="1:8" ht="16.5" customHeight="1" x14ac:dyDescent="0.25">
      <c r="A1920" s="27">
        <v>45888</v>
      </c>
      <c r="B1920" s="80">
        <v>2025</v>
      </c>
      <c r="C1920" s="80">
        <v>8</v>
      </c>
      <c r="D1920" s="30" t="s">
        <v>60</v>
      </c>
      <c r="E1920" s="30" t="s">
        <v>50</v>
      </c>
      <c r="F1920" s="30" t="s">
        <v>43</v>
      </c>
      <c r="G1920" s="33">
        <v>4.8263600000000002</v>
      </c>
      <c r="H1920" s="83" t="s">
        <v>88</v>
      </c>
    </row>
    <row r="1921" spans="1:8" ht="16.5" customHeight="1" x14ac:dyDescent="0.25">
      <c r="A1921" s="27">
        <v>45888</v>
      </c>
      <c r="B1921" s="80">
        <v>2025</v>
      </c>
      <c r="C1921" s="80">
        <v>8</v>
      </c>
      <c r="D1921" s="30" t="s">
        <v>60</v>
      </c>
      <c r="E1921" s="30" t="s">
        <v>50</v>
      </c>
      <c r="F1921" s="30" t="s">
        <v>58</v>
      </c>
      <c r="G1921" s="33">
        <v>3.7573250000000002E-2</v>
      </c>
      <c r="H1921" s="83" t="s">
        <v>88</v>
      </c>
    </row>
    <row r="1922" spans="1:8" ht="16.5" customHeight="1" x14ac:dyDescent="0.25">
      <c r="A1922" s="27">
        <v>45888</v>
      </c>
      <c r="B1922" s="80">
        <v>2025</v>
      </c>
      <c r="C1922" s="80">
        <v>8</v>
      </c>
      <c r="D1922" s="30" t="s">
        <v>60</v>
      </c>
      <c r="E1922" s="30" t="s">
        <v>54</v>
      </c>
      <c r="F1922" s="30" t="s">
        <v>43</v>
      </c>
      <c r="G1922" s="33">
        <v>1.4624999999999999</v>
      </c>
      <c r="H1922" s="83" t="s">
        <v>88</v>
      </c>
    </row>
    <row r="1923" spans="1:8" ht="16.5" customHeight="1" x14ac:dyDescent="0.25">
      <c r="A1923" s="27">
        <v>45888</v>
      </c>
      <c r="B1923" s="80">
        <v>2025</v>
      </c>
      <c r="C1923" s="80">
        <v>8</v>
      </c>
      <c r="D1923" s="30" t="s">
        <v>60</v>
      </c>
      <c r="E1923" s="30" t="s">
        <v>76</v>
      </c>
      <c r="F1923" s="30" t="s">
        <v>39</v>
      </c>
      <c r="G1923" s="33">
        <v>114.63004100000001</v>
      </c>
      <c r="H1923" s="83" t="s">
        <v>48</v>
      </c>
    </row>
    <row r="1924" spans="1:8" ht="16.5" customHeight="1" x14ac:dyDescent="0.25">
      <c r="A1924" s="27">
        <v>45889</v>
      </c>
      <c r="B1924" s="80">
        <v>2025</v>
      </c>
      <c r="C1924" s="80">
        <v>8</v>
      </c>
      <c r="D1924" s="30" t="s">
        <v>60</v>
      </c>
      <c r="E1924" s="30" t="s">
        <v>38</v>
      </c>
      <c r="F1924" s="30" t="s">
        <v>43</v>
      </c>
      <c r="G1924" s="33">
        <v>1.8779999999999999</v>
      </c>
      <c r="H1924" s="83" t="s">
        <v>88</v>
      </c>
    </row>
    <row r="1925" spans="1:8" ht="16.5" customHeight="1" x14ac:dyDescent="0.25">
      <c r="A1925" s="27">
        <v>45889</v>
      </c>
      <c r="B1925" s="80">
        <v>2025</v>
      </c>
      <c r="C1925" s="80">
        <v>8</v>
      </c>
      <c r="D1925" s="30" t="s">
        <v>60</v>
      </c>
      <c r="E1925" s="30" t="s">
        <v>38</v>
      </c>
      <c r="F1925" s="30" t="s">
        <v>55</v>
      </c>
      <c r="G1925" s="33">
        <v>1.68</v>
      </c>
      <c r="H1925" s="83" t="s">
        <v>88</v>
      </c>
    </row>
    <row r="1926" spans="1:8" ht="16.5" customHeight="1" x14ac:dyDescent="0.25">
      <c r="A1926" s="27">
        <v>45889</v>
      </c>
      <c r="B1926" s="80">
        <v>2025</v>
      </c>
      <c r="C1926" s="80">
        <v>8</v>
      </c>
      <c r="D1926" s="30" t="s">
        <v>60</v>
      </c>
      <c r="E1926" s="30" t="s">
        <v>38</v>
      </c>
      <c r="F1926" s="30" t="s">
        <v>58</v>
      </c>
      <c r="G1926" s="33">
        <v>0.1038</v>
      </c>
      <c r="H1926" s="83" t="s">
        <v>88</v>
      </c>
    </row>
    <row r="1927" spans="1:8" ht="16.5" customHeight="1" x14ac:dyDescent="0.25">
      <c r="A1927" s="27">
        <v>45889</v>
      </c>
      <c r="B1927" s="80">
        <v>2025</v>
      </c>
      <c r="C1927" s="80">
        <v>8</v>
      </c>
      <c r="D1927" s="30" t="s">
        <v>60</v>
      </c>
      <c r="E1927" s="30" t="s">
        <v>42</v>
      </c>
      <c r="F1927" s="30" t="s">
        <v>43</v>
      </c>
      <c r="G1927" s="33">
        <v>12.779</v>
      </c>
      <c r="H1927" s="83" t="s">
        <v>88</v>
      </c>
    </row>
    <row r="1928" spans="1:8" ht="16.5" customHeight="1" x14ac:dyDescent="0.25">
      <c r="A1928" s="27">
        <v>45889</v>
      </c>
      <c r="B1928" s="80">
        <v>2025</v>
      </c>
      <c r="C1928" s="80">
        <v>8</v>
      </c>
      <c r="D1928" s="30" t="s">
        <v>60</v>
      </c>
      <c r="E1928" s="30" t="s">
        <v>46</v>
      </c>
      <c r="F1928" s="30" t="s">
        <v>43</v>
      </c>
      <c r="G1928" s="33">
        <v>3.1350720000000001</v>
      </c>
      <c r="H1928" s="83" t="s">
        <v>88</v>
      </c>
    </row>
    <row r="1929" spans="1:8" ht="16.5" customHeight="1" x14ac:dyDescent="0.25">
      <c r="A1929" s="27">
        <v>45889</v>
      </c>
      <c r="B1929" s="80">
        <v>2025</v>
      </c>
      <c r="C1929" s="80">
        <v>8</v>
      </c>
      <c r="D1929" s="30" t="s">
        <v>60</v>
      </c>
      <c r="E1929" s="30" t="s">
        <v>46</v>
      </c>
      <c r="F1929" s="30" t="s">
        <v>47</v>
      </c>
      <c r="G1929" s="33">
        <v>0.18079999999999999</v>
      </c>
      <c r="H1929" s="83" t="s">
        <v>88</v>
      </c>
    </row>
    <row r="1930" spans="1:8" ht="16.5" customHeight="1" x14ac:dyDescent="0.25">
      <c r="A1930" s="27">
        <v>45889</v>
      </c>
      <c r="B1930" s="80">
        <v>2025</v>
      </c>
      <c r="C1930" s="80">
        <v>8</v>
      </c>
      <c r="D1930" s="30" t="s">
        <v>60</v>
      </c>
      <c r="E1930" s="30" t="s">
        <v>46</v>
      </c>
      <c r="F1930" s="30" t="s">
        <v>58</v>
      </c>
      <c r="G1930" s="33">
        <v>0.82982100000000003</v>
      </c>
      <c r="H1930" s="83" t="s">
        <v>88</v>
      </c>
    </row>
    <row r="1931" spans="1:8" ht="16.5" customHeight="1" x14ac:dyDescent="0.25">
      <c r="A1931" s="27">
        <v>45889</v>
      </c>
      <c r="B1931" s="80">
        <v>2025</v>
      </c>
      <c r="C1931" s="80">
        <v>8</v>
      </c>
      <c r="D1931" s="30" t="s">
        <v>60</v>
      </c>
      <c r="E1931" s="30" t="s">
        <v>50</v>
      </c>
      <c r="F1931" s="30" t="s">
        <v>43</v>
      </c>
      <c r="G1931" s="33">
        <v>2.9754800000000001</v>
      </c>
      <c r="H1931" s="83" t="s">
        <v>88</v>
      </c>
    </row>
    <row r="1932" spans="1:8" ht="16.5" customHeight="1" x14ac:dyDescent="0.25">
      <c r="A1932" s="27">
        <v>45889</v>
      </c>
      <c r="B1932" s="80">
        <v>2025</v>
      </c>
      <c r="C1932" s="80">
        <v>8</v>
      </c>
      <c r="D1932" s="30" t="s">
        <v>60</v>
      </c>
      <c r="E1932" s="30" t="s">
        <v>50</v>
      </c>
      <c r="F1932" s="30" t="s">
        <v>47</v>
      </c>
      <c r="G1932" s="33">
        <v>2.0022500000000001</v>
      </c>
      <c r="H1932" s="83" t="s">
        <v>88</v>
      </c>
    </row>
    <row r="1933" spans="1:8" ht="16.5" customHeight="1" x14ac:dyDescent="0.25">
      <c r="A1933" s="27">
        <v>45889</v>
      </c>
      <c r="B1933" s="80">
        <v>2025</v>
      </c>
      <c r="C1933" s="80">
        <v>8</v>
      </c>
      <c r="D1933" s="30" t="s">
        <v>60</v>
      </c>
      <c r="E1933" s="30" t="s">
        <v>54</v>
      </c>
      <c r="F1933" s="30" t="s">
        <v>43</v>
      </c>
      <c r="G1933" s="33">
        <v>0.312</v>
      </c>
      <c r="H1933" s="83" t="s">
        <v>88</v>
      </c>
    </row>
    <row r="1934" spans="1:8" ht="16.5" customHeight="1" x14ac:dyDescent="0.25">
      <c r="A1934" s="27">
        <v>45889</v>
      </c>
      <c r="B1934" s="80">
        <v>2025</v>
      </c>
      <c r="C1934" s="80">
        <v>8</v>
      </c>
      <c r="D1934" s="30" t="s">
        <v>60</v>
      </c>
      <c r="E1934" s="30" t="s">
        <v>57</v>
      </c>
      <c r="F1934" s="30" t="s">
        <v>43</v>
      </c>
      <c r="G1934" s="33">
        <v>1.782</v>
      </c>
      <c r="H1934" s="83" t="s">
        <v>89</v>
      </c>
    </row>
    <row r="1935" spans="1:8" ht="16.5" customHeight="1" x14ac:dyDescent="0.25">
      <c r="A1935" s="27">
        <v>45889</v>
      </c>
      <c r="B1935" s="80">
        <v>2025</v>
      </c>
      <c r="C1935" s="80">
        <v>8</v>
      </c>
      <c r="D1935" s="30" t="s">
        <v>60</v>
      </c>
      <c r="E1935" s="30" t="s">
        <v>66</v>
      </c>
      <c r="F1935" s="30" t="s">
        <v>43</v>
      </c>
      <c r="G1935" s="33">
        <v>6.5709999999999997</v>
      </c>
      <c r="H1935" s="83" t="s">
        <v>89</v>
      </c>
    </row>
    <row r="1936" spans="1:8" ht="16.5" customHeight="1" x14ac:dyDescent="0.25">
      <c r="A1936" s="27">
        <v>45889</v>
      </c>
      <c r="B1936" s="80">
        <v>2025</v>
      </c>
      <c r="C1936" s="80">
        <v>8</v>
      </c>
      <c r="D1936" s="30" t="s">
        <v>60</v>
      </c>
      <c r="E1936" s="30" t="s">
        <v>68</v>
      </c>
      <c r="F1936" s="30" t="s">
        <v>43</v>
      </c>
      <c r="G1936" s="33">
        <v>4</v>
      </c>
      <c r="H1936" s="83" t="s">
        <v>89</v>
      </c>
    </row>
    <row r="1937" spans="1:8" ht="16.5" customHeight="1" x14ac:dyDescent="0.25">
      <c r="A1937" s="27">
        <v>45889</v>
      </c>
      <c r="B1937" s="80">
        <v>2025</v>
      </c>
      <c r="C1937" s="80">
        <v>8</v>
      </c>
      <c r="D1937" s="30" t="s">
        <v>60</v>
      </c>
      <c r="E1937" s="30" t="s">
        <v>75</v>
      </c>
      <c r="F1937" s="30" t="s">
        <v>43</v>
      </c>
      <c r="G1937" s="33">
        <v>1.27959</v>
      </c>
      <c r="H1937" s="83" t="s">
        <v>48</v>
      </c>
    </row>
    <row r="1938" spans="1:8" ht="16.5" customHeight="1" x14ac:dyDescent="0.25">
      <c r="A1938" s="27">
        <v>45890</v>
      </c>
      <c r="B1938" s="80">
        <v>2025</v>
      </c>
      <c r="C1938" s="80">
        <v>8</v>
      </c>
      <c r="D1938" s="30" t="s">
        <v>60</v>
      </c>
      <c r="E1938" s="30" t="s">
        <v>38</v>
      </c>
      <c r="F1938" s="30" t="s">
        <v>43</v>
      </c>
      <c r="G1938" s="33">
        <v>0.8125</v>
      </c>
      <c r="H1938" s="83" t="s">
        <v>88</v>
      </c>
    </row>
    <row r="1939" spans="1:8" ht="16.5" customHeight="1" x14ac:dyDescent="0.25">
      <c r="A1939" s="27">
        <v>45890</v>
      </c>
      <c r="B1939" s="80">
        <v>2025</v>
      </c>
      <c r="C1939" s="80">
        <v>8</v>
      </c>
      <c r="D1939" s="30" t="s">
        <v>60</v>
      </c>
      <c r="E1939" s="30" t="s">
        <v>42</v>
      </c>
      <c r="F1939" s="30" t="s">
        <v>55</v>
      </c>
      <c r="G1939" s="33">
        <v>7</v>
      </c>
      <c r="H1939" s="83" t="s">
        <v>88</v>
      </c>
    </row>
    <row r="1940" spans="1:8" ht="16.5" customHeight="1" x14ac:dyDescent="0.25">
      <c r="A1940" s="27">
        <v>45890</v>
      </c>
      <c r="B1940" s="80">
        <v>2025</v>
      </c>
      <c r="C1940" s="80">
        <v>8</v>
      </c>
      <c r="D1940" s="30" t="s">
        <v>60</v>
      </c>
      <c r="E1940" s="30" t="s">
        <v>50</v>
      </c>
      <c r="F1940" s="30" t="s">
        <v>39</v>
      </c>
      <c r="G1940" s="33">
        <v>53.018787500000002</v>
      </c>
      <c r="H1940" s="83" t="s">
        <v>88</v>
      </c>
    </row>
    <row r="1941" spans="1:8" ht="16.5" customHeight="1" x14ac:dyDescent="0.25">
      <c r="A1941" s="27">
        <v>45890</v>
      </c>
      <c r="B1941" s="80">
        <v>2025</v>
      </c>
      <c r="C1941" s="80">
        <v>8</v>
      </c>
      <c r="D1941" s="30" t="s">
        <v>60</v>
      </c>
      <c r="E1941" s="30" t="s">
        <v>54</v>
      </c>
      <c r="F1941" s="30" t="s">
        <v>43</v>
      </c>
      <c r="G1941" s="33">
        <v>0.38400000000000001</v>
      </c>
      <c r="H1941" s="83" t="s">
        <v>88</v>
      </c>
    </row>
    <row r="1942" spans="1:8" ht="16.5" customHeight="1" x14ac:dyDescent="0.25">
      <c r="A1942" s="27">
        <v>45890</v>
      </c>
      <c r="B1942" s="80">
        <v>2025</v>
      </c>
      <c r="C1942" s="80">
        <v>8</v>
      </c>
      <c r="D1942" s="30" t="s">
        <v>60</v>
      </c>
      <c r="E1942" s="30" t="s">
        <v>57</v>
      </c>
      <c r="F1942" s="30" t="s">
        <v>43</v>
      </c>
      <c r="G1942" s="33">
        <v>1.7740800000000001</v>
      </c>
      <c r="H1942" s="83" t="s">
        <v>89</v>
      </c>
    </row>
    <row r="1943" spans="1:8" ht="16.5" customHeight="1" x14ac:dyDescent="0.25">
      <c r="A1943" s="27">
        <v>45890</v>
      </c>
      <c r="B1943" s="80">
        <v>2025</v>
      </c>
      <c r="C1943" s="80">
        <v>8</v>
      </c>
      <c r="D1943" s="30" t="s">
        <v>60</v>
      </c>
      <c r="E1943" s="30" t="s">
        <v>66</v>
      </c>
      <c r="F1943" s="30" t="s">
        <v>43</v>
      </c>
      <c r="G1943" s="33">
        <v>3.1583999999999999</v>
      </c>
      <c r="H1943" s="83" t="s">
        <v>89</v>
      </c>
    </row>
    <row r="1944" spans="1:8" ht="16.5" customHeight="1" x14ac:dyDescent="0.25">
      <c r="A1944" s="27">
        <v>45891</v>
      </c>
      <c r="B1944" s="80">
        <v>2025</v>
      </c>
      <c r="C1944" s="80">
        <v>8</v>
      </c>
      <c r="D1944" s="30" t="s">
        <v>60</v>
      </c>
      <c r="E1944" s="30" t="s">
        <v>42</v>
      </c>
      <c r="F1944" s="30" t="s">
        <v>43</v>
      </c>
      <c r="G1944" s="33">
        <v>7.1777800000000003</v>
      </c>
      <c r="H1944" s="83" t="s">
        <v>88</v>
      </c>
    </row>
    <row r="1945" spans="1:8" ht="16.5" customHeight="1" x14ac:dyDescent="0.25">
      <c r="A1945" s="27">
        <v>45891</v>
      </c>
      <c r="B1945" s="80">
        <v>2025</v>
      </c>
      <c r="C1945" s="80">
        <v>8</v>
      </c>
      <c r="D1945" s="30" t="s">
        <v>60</v>
      </c>
      <c r="E1945" s="30" t="s">
        <v>46</v>
      </c>
      <c r="F1945" s="30" t="s">
        <v>43</v>
      </c>
      <c r="G1945" s="33">
        <v>1.0698032</v>
      </c>
      <c r="H1945" s="83" t="s">
        <v>88</v>
      </c>
    </row>
    <row r="1946" spans="1:8" ht="16.5" customHeight="1" x14ac:dyDescent="0.25">
      <c r="A1946" s="27">
        <v>45891</v>
      </c>
      <c r="B1946" s="80">
        <v>2025</v>
      </c>
      <c r="C1946" s="80">
        <v>8</v>
      </c>
      <c r="D1946" s="30" t="s">
        <v>60</v>
      </c>
      <c r="E1946" s="30" t="s">
        <v>50</v>
      </c>
      <c r="F1946" s="30" t="s">
        <v>43</v>
      </c>
      <c r="G1946" s="33">
        <v>5.5203256999999999</v>
      </c>
      <c r="H1946" s="83" t="s">
        <v>88</v>
      </c>
    </row>
    <row r="1947" spans="1:8" ht="16.5" customHeight="1" x14ac:dyDescent="0.25">
      <c r="A1947" s="27">
        <v>45891</v>
      </c>
      <c r="B1947" s="80">
        <v>2025</v>
      </c>
      <c r="C1947" s="80">
        <v>8</v>
      </c>
      <c r="D1947" s="30" t="s">
        <v>60</v>
      </c>
      <c r="E1947" s="30" t="s">
        <v>50</v>
      </c>
      <c r="F1947" s="30" t="s">
        <v>47</v>
      </c>
      <c r="G1947" s="33">
        <v>0.14025000000000001</v>
      </c>
      <c r="H1947" s="83" t="s">
        <v>88</v>
      </c>
    </row>
    <row r="1948" spans="1:8" ht="16.5" customHeight="1" x14ac:dyDescent="0.25">
      <c r="A1948" s="27">
        <v>45891</v>
      </c>
      <c r="B1948" s="80">
        <v>2025</v>
      </c>
      <c r="C1948" s="80">
        <v>8</v>
      </c>
      <c r="D1948" s="30" t="s">
        <v>60</v>
      </c>
      <c r="E1948" s="30" t="s">
        <v>50</v>
      </c>
      <c r="F1948" s="30" t="s">
        <v>58</v>
      </c>
      <c r="G1948" s="33">
        <v>0.94079650000000004</v>
      </c>
      <c r="H1948" s="83" t="s">
        <v>88</v>
      </c>
    </row>
    <row r="1949" spans="1:8" ht="16.5" customHeight="1" x14ac:dyDescent="0.25">
      <c r="A1949" s="27">
        <v>45891</v>
      </c>
      <c r="B1949" s="80">
        <v>2025</v>
      </c>
      <c r="C1949" s="80">
        <v>8</v>
      </c>
      <c r="D1949" s="30" t="s">
        <v>60</v>
      </c>
      <c r="E1949" s="30" t="s">
        <v>54</v>
      </c>
      <c r="F1949" s="30" t="s">
        <v>43</v>
      </c>
      <c r="G1949" s="33">
        <v>8.3119999999999994</v>
      </c>
      <c r="H1949" s="83" t="s">
        <v>88</v>
      </c>
    </row>
    <row r="1950" spans="1:8" ht="16.5" customHeight="1" x14ac:dyDescent="0.25">
      <c r="A1950" s="27">
        <v>45894</v>
      </c>
      <c r="B1950" s="80">
        <v>2025</v>
      </c>
      <c r="C1950" s="80">
        <v>8</v>
      </c>
      <c r="D1950" s="30" t="s">
        <v>60</v>
      </c>
      <c r="E1950" s="30" t="s">
        <v>38</v>
      </c>
      <c r="F1950" s="30" t="s">
        <v>43</v>
      </c>
      <c r="G1950" s="33">
        <v>10.318728</v>
      </c>
      <c r="H1950" s="83" t="s">
        <v>88</v>
      </c>
    </row>
    <row r="1951" spans="1:8" ht="16.5" customHeight="1" x14ac:dyDescent="0.25">
      <c r="A1951" s="27">
        <v>45894</v>
      </c>
      <c r="B1951" s="80">
        <v>2025</v>
      </c>
      <c r="C1951" s="80">
        <v>8</v>
      </c>
      <c r="D1951" s="30" t="s">
        <v>60</v>
      </c>
      <c r="E1951" s="30" t="s">
        <v>38</v>
      </c>
      <c r="F1951" s="30" t="s">
        <v>58</v>
      </c>
      <c r="G1951" s="33">
        <v>0.37294880000000002</v>
      </c>
      <c r="H1951" s="83" t="s">
        <v>88</v>
      </c>
    </row>
    <row r="1952" spans="1:8" ht="16.5" customHeight="1" x14ac:dyDescent="0.25">
      <c r="A1952" s="27">
        <v>45894</v>
      </c>
      <c r="B1952" s="80">
        <v>2025</v>
      </c>
      <c r="C1952" s="80">
        <v>8</v>
      </c>
      <c r="D1952" s="30" t="s">
        <v>60</v>
      </c>
      <c r="E1952" s="30" t="s">
        <v>42</v>
      </c>
      <c r="F1952" s="30" t="s">
        <v>43</v>
      </c>
      <c r="G1952" s="33">
        <v>8.2929999999999993</v>
      </c>
      <c r="H1952" s="83" t="s">
        <v>88</v>
      </c>
    </row>
    <row r="1953" spans="1:8" ht="16.5" customHeight="1" x14ac:dyDescent="0.25">
      <c r="A1953" s="27">
        <v>45894</v>
      </c>
      <c r="B1953" s="80">
        <v>2025</v>
      </c>
      <c r="C1953" s="80">
        <v>8</v>
      </c>
      <c r="D1953" s="30" t="s">
        <v>60</v>
      </c>
      <c r="E1953" s="30" t="s">
        <v>42</v>
      </c>
      <c r="F1953" s="30" t="s">
        <v>58</v>
      </c>
      <c r="G1953" s="33">
        <v>0.58665999999999996</v>
      </c>
      <c r="H1953" s="83" t="s">
        <v>88</v>
      </c>
    </row>
    <row r="1954" spans="1:8" ht="16.5" customHeight="1" x14ac:dyDescent="0.25">
      <c r="A1954" s="27">
        <v>45894</v>
      </c>
      <c r="B1954" s="80">
        <v>2025</v>
      </c>
      <c r="C1954" s="80">
        <v>8</v>
      </c>
      <c r="D1954" s="30" t="s">
        <v>60</v>
      </c>
      <c r="E1954" s="30" t="s">
        <v>46</v>
      </c>
      <c r="F1954" s="30" t="s">
        <v>58</v>
      </c>
      <c r="G1954" s="33">
        <v>2.8078443599999998</v>
      </c>
      <c r="H1954" s="83" t="s">
        <v>88</v>
      </c>
    </row>
    <row r="1955" spans="1:8" ht="16.5" customHeight="1" x14ac:dyDescent="0.25">
      <c r="A1955" s="27">
        <v>45894</v>
      </c>
      <c r="B1955" s="80">
        <v>2025</v>
      </c>
      <c r="C1955" s="80">
        <v>8</v>
      </c>
      <c r="D1955" s="30" t="s">
        <v>60</v>
      </c>
      <c r="E1955" s="30" t="s">
        <v>50</v>
      </c>
      <c r="F1955" s="30" t="s">
        <v>43</v>
      </c>
      <c r="G1955" s="33">
        <v>0.56536200000000003</v>
      </c>
      <c r="H1955" s="83" t="s">
        <v>88</v>
      </c>
    </row>
    <row r="1956" spans="1:8" ht="16.5" customHeight="1" x14ac:dyDescent="0.25">
      <c r="A1956" s="27">
        <v>45894</v>
      </c>
      <c r="B1956" s="80">
        <v>2025</v>
      </c>
      <c r="C1956" s="80">
        <v>8</v>
      </c>
      <c r="D1956" s="30" t="s">
        <v>60</v>
      </c>
      <c r="E1956" s="30" t="s">
        <v>50</v>
      </c>
      <c r="F1956" s="30" t="s">
        <v>47</v>
      </c>
      <c r="G1956" s="33">
        <v>1.0359</v>
      </c>
      <c r="H1956" s="83" t="s">
        <v>88</v>
      </c>
    </row>
    <row r="1957" spans="1:8" ht="16.5" customHeight="1" x14ac:dyDescent="0.25">
      <c r="A1957" s="27">
        <v>45894</v>
      </c>
      <c r="B1957" s="80">
        <v>2025</v>
      </c>
      <c r="C1957" s="80">
        <v>8</v>
      </c>
      <c r="D1957" s="30" t="s">
        <v>60</v>
      </c>
      <c r="E1957" s="30" t="s">
        <v>54</v>
      </c>
      <c r="F1957" s="30" t="s">
        <v>43</v>
      </c>
      <c r="G1957" s="33">
        <v>2.2075</v>
      </c>
      <c r="H1957" s="83" t="s">
        <v>88</v>
      </c>
    </row>
    <row r="1958" spans="1:8" ht="16.5" customHeight="1" x14ac:dyDescent="0.25">
      <c r="A1958" s="27">
        <v>45894</v>
      </c>
      <c r="B1958" s="80">
        <v>2025</v>
      </c>
      <c r="C1958" s="80">
        <v>8</v>
      </c>
      <c r="D1958" s="30" t="s">
        <v>60</v>
      </c>
      <c r="E1958" s="30" t="s">
        <v>54</v>
      </c>
      <c r="F1958" s="30" t="s">
        <v>47</v>
      </c>
      <c r="G1958" s="33">
        <v>0.32</v>
      </c>
      <c r="H1958" s="83" t="s">
        <v>88</v>
      </c>
    </row>
    <row r="1959" spans="1:8" ht="16.5" customHeight="1" x14ac:dyDescent="0.25">
      <c r="A1959" s="27">
        <v>45894</v>
      </c>
      <c r="B1959" s="80">
        <v>2025</v>
      </c>
      <c r="C1959" s="80">
        <v>8</v>
      </c>
      <c r="D1959" s="30" t="s">
        <v>60</v>
      </c>
      <c r="E1959" s="30" t="s">
        <v>64</v>
      </c>
      <c r="F1959" s="30" t="s">
        <v>43</v>
      </c>
      <c r="G1959" s="33">
        <v>17.73</v>
      </c>
      <c r="H1959" s="83" t="s">
        <v>89</v>
      </c>
    </row>
    <row r="1960" spans="1:8" ht="16.5" customHeight="1" x14ac:dyDescent="0.25">
      <c r="A1960" s="27">
        <v>45894</v>
      </c>
      <c r="B1960" s="80">
        <v>2025</v>
      </c>
      <c r="C1960" s="80">
        <v>8</v>
      </c>
      <c r="D1960" s="30" t="s">
        <v>60</v>
      </c>
      <c r="E1960" s="30" t="s">
        <v>68</v>
      </c>
      <c r="F1960" s="30" t="s">
        <v>43</v>
      </c>
      <c r="G1960" s="33">
        <v>2.6040000000000001</v>
      </c>
      <c r="H1960" s="83" t="s">
        <v>89</v>
      </c>
    </row>
    <row r="1961" spans="1:8" ht="16.5" customHeight="1" x14ac:dyDescent="0.25">
      <c r="A1961" s="27">
        <v>45895</v>
      </c>
      <c r="B1961" s="80">
        <v>2025</v>
      </c>
      <c r="C1961" s="80">
        <v>8</v>
      </c>
      <c r="D1961" s="30" t="s">
        <v>60</v>
      </c>
      <c r="E1961" s="30" t="s">
        <v>38</v>
      </c>
      <c r="F1961" s="30" t="s">
        <v>43</v>
      </c>
      <c r="G1961" s="33">
        <v>3.1415999999999999</v>
      </c>
      <c r="H1961" s="83" t="s">
        <v>88</v>
      </c>
    </row>
    <row r="1962" spans="1:8" ht="16.5" customHeight="1" x14ac:dyDescent="0.25">
      <c r="A1962" s="27">
        <v>45895</v>
      </c>
      <c r="B1962" s="80">
        <v>2025</v>
      </c>
      <c r="C1962" s="80">
        <v>8</v>
      </c>
      <c r="D1962" s="30" t="s">
        <v>60</v>
      </c>
      <c r="E1962" s="30" t="s">
        <v>42</v>
      </c>
      <c r="F1962" s="30" t="s">
        <v>43</v>
      </c>
      <c r="G1962" s="33">
        <v>0.79800000000000004</v>
      </c>
      <c r="H1962" s="83" t="s">
        <v>88</v>
      </c>
    </row>
    <row r="1963" spans="1:8" ht="16.5" customHeight="1" x14ac:dyDescent="0.25">
      <c r="A1963" s="27">
        <v>45895</v>
      </c>
      <c r="B1963" s="80">
        <v>2025</v>
      </c>
      <c r="C1963" s="80">
        <v>8</v>
      </c>
      <c r="D1963" s="30" t="s">
        <v>60</v>
      </c>
      <c r="E1963" s="30" t="s">
        <v>50</v>
      </c>
      <c r="F1963" s="30" t="s">
        <v>43</v>
      </c>
      <c r="G1963" s="33">
        <v>46.265013119999999</v>
      </c>
      <c r="H1963" s="83" t="s">
        <v>88</v>
      </c>
    </row>
    <row r="1964" spans="1:8" ht="16.5" customHeight="1" x14ac:dyDescent="0.25">
      <c r="A1964" s="27">
        <v>45895</v>
      </c>
      <c r="B1964" s="80">
        <v>2025</v>
      </c>
      <c r="C1964" s="80">
        <v>8</v>
      </c>
      <c r="D1964" s="30" t="s">
        <v>60</v>
      </c>
      <c r="E1964" s="30" t="s">
        <v>50</v>
      </c>
      <c r="F1964" s="30" t="s">
        <v>47</v>
      </c>
      <c r="G1964" s="33">
        <v>1.2432000000000001</v>
      </c>
      <c r="H1964" s="83" t="s">
        <v>88</v>
      </c>
    </row>
    <row r="1965" spans="1:8" ht="16.5" customHeight="1" x14ac:dyDescent="0.25">
      <c r="A1965" s="27">
        <v>45895</v>
      </c>
      <c r="B1965" s="80">
        <v>2025</v>
      </c>
      <c r="C1965" s="80">
        <v>8</v>
      </c>
      <c r="D1965" s="30" t="s">
        <v>60</v>
      </c>
      <c r="E1965" s="30" t="s">
        <v>54</v>
      </c>
      <c r="F1965" s="30" t="s">
        <v>43</v>
      </c>
      <c r="G1965" s="33">
        <v>2.7082999999999999</v>
      </c>
      <c r="H1965" s="83" t="s">
        <v>88</v>
      </c>
    </row>
    <row r="1966" spans="1:8" ht="16.5" customHeight="1" x14ac:dyDescent="0.25">
      <c r="A1966" s="27">
        <v>45895</v>
      </c>
      <c r="B1966" s="80">
        <v>2025</v>
      </c>
      <c r="C1966" s="80">
        <v>8</v>
      </c>
      <c r="D1966" s="30" t="s">
        <v>60</v>
      </c>
      <c r="E1966" s="30" t="s">
        <v>64</v>
      </c>
      <c r="F1966" s="30" t="s">
        <v>43</v>
      </c>
      <c r="G1966" s="33">
        <v>66.93665</v>
      </c>
      <c r="H1966" s="83" t="s">
        <v>89</v>
      </c>
    </row>
    <row r="1967" spans="1:8" ht="16.5" customHeight="1" x14ac:dyDescent="0.25">
      <c r="A1967" s="27">
        <v>45895</v>
      </c>
      <c r="B1967" s="80">
        <v>2025</v>
      </c>
      <c r="C1967" s="80">
        <v>8</v>
      </c>
      <c r="D1967" s="30" t="s">
        <v>60</v>
      </c>
      <c r="E1967" s="30" t="s">
        <v>68</v>
      </c>
      <c r="F1967" s="30" t="s">
        <v>43</v>
      </c>
      <c r="G1967" s="33">
        <v>1.42875</v>
      </c>
      <c r="H1967" s="83" t="s">
        <v>89</v>
      </c>
    </row>
    <row r="1968" spans="1:8" ht="16.5" customHeight="1" x14ac:dyDescent="0.25">
      <c r="A1968" s="27">
        <v>45895</v>
      </c>
      <c r="B1968" s="80">
        <v>2025</v>
      </c>
      <c r="C1968" s="80">
        <v>8</v>
      </c>
      <c r="D1968" s="30" t="s">
        <v>60</v>
      </c>
      <c r="E1968" s="30" t="s">
        <v>75</v>
      </c>
      <c r="F1968" s="30" t="s">
        <v>43</v>
      </c>
      <c r="G1968" s="33">
        <v>15.321305000000001</v>
      </c>
      <c r="H1968" s="83" t="s">
        <v>48</v>
      </c>
    </row>
    <row r="1969" spans="1:8" ht="16.5" customHeight="1" x14ac:dyDescent="0.25">
      <c r="A1969" s="27">
        <v>45896</v>
      </c>
      <c r="B1969" s="80">
        <v>2025</v>
      </c>
      <c r="C1969" s="80">
        <v>8</v>
      </c>
      <c r="D1969" s="30" t="s">
        <v>60</v>
      </c>
      <c r="E1969" s="30" t="s">
        <v>38</v>
      </c>
      <c r="F1969" s="30" t="s">
        <v>43</v>
      </c>
      <c r="G1969" s="33">
        <v>1.03887</v>
      </c>
      <c r="H1969" s="83" t="s">
        <v>88</v>
      </c>
    </row>
    <row r="1970" spans="1:8" ht="16.5" customHeight="1" x14ac:dyDescent="0.25">
      <c r="A1970" s="27">
        <v>45896</v>
      </c>
      <c r="B1970" s="80">
        <v>2025</v>
      </c>
      <c r="C1970" s="80">
        <v>8</v>
      </c>
      <c r="D1970" s="30" t="s">
        <v>60</v>
      </c>
      <c r="E1970" s="30" t="s">
        <v>42</v>
      </c>
      <c r="F1970" s="30" t="s">
        <v>43</v>
      </c>
      <c r="G1970" s="33">
        <v>7.6908000000000003</v>
      </c>
      <c r="H1970" s="83" t="s">
        <v>88</v>
      </c>
    </row>
    <row r="1971" spans="1:8" ht="16.5" customHeight="1" x14ac:dyDescent="0.25">
      <c r="A1971" s="27">
        <v>45896</v>
      </c>
      <c r="B1971" s="80">
        <v>2025</v>
      </c>
      <c r="C1971" s="80">
        <v>8</v>
      </c>
      <c r="D1971" s="30" t="s">
        <v>60</v>
      </c>
      <c r="E1971" s="30" t="s">
        <v>50</v>
      </c>
      <c r="F1971" s="30" t="s">
        <v>43</v>
      </c>
      <c r="G1971" s="33">
        <v>1.0632115</v>
      </c>
      <c r="H1971" s="83" t="s">
        <v>88</v>
      </c>
    </row>
    <row r="1972" spans="1:8" ht="16.5" customHeight="1" x14ac:dyDescent="0.25">
      <c r="A1972" s="27">
        <v>45896</v>
      </c>
      <c r="B1972" s="80">
        <v>2025</v>
      </c>
      <c r="C1972" s="80">
        <v>8</v>
      </c>
      <c r="D1972" s="30" t="s">
        <v>60</v>
      </c>
      <c r="E1972" s="30" t="s">
        <v>50</v>
      </c>
      <c r="F1972" s="30" t="s">
        <v>47</v>
      </c>
      <c r="G1972" s="33">
        <v>1.2432000000000001</v>
      </c>
      <c r="H1972" s="83" t="s">
        <v>88</v>
      </c>
    </row>
    <row r="1973" spans="1:8" ht="16.5" customHeight="1" x14ac:dyDescent="0.25">
      <c r="A1973" s="27">
        <v>45896</v>
      </c>
      <c r="B1973" s="80">
        <v>2025</v>
      </c>
      <c r="C1973" s="80">
        <v>8</v>
      </c>
      <c r="D1973" s="30" t="s">
        <v>60</v>
      </c>
      <c r="E1973" s="30" t="s">
        <v>54</v>
      </c>
      <c r="F1973" s="30" t="s">
        <v>43</v>
      </c>
      <c r="G1973" s="33">
        <v>2.1440000000000001</v>
      </c>
      <c r="H1973" s="83" t="s">
        <v>88</v>
      </c>
    </row>
    <row r="1974" spans="1:8" ht="16.5" customHeight="1" x14ac:dyDescent="0.25">
      <c r="A1974" s="27">
        <v>45896</v>
      </c>
      <c r="B1974" s="80">
        <v>2025</v>
      </c>
      <c r="C1974" s="80">
        <v>8</v>
      </c>
      <c r="D1974" s="30" t="s">
        <v>60</v>
      </c>
      <c r="E1974" s="30" t="s">
        <v>66</v>
      </c>
      <c r="F1974" s="30" t="s">
        <v>43</v>
      </c>
      <c r="G1974" s="33">
        <v>4.05</v>
      </c>
      <c r="H1974" s="83" t="s">
        <v>89</v>
      </c>
    </row>
    <row r="1975" spans="1:8" ht="16.5" customHeight="1" x14ac:dyDescent="0.25">
      <c r="A1975" s="27">
        <v>45896</v>
      </c>
      <c r="B1975" s="80">
        <v>2025</v>
      </c>
      <c r="C1975" s="80">
        <v>8</v>
      </c>
      <c r="D1975" s="30" t="s">
        <v>60</v>
      </c>
      <c r="E1975" s="30" t="s">
        <v>71</v>
      </c>
      <c r="F1975" s="30" t="s">
        <v>43</v>
      </c>
      <c r="G1975" s="33">
        <v>1.113</v>
      </c>
      <c r="H1975" s="83" t="s">
        <v>89</v>
      </c>
    </row>
    <row r="1976" spans="1:8" ht="16.5" customHeight="1" x14ac:dyDescent="0.25">
      <c r="A1976" s="27">
        <v>45897</v>
      </c>
      <c r="B1976" s="80">
        <v>2025</v>
      </c>
      <c r="C1976" s="80">
        <v>8</v>
      </c>
      <c r="D1976" s="30" t="s">
        <v>60</v>
      </c>
      <c r="E1976" s="30" t="s">
        <v>38</v>
      </c>
      <c r="F1976" s="30" t="s">
        <v>43</v>
      </c>
      <c r="G1976" s="33">
        <v>1.0595760000000001</v>
      </c>
      <c r="H1976" s="83" t="s">
        <v>88</v>
      </c>
    </row>
    <row r="1977" spans="1:8" ht="16.5" customHeight="1" x14ac:dyDescent="0.25">
      <c r="A1977" s="27">
        <v>45897</v>
      </c>
      <c r="B1977" s="80">
        <v>2025</v>
      </c>
      <c r="C1977" s="80">
        <v>8</v>
      </c>
      <c r="D1977" s="30" t="s">
        <v>60</v>
      </c>
      <c r="E1977" s="30" t="s">
        <v>38</v>
      </c>
      <c r="F1977" s="30" t="s">
        <v>58</v>
      </c>
      <c r="G1977" s="33">
        <v>0.44743860000000002</v>
      </c>
      <c r="H1977" s="83" t="s">
        <v>88</v>
      </c>
    </row>
    <row r="1978" spans="1:8" ht="16.5" customHeight="1" x14ac:dyDescent="0.25">
      <c r="A1978" s="27">
        <v>45897</v>
      </c>
      <c r="B1978" s="80">
        <v>2025</v>
      </c>
      <c r="C1978" s="80">
        <v>8</v>
      </c>
      <c r="D1978" s="30" t="s">
        <v>60</v>
      </c>
      <c r="E1978" s="30" t="s">
        <v>42</v>
      </c>
      <c r="F1978" s="30" t="s">
        <v>43</v>
      </c>
      <c r="G1978" s="33">
        <v>1.5251760000000001</v>
      </c>
      <c r="H1978" s="83" t="s">
        <v>88</v>
      </c>
    </row>
    <row r="1979" spans="1:8" ht="16.5" customHeight="1" x14ac:dyDescent="0.25">
      <c r="A1979" s="27">
        <v>45897</v>
      </c>
      <c r="B1979" s="80">
        <v>2025</v>
      </c>
      <c r="C1979" s="80">
        <v>8</v>
      </c>
      <c r="D1979" s="30" t="s">
        <v>60</v>
      </c>
      <c r="E1979" s="30" t="s">
        <v>46</v>
      </c>
      <c r="F1979" s="30" t="s">
        <v>43</v>
      </c>
      <c r="G1979" s="33">
        <v>3.9734099999999999</v>
      </c>
      <c r="H1979" s="83" t="s">
        <v>88</v>
      </c>
    </row>
    <row r="1980" spans="1:8" ht="16.5" customHeight="1" x14ac:dyDescent="0.25">
      <c r="A1980" s="27">
        <v>45897</v>
      </c>
      <c r="B1980" s="80">
        <v>2025</v>
      </c>
      <c r="C1980" s="80">
        <v>8</v>
      </c>
      <c r="D1980" s="30" t="s">
        <v>60</v>
      </c>
      <c r="E1980" s="30" t="s">
        <v>46</v>
      </c>
      <c r="F1980" s="30" t="s">
        <v>47</v>
      </c>
      <c r="G1980" s="33">
        <v>0.454484</v>
      </c>
      <c r="H1980" s="83" t="s">
        <v>88</v>
      </c>
    </row>
    <row r="1981" spans="1:8" ht="16.5" customHeight="1" x14ac:dyDescent="0.25">
      <c r="A1981" s="27">
        <v>45897</v>
      </c>
      <c r="B1981" s="80">
        <v>2025</v>
      </c>
      <c r="C1981" s="80">
        <v>8</v>
      </c>
      <c r="D1981" s="30" t="s">
        <v>60</v>
      </c>
      <c r="E1981" s="30" t="s">
        <v>50</v>
      </c>
      <c r="F1981" s="30" t="s">
        <v>43</v>
      </c>
      <c r="G1981" s="33">
        <v>2.4393600000000002</v>
      </c>
      <c r="H1981" s="83" t="s">
        <v>88</v>
      </c>
    </row>
    <row r="1982" spans="1:8" ht="16.5" customHeight="1" x14ac:dyDescent="0.25">
      <c r="A1982" s="27">
        <v>45897</v>
      </c>
      <c r="B1982" s="80">
        <v>2025</v>
      </c>
      <c r="C1982" s="80">
        <v>8</v>
      </c>
      <c r="D1982" s="30" t="s">
        <v>60</v>
      </c>
      <c r="E1982" s="30" t="s">
        <v>50</v>
      </c>
      <c r="F1982" s="30" t="s">
        <v>47</v>
      </c>
      <c r="G1982" s="33">
        <v>0.12155000000000001</v>
      </c>
      <c r="H1982" s="83" t="s">
        <v>88</v>
      </c>
    </row>
    <row r="1983" spans="1:8" ht="16.5" customHeight="1" x14ac:dyDescent="0.25">
      <c r="A1983" s="27">
        <v>45897</v>
      </c>
      <c r="B1983" s="80">
        <v>2025</v>
      </c>
      <c r="C1983" s="80">
        <v>8</v>
      </c>
      <c r="D1983" s="30" t="s">
        <v>60</v>
      </c>
      <c r="E1983" s="30" t="s">
        <v>50</v>
      </c>
      <c r="F1983" s="30" t="s">
        <v>55</v>
      </c>
      <c r="G1983" s="33">
        <v>3.73953888</v>
      </c>
      <c r="H1983" s="83" t="s">
        <v>88</v>
      </c>
    </row>
    <row r="1984" spans="1:8" ht="16.5" customHeight="1" x14ac:dyDescent="0.25">
      <c r="A1984" s="27">
        <v>45897</v>
      </c>
      <c r="B1984" s="80">
        <v>2025</v>
      </c>
      <c r="C1984" s="80">
        <v>8</v>
      </c>
      <c r="D1984" s="30" t="s">
        <v>60</v>
      </c>
      <c r="E1984" s="30" t="s">
        <v>50</v>
      </c>
      <c r="F1984" s="30" t="s">
        <v>58</v>
      </c>
      <c r="G1984" s="33">
        <v>2.2822324799999998</v>
      </c>
      <c r="H1984" s="83" t="s">
        <v>88</v>
      </c>
    </row>
    <row r="1985" spans="1:8" ht="16.5" customHeight="1" x14ac:dyDescent="0.25">
      <c r="A1985" s="27">
        <v>45897</v>
      </c>
      <c r="B1985" s="80">
        <v>2025</v>
      </c>
      <c r="C1985" s="80">
        <v>8</v>
      </c>
      <c r="D1985" s="30" t="s">
        <v>60</v>
      </c>
      <c r="E1985" s="30" t="s">
        <v>61</v>
      </c>
      <c r="F1985" s="30" t="s">
        <v>55</v>
      </c>
      <c r="G1985" s="33">
        <v>3.55</v>
      </c>
      <c r="H1985" s="83" t="s">
        <v>89</v>
      </c>
    </row>
    <row r="1986" spans="1:8" ht="16.5" customHeight="1" x14ac:dyDescent="0.25">
      <c r="A1986" s="27">
        <v>45897</v>
      </c>
      <c r="B1986" s="80">
        <v>2025</v>
      </c>
      <c r="C1986" s="80">
        <v>8</v>
      </c>
      <c r="D1986" s="30" t="s">
        <v>60</v>
      </c>
      <c r="E1986" s="30" t="s">
        <v>64</v>
      </c>
      <c r="F1986" s="30" t="s">
        <v>43</v>
      </c>
      <c r="G1986" s="33">
        <v>5.484</v>
      </c>
      <c r="H1986" s="83" t="s">
        <v>89</v>
      </c>
    </row>
    <row r="1987" spans="1:8" ht="16.5" customHeight="1" x14ac:dyDescent="0.25">
      <c r="A1987" s="27">
        <v>45897</v>
      </c>
      <c r="B1987" s="80">
        <v>2025</v>
      </c>
      <c r="C1987" s="80">
        <v>8</v>
      </c>
      <c r="D1987" s="30" t="s">
        <v>60</v>
      </c>
      <c r="E1987" s="30" t="s">
        <v>66</v>
      </c>
      <c r="F1987" s="30" t="s">
        <v>43</v>
      </c>
      <c r="G1987" s="33">
        <v>2.48</v>
      </c>
      <c r="H1987" s="83" t="s">
        <v>89</v>
      </c>
    </row>
    <row r="1988" spans="1:8" ht="16.5" customHeight="1" x14ac:dyDescent="0.25">
      <c r="A1988" s="27">
        <v>45897</v>
      </c>
      <c r="B1988" s="80">
        <v>2025</v>
      </c>
      <c r="C1988" s="80">
        <v>8</v>
      </c>
      <c r="D1988" s="30" t="s">
        <v>60</v>
      </c>
      <c r="E1988" s="30" t="s">
        <v>68</v>
      </c>
      <c r="F1988" s="30" t="s">
        <v>43</v>
      </c>
      <c r="G1988" s="33">
        <v>3.78</v>
      </c>
      <c r="H1988" s="83" t="s">
        <v>89</v>
      </c>
    </row>
    <row r="1989" spans="1:8" ht="16.5" customHeight="1" x14ac:dyDescent="0.25">
      <c r="A1989" s="27">
        <v>45897</v>
      </c>
      <c r="B1989" s="80">
        <v>2025</v>
      </c>
      <c r="C1989" s="80">
        <v>8</v>
      </c>
      <c r="D1989" s="30" t="s">
        <v>60</v>
      </c>
      <c r="E1989" s="30" t="s">
        <v>75</v>
      </c>
      <c r="F1989" s="30" t="s">
        <v>43</v>
      </c>
      <c r="G1989" s="33">
        <v>5.0254787500000004</v>
      </c>
      <c r="H1989" s="83" t="s">
        <v>48</v>
      </c>
    </row>
    <row r="1990" spans="1:8" ht="16.5" customHeight="1" x14ac:dyDescent="0.25">
      <c r="A1990" s="27">
        <v>45898</v>
      </c>
      <c r="B1990" s="80">
        <v>2025</v>
      </c>
      <c r="C1990" s="80">
        <v>8</v>
      </c>
      <c r="D1990" s="30" t="s">
        <v>60</v>
      </c>
      <c r="E1990" s="30" t="s">
        <v>46</v>
      </c>
      <c r="F1990" s="30" t="s">
        <v>43</v>
      </c>
      <c r="G1990" s="33">
        <v>0.41021999999999997</v>
      </c>
      <c r="H1990" s="83" t="s">
        <v>88</v>
      </c>
    </row>
    <row r="1991" spans="1:8" ht="16.5" customHeight="1" x14ac:dyDescent="0.25">
      <c r="A1991" s="27">
        <v>45898</v>
      </c>
      <c r="B1991" s="80">
        <v>2025</v>
      </c>
      <c r="C1991" s="80">
        <v>8</v>
      </c>
      <c r="D1991" s="30" t="s">
        <v>60</v>
      </c>
      <c r="E1991" s="30" t="s">
        <v>50</v>
      </c>
      <c r="F1991" s="30" t="s">
        <v>43</v>
      </c>
      <c r="G1991" s="33">
        <v>9.3837042000000004</v>
      </c>
      <c r="H1991" s="83" t="s">
        <v>88</v>
      </c>
    </row>
    <row r="1992" spans="1:8" ht="16.5" customHeight="1" x14ac:dyDescent="0.25">
      <c r="A1992" s="27">
        <v>45898</v>
      </c>
      <c r="B1992" s="80">
        <v>2025</v>
      </c>
      <c r="C1992" s="80">
        <v>8</v>
      </c>
      <c r="D1992" s="30" t="s">
        <v>60</v>
      </c>
      <c r="E1992" s="30" t="s">
        <v>50</v>
      </c>
      <c r="F1992" s="30" t="s">
        <v>47</v>
      </c>
      <c r="G1992" s="33">
        <v>0.22883700000000001</v>
      </c>
      <c r="H1992" s="83" t="s">
        <v>88</v>
      </c>
    </row>
    <row r="1993" spans="1:8" ht="16.5" customHeight="1" x14ac:dyDescent="0.25">
      <c r="A1993" s="27">
        <v>45898</v>
      </c>
      <c r="B1993" s="80">
        <v>2025</v>
      </c>
      <c r="C1993" s="80">
        <v>8</v>
      </c>
      <c r="D1993" s="30" t="s">
        <v>60</v>
      </c>
      <c r="E1993" s="30" t="s">
        <v>54</v>
      </c>
      <c r="F1993" s="30" t="s">
        <v>43</v>
      </c>
      <c r="G1993" s="33">
        <v>0.73</v>
      </c>
      <c r="H1993" s="83" t="s">
        <v>88</v>
      </c>
    </row>
    <row r="1994" spans="1:8" ht="16.5" customHeight="1" x14ac:dyDescent="0.25">
      <c r="A1994" s="27">
        <v>45898</v>
      </c>
      <c r="B1994" s="80">
        <v>2025</v>
      </c>
      <c r="C1994" s="80">
        <v>8</v>
      </c>
      <c r="D1994" s="30" t="s">
        <v>60</v>
      </c>
      <c r="E1994" s="30" t="s">
        <v>64</v>
      </c>
      <c r="F1994" s="30" t="s">
        <v>43</v>
      </c>
      <c r="G1994" s="33">
        <v>3.8754400000000002</v>
      </c>
      <c r="H1994" s="83" t="s">
        <v>89</v>
      </c>
    </row>
    <row r="1995" spans="1:8" ht="16.5" customHeight="1" x14ac:dyDescent="0.25">
      <c r="A1995" s="27">
        <v>45901</v>
      </c>
      <c r="B1995" s="80">
        <v>2025</v>
      </c>
      <c r="C1995" s="80">
        <v>9</v>
      </c>
      <c r="D1995" s="30" t="s">
        <v>63</v>
      </c>
      <c r="E1995" s="30" t="s">
        <v>38</v>
      </c>
      <c r="F1995" s="30" t="s">
        <v>43</v>
      </c>
      <c r="G1995" s="33">
        <v>4.2552000000000003</v>
      </c>
      <c r="H1995" s="83" t="s">
        <v>88</v>
      </c>
    </row>
    <row r="1996" spans="1:8" ht="16.5" customHeight="1" x14ac:dyDescent="0.25">
      <c r="A1996" s="27">
        <v>45901</v>
      </c>
      <c r="B1996" s="80">
        <v>2025</v>
      </c>
      <c r="C1996" s="80">
        <v>9</v>
      </c>
      <c r="D1996" s="30" t="s">
        <v>63</v>
      </c>
      <c r="E1996" s="30" t="s">
        <v>46</v>
      </c>
      <c r="F1996" s="30" t="s">
        <v>43</v>
      </c>
      <c r="G1996" s="33">
        <v>0.13216875</v>
      </c>
      <c r="H1996" s="83" t="s">
        <v>88</v>
      </c>
    </row>
    <row r="1997" spans="1:8" ht="16.5" customHeight="1" x14ac:dyDescent="0.25">
      <c r="A1997" s="27">
        <v>45901</v>
      </c>
      <c r="B1997" s="80">
        <v>2025</v>
      </c>
      <c r="C1997" s="80">
        <v>9</v>
      </c>
      <c r="D1997" s="30" t="s">
        <v>63</v>
      </c>
      <c r="E1997" s="30" t="s">
        <v>46</v>
      </c>
      <c r="F1997" s="30" t="s">
        <v>58</v>
      </c>
      <c r="G1997" s="33">
        <v>0.80493749999999997</v>
      </c>
      <c r="H1997" s="83" t="s">
        <v>88</v>
      </c>
    </row>
    <row r="1998" spans="1:8" ht="16.5" customHeight="1" x14ac:dyDescent="0.25">
      <c r="A1998" s="27">
        <v>45901</v>
      </c>
      <c r="B1998" s="80">
        <v>2025</v>
      </c>
      <c r="C1998" s="80">
        <v>9</v>
      </c>
      <c r="D1998" s="30" t="s">
        <v>63</v>
      </c>
      <c r="E1998" s="30" t="s">
        <v>50</v>
      </c>
      <c r="F1998" s="30" t="s">
        <v>43</v>
      </c>
      <c r="G1998" s="33">
        <v>14.2619966</v>
      </c>
      <c r="H1998" s="83" t="s">
        <v>88</v>
      </c>
    </row>
    <row r="1999" spans="1:8" ht="16.5" customHeight="1" x14ac:dyDescent="0.25">
      <c r="A1999" s="27">
        <v>45901</v>
      </c>
      <c r="B1999" s="80">
        <v>2025</v>
      </c>
      <c r="C1999" s="80">
        <v>9</v>
      </c>
      <c r="D1999" s="30" t="s">
        <v>63</v>
      </c>
      <c r="E1999" s="30" t="s">
        <v>50</v>
      </c>
      <c r="F1999" s="30" t="s">
        <v>55</v>
      </c>
      <c r="G1999" s="33">
        <v>0.89249999999999996</v>
      </c>
      <c r="H1999" s="83" t="s">
        <v>88</v>
      </c>
    </row>
    <row r="2000" spans="1:8" ht="16.5" customHeight="1" x14ac:dyDescent="0.25">
      <c r="A2000" s="27">
        <v>45901</v>
      </c>
      <c r="B2000" s="80">
        <v>2025</v>
      </c>
      <c r="C2000" s="80">
        <v>9</v>
      </c>
      <c r="D2000" s="30" t="s">
        <v>63</v>
      </c>
      <c r="E2000" s="30" t="s">
        <v>50</v>
      </c>
      <c r="F2000" s="30" t="s">
        <v>58</v>
      </c>
      <c r="G2000" s="33">
        <v>0.11083999999999999</v>
      </c>
      <c r="H2000" s="83" t="s">
        <v>88</v>
      </c>
    </row>
    <row r="2001" spans="1:8" ht="16.5" customHeight="1" x14ac:dyDescent="0.25">
      <c r="A2001" s="27">
        <v>45901</v>
      </c>
      <c r="B2001" s="80">
        <v>2025</v>
      </c>
      <c r="C2001" s="80">
        <v>9</v>
      </c>
      <c r="D2001" s="30" t="s">
        <v>63</v>
      </c>
      <c r="E2001" s="30" t="s">
        <v>54</v>
      </c>
      <c r="F2001" s="30" t="s">
        <v>43</v>
      </c>
      <c r="G2001" s="33">
        <v>5.3137499999999998</v>
      </c>
      <c r="H2001" s="83" t="s">
        <v>88</v>
      </c>
    </row>
    <row r="2002" spans="1:8" ht="16.5" customHeight="1" x14ac:dyDescent="0.25">
      <c r="A2002" s="27">
        <v>45901</v>
      </c>
      <c r="B2002" s="80">
        <v>2025</v>
      </c>
      <c r="C2002" s="80">
        <v>9</v>
      </c>
      <c r="D2002" s="30" t="s">
        <v>63</v>
      </c>
      <c r="E2002" s="30" t="s">
        <v>61</v>
      </c>
      <c r="F2002" s="30" t="s">
        <v>43</v>
      </c>
      <c r="G2002" s="33">
        <v>6.4066000000000001</v>
      </c>
      <c r="H2002" s="83" t="s">
        <v>89</v>
      </c>
    </row>
    <row r="2003" spans="1:8" ht="16.5" customHeight="1" x14ac:dyDescent="0.25">
      <c r="A2003" s="27">
        <v>45901</v>
      </c>
      <c r="B2003" s="80">
        <v>2025</v>
      </c>
      <c r="C2003" s="80">
        <v>9</v>
      </c>
      <c r="D2003" s="30" t="s">
        <v>63</v>
      </c>
      <c r="E2003" s="30" t="s">
        <v>66</v>
      </c>
      <c r="F2003" s="30" t="s">
        <v>39</v>
      </c>
      <c r="G2003" s="33">
        <v>2.774</v>
      </c>
      <c r="H2003" s="83" t="s">
        <v>89</v>
      </c>
    </row>
    <row r="2004" spans="1:8" ht="16.5" customHeight="1" x14ac:dyDescent="0.25">
      <c r="A2004" s="27">
        <v>45901</v>
      </c>
      <c r="B2004" s="80">
        <v>2025</v>
      </c>
      <c r="C2004" s="80">
        <v>9</v>
      </c>
      <c r="D2004" s="30" t="s">
        <v>63</v>
      </c>
      <c r="E2004" s="30" t="s">
        <v>66</v>
      </c>
      <c r="F2004" s="30" t="s">
        <v>43</v>
      </c>
      <c r="G2004" s="33">
        <v>9.9625000000000004</v>
      </c>
      <c r="H2004" s="83" t="s">
        <v>89</v>
      </c>
    </row>
    <row r="2005" spans="1:8" ht="16.5" customHeight="1" x14ac:dyDescent="0.25">
      <c r="A2005" s="27">
        <v>45901</v>
      </c>
      <c r="B2005" s="80">
        <v>2025</v>
      </c>
      <c r="C2005" s="80">
        <v>9</v>
      </c>
      <c r="D2005" s="30" t="s">
        <v>63</v>
      </c>
      <c r="E2005" s="30" t="s">
        <v>68</v>
      </c>
      <c r="F2005" s="30" t="s">
        <v>43</v>
      </c>
      <c r="G2005" s="33">
        <v>1.23</v>
      </c>
      <c r="H2005" s="83" t="s">
        <v>89</v>
      </c>
    </row>
    <row r="2006" spans="1:8" ht="16.5" customHeight="1" x14ac:dyDescent="0.25">
      <c r="A2006" s="27">
        <v>45901</v>
      </c>
      <c r="B2006" s="80">
        <v>2025</v>
      </c>
      <c r="C2006" s="80">
        <v>9</v>
      </c>
      <c r="D2006" s="30" t="s">
        <v>63</v>
      </c>
      <c r="E2006" s="30" t="s">
        <v>71</v>
      </c>
      <c r="F2006" s="30" t="s">
        <v>43</v>
      </c>
      <c r="G2006" s="33">
        <v>0.7</v>
      </c>
      <c r="H2006" s="83" t="s">
        <v>89</v>
      </c>
    </row>
    <row r="2007" spans="1:8" ht="16.5" customHeight="1" x14ac:dyDescent="0.25">
      <c r="A2007" s="27">
        <v>45901</v>
      </c>
      <c r="B2007" s="80">
        <v>2025</v>
      </c>
      <c r="C2007" s="80">
        <v>9</v>
      </c>
      <c r="D2007" s="30" t="s">
        <v>63</v>
      </c>
      <c r="E2007" s="30" t="s">
        <v>75</v>
      </c>
      <c r="F2007" s="30" t="s">
        <v>43</v>
      </c>
      <c r="G2007" s="33">
        <v>0.69499999999999995</v>
      </c>
      <c r="H2007" s="83" t="s">
        <v>48</v>
      </c>
    </row>
    <row r="2008" spans="1:8" ht="16.5" customHeight="1" x14ac:dyDescent="0.25">
      <c r="A2008" s="27">
        <v>45902</v>
      </c>
      <c r="B2008" s="80">
        <v>2025</v>
      </c>
      <c r="C2008" s="80">
        <v>9</v>
      </c>
      <c r="D2008" s="30" t="s">
        <v>63</v>
      </c>
      <c r="E2008" s="30" t="s">
        <v>38</v>
      </c>
      <c r="F2008" s="30" t="s">
        <v>43</v>
      </c>
      <c r="G2008" s="33">
        <v>2.4750000000000001</v>
      </c>
      <c r="H2008" s="83" t="s">
        <v>88</v>
      </c>
    </row>
    <row r="2009" spans="1:8" ht="16.5" customHeight="1" x14ac:dyDescent="0.25">
      <c r="A2009" s="27">
        <v>45902</v>
      </c>
      <c r="B2009" s="80">
        <v>2025</v>
      </c>
      <c r="C2009" s="80">
        <v>9</v>
      </c>
      <c r="D2009" s="30" t="s">
        <v>63</v>
      </c>
      <c r="E2009" s="30" t="s">
        <v>42</v>
      </c>
      <c r="F2009" s="30" t="s">
        <v>43</v>
      </c>
      <c r="G2009" s="33">
        <v>2.0117799999999999</v>
      </c>
      <c r="H2009" s="83" t="s">
        <v>88</v>
      </c>
    </row>
    <row r="2010" spans="1:8" ht="16.5" customHeight="1" x14ac:dyDescent="0.25">
      <c r="A2010" s="27">
        <v>45902</v>
      </c>
      <c r="B2010" s="80">
        <v>2025</v>
      </c>
      <c r="C2010" s="80">
        <v>9</v>
      </c>
      <c r="D2010" s="30" t="s">
        <v>63</v>
      </c>
      <c r="E2010" s="30" t="s">
        <v>46</v>
      </c>
      <c r="F2010" s="30" t="s">
        <v>43</v>
      </c>
      <c r="G2010" s="33">
        <v>1.0971249999999999</v>
      </c>
      <c r="H2010" s="83" t="s">
        <v>88</v>
      </c>
    </row>
    <row r="2011" spans="1:8" ht="16.5" customHeight="1" x14ac:dyDescent="0.25">
      <c r="A2011" s="27">
        <v>45902</v>
      </c>
      <c r="B2011" s="80">
        <v>2025</v>
      </c>
      <c r="C2011" s="80">
        <v>9</v>
      </c>
      <c r="D2011" s="30" t="s">
        <v>63</v>
      </c>
      <c r="E2011" s="30" t="s">
        <v>46</v>
      </c>
      <c r="F2011" s="30" t="s">
        <v>58</v>
      </c>
      <c r="G2011" s="33">
        <v>3.9336202500000002</v>
      </c>
      <c r="H2011" s="83" t="s">
        <v>88</v>
      </c>
    </row>
    <row r="2012" spans="1:8" ht="16.5" customHeight="1" x14ac:dyDescent="0.25">
      <c r="A2012" s="27">
        <v>45902</v>
      </c>
      <c r="B2012" s="80">
        <v>2025</v>
      </c>
      <c r="C2012" s="80">
        <v>9</v>
      </c>
      <c r="D2012" s="30" t="s">
        <v>63</v>
      </c>
      <c r="E2012" s="30" t="s">
        <v>50</v>
      </c>
      <c r="F2012" s="30" t="s">
        <v>55</v>
      </c>
      <c r="G2012" s="33">
        <v>0.14299999999999999</v>
      </c>
      <c r="H2012" s="83" t="s">
        <v>88</v>
      </c>
    </row>
    <row r="2013" spans="1:8" ht="16.5" customHeight="1" x14ac:dyDescent="0.25">
      <c r="A2013" s="27">
        <v>45902</v>
      </c>
      <c r="B2013" s="80">
        <v>2025</v>
      </c>
      <c r="C2013" s="80">
        <v>9</v>
      </c>
      <c r="D2013" s="30" t="s">
        <v>63</v>
      </c>
      <c r="E2013" s="30" t="s">
        <v>54</v>
      </c>
      <c r="F2013" s="30" t="s">
        <v>43</v>
      </c>
      <c r="G2013" s="33">
        <v>1.258</v>
      </c>
      <c r="H2013" s="83" t="s">
        <v>88</v>
      </c>
    </row>
    <row r="2014" spans="1:8" ht="16.5" customHeight="1" x14ac:dyDescent="0.25">
      <c r="A2014" s="27">
        <v>45902</v>
      </c>
      <c r="B2014" s="80">
        <v>2025</v>
      </c>
      <c r="C2014" s="80">
        <v>9</v>
      </c>
      <c r="D2014" s="30" t="s">
        <v>63</v>
      </c>
      <c r="E2014" s="30" t="s">
        <v>66</v>
      </c>
      <c r="F2014" s="30" t="s">
        <v>43</v>
      </c>
      <c r="G2014" s="33">
        <v>57.628799999999998</v>
      </c>
      <c r="H2014" s="83" t="s">
        <v>89</v>
      </c>
    </row>
    <row r="2015" spans="1:8" ht="16.5" customHeight="1" x14ac:dyDescent="0.25">
      <c r="A2015" s="27">
        <v>45902</v>
      </c>
      <c r="B2015" s="80">
        <v>2025</v>
      </c>
      <c r="C2015" s="80">
        <v>9</v>
      </c>
      <c r="D2015" s="30" t="s">
        <v>63</v>
      </c>
      <c r="E2015" s="30" t="s">
        <v>68</v>
      </c>
      <c r="F2015" s="30" t="s">
        <v>43</v>
      </c>
      <c r="G2015" s="33">
        <v>1.534</v>
      </c>
      <c r="H2015" s="83" t="s">
        <v>89</v>
      </c>
    </row>
    <row r="2016" spans="1:8" ht="16.5" customHeight="1" x14ac:dyDescent="0.25">
      <c r="A2016" s="27">
        <v>45902</v>
      </c>
      <c r="B2016" s="80">
        <v>2025</v>
      </c>
      <c r="C2016" s="80">
        <v>9</v>
      </c>
      <c r="D2016" s="30" t="s">
        <v>63</v>
      </c>
      <c r="E2016" s="30" t="s">
        <v>68</v>
      </c>
      <c r="F2016" s="30" t="s">
        <v>51</v>
      </c>
      <c r="G2016" s="33">
        <v>1.25</v>
      </c>
      <c r="H2016" s="83" t="s">
        <v>89</v>
      </c>
    </row>
    <row r="2017" spans="1:8" ht="16.5" customHeight="1" x14ac:dyDescent="0.25">
      <c r="A2017" s="27">
        <v>45902</v>
      </c>
      <c r="B2017" s="80">
        <v>2025</v>
      </c>
      <c r="C2017" s="80">
        <v>9</v>
      </c>
      <c r="D2017" s="30" t="s">
        <v>63</v>
      </c>
      <c r="E2017" s="30" t="s">
        <v>71</v>
      </c>
      <c r="F2017" s="30" t="s">
        <v>43</v>
      </c>
      <c r="G2017" s="33">
        <v>9.8550000000000004</v>
      </c>
      <c r="H2017" s="83" t="s">
        <v>89</v>
      </c>
    </row>
    <row r="2018" spans="1:8" ht="16.5" customHeight="1" x14ac:dyDescent="0.25">
      <c r="A2018" s="27">
        <v>45902</v>
      </c>
      <c r="B2018" s="80">
        <v>2025</v>
      </c>
      <c r="C2018" s="80">
        <v>9</v>
      </c>
      <c r="D2018" s="30" t="s">
        <v>63</v>
      </c>
      <c r="E2018" s="30" t="s">
        <v>76</v>
      </c>
      <c r="F2018" s="30" t="s">
        <v>39</v>
      </c>
      <c r="G2018" s="33">
        <v>60.567478999999999</v>
      </c>
      <c r="H2018" s="83" t="s">
        <v>48</v>
      </c>
    </row>
    <row r="2019" spans="1:8" ht="16.5" customHeight="1" x14ac:dyDescent="0.25">
      <c r="A2019" s="27">
        <v>45903</v>
      </c>
      <c r="B2019" s="80">
        <v>2025</v>
      </c>
      <c r="C2019" s="80">
        <v>9</v>
      </c>
      <c r="D2019" s="30" t="s">
        <v>63</v>
      </c>
      <c r="E2019" s="30" t="s">
        <v>38</v>
      </c>
      <c r="F2019" s="30" t="s">
        <v>43</v>
      </c>
      <c r="G2019" s="33">
        <v>2.8822999999999999</v>
      </c>
      <c r="H2019" s="83" t="s">
        <v>88</v>
      </c>
    </row>
    <row r="2020" spans="1:8" ht="16.5" customHeight="1" x14ac:dyDescent="0.25">
      <c r="A2020" s="27">
        <v>45903</v>
      </c>
      <c r="B2020" s="80">
        <v>2025</v>
      </c>
      <c r="C2020" s="80">
        <v>9</v>
      </c>
      <c r="D2020" s="30" t="s">
        <v>63</v>
      </c>
      <c r="E2020" s="30" t="s">
        <v>50</v>
      </c>
      <c r="F2020" s="30" t="s">
        <v>43</v>
      </c>
      <c r="G2020" s="33">
        <v>12.5312153</v>
      </c>
      <c r="H2020" s="83" t="s">
        <v>88</v>
      </c>
    </row>
    <row r="2021" spans="1:8" ht="16.5" customHeight="1" x14ac:dyDescent="0.25">
      <c r="A2021" s="27">
        <v>45903</v>
      </c>
      <c r="B2021" s="80">
        <v>2025</v>
      </c>
      <c r="C2021" s="80">
        <v>9</v>
      </c>
      <c r="D2021" s="30" t="s">
        <v>63</v>
      </c>
      <c r="E2021" s="30" t="s">
        <v>50</v>
      </c>
      <c r="F2021" s="30" t="s">
        <v>47</v>
      </c>
      <c r="G2021" s="33">
        <v>0.62160000000000004</v>
      </c>
      <c r="H2021" s="83" t="s">
        <v>88</v>
      </c>
    </row>
    <row r="2022" spans="1:8" ht="16.5" customHeight="1" x14ac:dyDescent="0.25">
      <c r="A2022" s="27">
        <v>45903</v>
      </c>
      <c r="B2022" s="80">
        <v>2025</v>
      </c>
      <c r="C2022" s="80">
        <v>9</v>
      </c>
      <c r="D2022" s="30" t="s">
        <v>63</v>
      </c>
      <c r="E2022" s="30" t="s">
        <v>50</v>
      </c>
      <c r="F2022" s="30" t="s">
        <v>51</v>
      </c>
      <c r="G2022" s="33">
        <v>1.87</v>
      </c>
      <c r="H2022" s="83" t="s">
        <v>88</v>
      </c>
    </row>
    <row r="2023" spans="1:8" ht="16.5" customHeight="1" x14ac:dyDescent="0.25">
      <c r="A2023" s="27">
        <v>45903</v>
      </c>
      <c r="B2023" s="80">
        <v>2025</v>
      </c>
      <c r="C2023" s="80">
        <v>9</v>
      </c>
      <c r="D2023" s="30" t="s">
        <v>63</v>
      </c>
      <c r="E2023" s="30" t="s">
        <v>54</v>
      </c>
      <c r="F2023" s="30" t="s">
        <v>43</v>
      </c>
      <c r="G2023" s="33">
        <v>6.0437500000000002</v>
      </c>
      <c r="H2023" s="83" t="s">
        <v>88</v>
      </c>
    </row>
    <row r="2024" spans="1:8" ht="16.5" customHeight="1" x14ac:dyDescent="0.25">
      <c r="A2024" s="27">
        <v>45903</v>
      </c>
      <c r="B2024" s="80">
        <v>2025</v>
      </c>
      <c r="C2024" s="80">
        <v>9</v>
      </c>
      <c r="D2024" s="30" t="s">
        <v>63</v>
      </c>
      <c r="E2024" s="30" t="s">
        <v>54</v>
      </c>
      <c r="F2024" s="30" t="s">
        <v>47</v>
      </c>
      <c r="G2024" s="33">
        <v>1.0349999999999999</v>
      </c>
      <c r="H2024" s="83" t="s">
        <v>88</v>
      </c>
    </row>
    <row r="2025" spans="1:8" ht="16.5" customHeight="1" x14ac:dyDescent="0.25">
      <c r="A2025" s="27">
        <v>45903</v>
      </c>
      <c r="B2025" s="80">
        <v>2025</v>
      </c>
      <c r="C2025" s="80">
        <v>9</v>
      </c>
      <c r="D2025" s="30" t="s">
        <v>63</v>
      </c>
      <c r="E2025" s="30" t="s">
        <v>68</v>
      </c>
      <c r="F2025" s="30" t="s">
        <v>43</v>
      </c>
      <c r="G2025" s="33">
        <v>1.643</v>
      </c>
      <c r="H2025" s="83" t="s">
        <v>89</v>
      </c>
    </row>
    <row r="2026" spans="1:8" ht="16.5" customHeight="1" x14ac:dyDescent="0.25">
      <c r="A2026" s="27">
        <v>45904</v>
      </c>
      <c r="B2026" s="80">
        <v>2025</v>
      </c>
      <c r="C2026" s="80">
        <v>9</v>
      </c>
      <c r="D2026" s="30" t="s">
        <v>63</v>
      </c>
      <c r="E2026" s="30" t="s">
        <v>38</v>
      </c>
      <c r="F2026" s="30" t="s">
        <v>43</v>
      </c>
      <c r="G2026" s="33">
        <v>6.3355600000000001</v>
      </c>
      <c r="H2026" s="83" t="s">
        <v>88</v>
      </c>
    </row>
    <row r="2027" spans="1:8" ht="16.5" customHeight="1" x14ac:dyDescent="0.25">
      <c r="A2027" s="27">
        <v>45904</v>
      </c>
      <c r="B2027" s="80">
        <v>2025</v>
      </c>
      <c r="C2027" s="80">
        <v>9</v>
      </c>
      <c r="D2027" s="30" t="s">
        <v>63</v>
      </c>
      <c r="E2027" s="30" t="s">
        <v>42</v>
      </c>
      <c r="F2027" s="30" t="s">
        <v>43</v>
      </c>
      <c r="G2027" s="33">
        <v>2.4500000000000002</v>
      </c>
      <c r="H2027" s="83" t="s">
        <v>88</v>
      </c>
    </row>
    <row r="2028" spans="1:8" ht="16.5" customHeight="1" x14ac:dyDescent="0.25">
      <c r="A2028" s="27">
        <v>45904</v>
      </c>
      <c r="B2028" s="80">
        <v>2025</v>
      </c>
      <c r="C2028" s="80">
        <v>9</v>
      </c>
      <c r="D2028" s="30" t="s">
        <v>63</v>
      </c>
      <c r="E2028" s="30" t="s">
        <v>46</v>
      </c>
      <c r="F2028" s="30" t="s">
        <v>43</v>
      </c>
      <c r="G2028" s="33">
        <v>3.1811759999999998</v>
      </c>
      <c r="H2028" s="83" t="s">
        <v>88</v>
      </c>
    </row>
    <row r="2029" spans="1:8" ht="16.5" customHeight="1" x14ac:dyDescent="0.25">
      <c r="A2029" s="27">
        <v>45904</v>
      </c>
      <c r="B2029" s="80">
        <v>2025</v>
      </c>
      <c r="C2029" s="80">
        <v>9</v>
      </c>
      <c r="D2029" s="30" t="s">
        <v>63</v>
      </c>
      <c r="E2029" s="30" t="s">
        <v>46</v>
      </c>
      <c r="F2029" s="30" t="s">
        <v>47</v>
      </c>
      <c r="G2029" s="33">
        <v>0.11752</v>
      </c>
      <c r="H2029" s="83" t="s">
        <v>88</v>
      </c>
    </row>
    <row r="2030" spans="1:8" ht="16.5" customHeight="1" x14ac:dyDescent="0.25">
      <c r="A2030" s="27">
        <v>45904</v>
      </c>
      <c r="B2030" s="80">
        <v>2025</v>
      </c>
      <c r="C2030" s="80">
        <v>9</v>
      </c>
      <c r="D2030" s="30" t="s">
        <v>63</v>
      </c>
      <c r="E2030" s="30" t="s">
        <v>46</v>
      </c>
      <c r="F2030" s="30" t="s">
        <v>51</v>
      </c>
      <c r="G2030" s="33">
        <v>0.98536000000000001</v>
      </c>
      <c r="H2030" s="83" t="s">
        <v>88</v>
      </c>
    </row>
    <row r="2031" spans="1:8" ht="16.5" customHeight="1" x14ac:dyDescent="0.25">
      <c r="A2031" s="27">
        <v>45904</v>
      </c>
      <c r="B2031" s="80">
        <v>2025</v>
      </c>
      <c r="C2031" s="80">
        <v>9</v>
      </c>
      <c r="D2031" s="30" t="s">
        <v>63</v>
      </c>
      <c r="E2031" s="30" t="s">
        <v>46</v>
      </c>
      <c r="F2031" s="30" t="s">
        <v>58</v>
      </c>
      <c r="G2031" s="33">
        <v>1.6376999999999999</v>
      </c>
      <c r="H2031" s="83" t="s">
        <v>88</v>
      </c>
    </row>
    <row r="2032" spans="1:8" ht="16.5" customHeight="1" x14ac:dyDescent="0.25">
      <c r="A2032" s="27">
        <v>45904</v>
      </c>
      <c r="B2032" s="80">
        <v>2025</v>
      </c>
      <c r="C2032" s="80">
        <v>9</v>
      </c>
      <c r="D2032" s="30" t="s">
        <v>63</v>
      </c>
      <c r="E2032" s="30" t="s">
        <v>50</v>
      </c>
      <c r="F2032" s="30" t="s">
        <v>43</v>
      </c>
      <c r="G2032" s="33">
        <v>4.2251459999999996</v>
      </c>
      <c r="H2032" s="83" t="s">
        <v>88</v>
      </c>
    </row>
    <row r="2033" spans="1:8" ht="16.5" customHeight="1" x14ac:dyDescent="0.25">
      <c r="A2033" s="27">
        <v>45904</v>
      </c>
      <c r="B2033" s="80">
        <v>2025</v>
      </c>
      <c r="C2033" s="80">
        <v>9</v>
      </c>
      <c r="D2033" s="30" t="s">
        <v>63</v>
      </c>
      <c r="E2033" s="30" t="s">
        <v>50</v>
      </c>
      <c r="F2033" s="30" t="s">
        <v>55</v>
      </c>
      <c r="G2033" s="33">
        <v>12.192655999999999</v>
      </c>
      <c r="H2033" s="83" t="s">
        <v>88</v>
      </c>
    </row>
    <row r="2034" spans="1:8" ht="16.5" customHeight="1" x14ac:dyDescent="0.25">
      <c r="A2034" s="27">
        <v>45904</v>
      </c>
      <c r="B2034" s="80">
        <v>2025</v>
      </c>
      <c r="C2034" s="80">
        <v>9</v>
      </c>
      <c r="D2034" s="30" t="s">
        <v>63</v>
      </c>
      <c r="E2034" s="30" t="s">
        <v>50</v>
      </c>
      <c r="F2034" s="30" t="s">
        <v>58</v>
      </c>
      <c r="G2034" s="33">
        <v>25.369056096000001</v>
      </c>
      <c r="H2034" s="83" t="s">
        <v>88</v>
      </c>
    </row>
    <row r="2035" spans="1:8" ht="16.5" customHeight="1" x14ac:dyDescent="0.25">
      <c r="A2035" s="27">
        <v>45904</v>
      </c>
      <c r="B2035" s="80">
        <v>2025</v>
      </c>
      <c r="C2035" s="80">
        <v>9</v>
      </c>
      <c r="D2035" s="30" t="s">
        <v>63</v>
      </c>
      <c r="E2035" s="30" t="s">
        <v>54</v>
      </c>
      <c r="F2035" s="30" t="s">
        <v>43</v>
      </c>
      <c r="G2035" s="33">
        <v>1.6</v>
      </c>
      <c r="H2035" s="83" t="s">
        <v>88</v>
      </c>
    </row>
    <row r="2036" spans="1:8" ht="16.5" customHeight="1" x14ac:dyDescent="0.25">
      <c r="A2036" s="27">
        <v>45904</v>
      </c>
      <c r="B2036" s="80">
        <v>2025</v>
      </c>
      <c r="C2036" s="80">
        <v>9</v>
      </c>
      <c r="D2036" s="30" t="s">
        <v>63</v>
      </c>
      <c r="E2036" s="30" t="s">
        <v>57</v>
      </c>
      <c r="F2036" s="30" t="s">
        <v>43</v>
      </c>
      <c r="G2036" s="33">
        <v>6.8475000000000001</v>
      </c>
      <c r="H2036" s="83" t="s">
        <v>89</v>
      </c>
    </row>
    <row r="2037" spans="1:8" ht="16.5" customHeight="1" x14ac:dyDescent="0.25">
      <c r="A2037" s="27">
        <v>45904</v>
      </c>
      <c r="B2037" s="80">
        <v>2025</v>
      </c>
      <c r="C2037" s="80">
        <v>9</v>
      </c>
      <c r="D2037" s="30" t="s">
        <v>63</v>
      </c>
      <c r="E2037" s="30" t="s">
        <v>64</v>
      </c>
      <c r="F2037" s="30" t="s">
        <v>43</v>
      </c>
      <c r="G2037" s="33">
        <v>2.3275000000000001</v>
      </c>
      <c r="H2037" s="83" t="s">
        <v>89</v>
      </c>
    </row>
    <row r="2038" spans="1:8" ht="16.5" customHeight="1" x14ac:dyDescent="0.25">
      <c r="A2038" s="27">
        <v>45904</v>
      </c>
      <c r="B2038" s="80">
        <v>2025</v>
      </c>
      <c r="C2038" s="80">
        <v>9</v>
      </c>
      <c r="D2038" s="30" t="s">
        <v>63</v>
      </c>
      <c r="E2038" s="30" t="s">
        <v>66</v>
      </c>
      <c r="F2038" s="30" t="s">
        <v>43</v>
      </c>
      <c r="G2038" s="33">
        <v>8.2338100000000001</v>
      </c>
      <c r="H2038" s="83" t="s">
        <v>89</v>
      </c>
    </row>
    <row r="2039" spans="1:8" ht="16.5" customHeight="1" x14ac:dyDescent="0.25">
      <c r="A2039" s="27">
        <v>45904</v>
      </c>
      <c r="B2039" s="80">
        <v>2025</v>
      </c>
      <c r="C2039" s="80">
        <v>9</v>
      </c>
      <c r="D2039" s="30" t="s">
        <v>63</v>
      </c>
      <c r="E2039" s="30" t="s">
        <v>73</v>
      </c>
      <c r="F2039" s="30" t="s">
        <v>43</v>
      </c>
      <c r="G2039" s="33">
        <v>1.5673999999999999</v>
      </c>
      <c r="H2039" s="83" t="s">
        <v>89</v>
      </c>
    </row>
    <row r="2040" spans="1:8" ht="16.5" customHeight="1" x14ac:dyDescent="0.25">
      <c r="A2040" s="27">
        <v>45904</v>
      </c>
      <c r="B2040" s="80">
        <v>2025</v>
      </c>
      <c r="C2040" s="80">
        <v>9</v>
      </c>
      <c r="D2040" s="30" t="s">
        <v>63</v>
      </c>
      <c r="E2040" s="30" t="s">
        <v>75</v>
      </c>
      <c r="F2040" s="30" t="s">
        <v>43</v>
      </c>
      <c r="G2040" s="33">
        <v>2.5632000000000001</v>
      </c>
      <c r="H2040" s="83" t="s">
        <v>48</v>
      </c>
    </row>
    <row r="2041" spans="1:8" ht="16.5" customHeight="1" x14ac:dyDescent="0.25">
      <c r="A2041" s="27">
        <v>45905</v>
      </c>
      <c r="B2041" s="80">
        <v>2025</v>
      </c>
      <c r="C2041" s="80">
        <v>9</v>
      </c>
      <c r="D2041" s="30" t="s">
        <v>63</v>
      </c>
      <c r="E2041" s="30" t="s">
        <v>38</v>
      </c>
      <c r="F2041" s="30" t="s">
        <v>39</v>
      </c>
      <c r="G2041" s="33">
        <v>9.016</v>
      </c>
      <c r="H2041" s="83" t="s">
        <v>88</v>
      </c>
    </row>
    <row r="2042" spans="1:8" ht="16.5" customHeight="1" x14ac:dyDescent="0.25">
      <c r="A2042" s="27">
        <v>45905</v>
      </c>
      <c r="B2042" s="80">
        <v>2025</v>
      </c>
      <c r="C2042" s="80">
        <v>9</v>
      </c>
      <c r="D2042" s="30" t="s">
        <v>63</v>
      </c>
      <c r="E2042" s="30" t="s">
        <v>38</v>
      </c>
      <c r="F2042" s="30" t="s">
        <v>43</v>
      </c>
      <c r="G2042" s="33">
        <v>11.496</v>
      </c>
      <c r="H2042" s="83" t="s">
        <v>88</v>
      </c>
    </row>
    <row r="2043" spans="1:8" ht="16.5" customHeight="1" x14ac:dyDescent="0.25">
      <c r="A2043" s="27">
        <v>45905</v>
      </c>
      <c r="B2043" s="80">
        <v>2025</v>
      </c>
      <c r="C2043" s="80">
        <v>9</v>
      </c>
      <c r="D2043" s="30" t="s">
        <v>63</v>
      </c>
      <c r="E2043" s="30" t="s">
        <v>38</v>
      </c>
      <c r="F2043" s="30" t="s">
        <v>55</v>
      </c>
      <c r="G2043" s="33">
        <v>0.56000000000000005</v>
      </c>
      <c r="H2043" s="83" t="s">
        <v>88</v>
      </c>
    </row>
    <row r="2044" spans="1:8" ht="16.5" customHeight="1" x14ac:dyDescent="0.25">
      <c r="A2044" s="27">
        <v>45905</v>
      </c>
      <c r="B2044" s="80">
        <v>2025</v>
      </c>
      <c r="C2044" s="80">
        <v>9</v>
      </c>
      <c r="D2044" s="30" t="s">
        <v>63</v>
      </c>
      <c r="E2044" s="30" t="s">
        <v>50</v>
      </c>
      <c r="F2044" s="30" t="s">
        <v>43</v>
      </c>
      <c r="G2044" s="33">
        <v>7.5657544000000003</v>
      </c>
      <c r="H2044" s="83" t="s">
        <v>88</v>
      </c>
    </row>
    <row r="2045" spans="1:8" ht="16.5" customHeight="1" x14ac:dyDescent="0.25">
      <c r="A2045" s="27">
        <v>45905</v>
      </c>
      <c r="B2045" s="80">
        <v>2025</v>
      </c>
      <c r="C2045" s="80">
        <v>9</v>
      </c>
      <c r="D2045" s="30" t="s">
        <v>63</v>
      </c>
      <c r="E2045" s="30" t="s">
        <v>54</v>
      </c>
      <c r="F2045" s="30" t="s">
        <v>43</v>
      </c>
      <c r="G2045" s="33">
        <v>3.8873000000000002</v>
      </c>
      <c r="H2045" s="83" t="s">
        <v>88</v>
      </c>
    </row>
    <row r="2046" spans="1:8" ht="16.5" customHeight="1" x14ac:dyDescent="0.25">
      <c r="A2046" s="27">
        <v>45905</v>
      </c>
      <c r="B2046" s="80">
        <v>2025</v>
      </c>
      <c r="C2046" s="80">
        <v>9</v>
      </c>
      <c r="D2046" s="30" t="s">
        <v>63</v>
      </c>
      <c r="E2046" s="30" t="s">
        <v>57</v>
      </c>
      <c r="F2046" s="30" t="s">
        <v>43</v>
      </c>
      <c r="G2046" s="33">
        <v>5.0289999999999999</v>
      </c>
      <c r="H2046" s="83" t="s">
        <v>89</v>
      </c>
    </row>
    <row r="2047" spans="1:8" ht="16.5" customHeight="1" x14ac:dyDescent="0.25">
      <c r="A2047" s="27">
        <v>45905</v>
      </c>
      <c r="B2047" s="80">
        <v>2025</v>
      </c>
      <c r="C2047" s="80">
        <v>9</v>
      </c>
      <c r="D2047" s="30" t="s">
        <v>63</v>
      </c>
      <c r="E2047" s="30" t="s">
        <v>61</v>
      </c>
      <c r="F2047" s="30" t="s">
        <v>43</v>
      </c>
      <c r="G2047" s="33">
        <v>12.824</v>
      </c>
      <c r="H2047" s="83" t="s">
        <v>89</v>
      </c>
    </row>
    <row r="2048" spans="1:8" ht="16.5" customHeight="1" x14ac:dyDescent="0.25">
      <c r="A2048" s="27">
        <v>45905</v>
      </c>
      <c r="B2048" s="80">
        <v>2025</v>
      </c>
      <c r="C2048" s="80">
        <v>9</v>
      </c>
      <c r="D2048" s="30" t="s">
        <v>63</v>
      </c>
      <c r="E2048" s="30" t="s">
        <v>66</v>
      </c>
      <c r="F2048" s="30" t="s">
        <v>43</v>
      </c>
      <c r="G2048" s="33">
        <v>1.3125</v>
      </c>
      <c r="H2048" s="83" t="s">
        <v>89</v>
      </c>
    </row>
    <row r="2049" spans="1:8" ht="16.5" customHeight="1" x14ac:dyDescent="0.25">
      <c r="A2049" s="27">
        <v>45905</v>
      </c>
      <c r="B2049" s="80">
        <v>2025</v>
      </c>
      <c r="C2049" s="80">
        <v>9</v>
      </c>
      <c r="D2049" s="30" t="s">
        <v>63</v>
      </c>
      <c r="E2049" s="30" t="s">
        <v>68</v>
      </c>
      <c r="F2049" s="30" t="s">
        <v>43</v>
      </c>
      <c r="G2049" s="33">
        <v>0.51500000000000001</v>
      </c>
      <c r="H2049" s="83" t="s">
        <v>89</v>
      </c>
    </row>
    <row r="2050" spans="1:8" ht="16.5" customHeight="1" x14ac:dyDescent="0.25">
      <c r="A2050" s="27">
        <v>45905</v>
      </c>
      <c r="B2050" s="80">
        <v>2025</v>
      </c>
      <c r="C2050" s="80">
        <v>9</v>
      </c>
      <c r="D2050" s="30" t="s">
        <v>63</v>
      </c>
      <c r="E2050" s="30" t="s">
        <v>75</v>
      </c>
      <c r="F2050" s="30" t="s">
        <v>39</v>
      </c>
      <c r="G2050" s="33">
        <v>89.46</v>
      </c>
      <c r="H2050" s="83" t="s">
        <v>48</v>
      </c>
    </row>
    <row r="2051" spans="1:8" ht="16.5" customHeight="1" x14ac:dyDescent="0.25">
      <c r="A2051" s="27">
        <v>45908</v>
      </c>
      <c r="B2051" s="80">
        <v>2025</v>
      </c>
      <c r="C2051" s="80">
        <v>9</v>
      </c>
      <c r="D2051" s="30" t="s">
        <v>63</v>
      </c>
      <c r="E2051" s="30" t="s">
        <v>42</v>
      </c>
      <c r="F2051" s="30" t="s">
        <v>43</v>
      </c>
      <c r="G2051" s="33">
        <v>3.8250000000000002</v>
      </c>
      <c r="H2051" s="83" t="s">
        <v>88</v>
      </c>
    </row>
    <row r="2052" spans="1:8" ht="16.5" customHeight="1" x14ac:dyDescent="0.25">
      <c r="A2052" s="27">
        <v>45908</v>
      </c>
      <c r="B2052" s="80">
        <v>2025</v>
      </c>
      <c r="C2052" s="80">
        <v>9</v>
      </c>
      <c r="D2052" s="30" t="s">
        <v>63</v>
      </c>
      <c r="E2052" s="30" t="s">
        <v>42</v>
      </c>
      <c r="F2052" s="30" t="s">
        <v>51</v>
      </c>
      <c r="G2052" s="33">
        <v>0.21</v>
      </c>
      <c r="H2052" s="83" t="s">
        <v>88</v>
      </c>
    </row>
    <row r="2053" spans="1:8" ht="16.5" customHeight="1" x14ac:dyDescent="0.25">
      <c r="A2053" s="27">
        <v>45908</v>
      </c>
      <c r="B2053" s="80">
        <v>2025</v>
      </c>
      <c r="C2053" s="80">
        <v>9</v>
      </c>
      <c r="D2053" s="30" t="s">
        <v>63</v>
      </c>
      <c r="E2053" s="30" t="s">
        <v>46</v>
      </c>
      <c r="F2053" s="30" t="s">
        <v>43</v>
      </c>
      <c r="G2053" s="33">
        <v>2.06616</v>
      </c>
      <c r="H2053" s="83" t="s">
        <v>88</v>
      </c>
    </row>
    <row r="2054" spans="1:8" ht="16.5" customHeight="1" x14ac:dyDescent="0.25">
      <c r="A2054" s="27">
        <v>45908</v>
      </c>
      <c r="B2054" s="80">
        <v>2025</v>
      </c>
      <c r="C2054" s="80">
        <v>9</v>
      </c>
      <c r="D2054" s="30" t="s">
        <v>63</v>
      </c>
      <c r="E2054" s="30" t="s">
        <v>46</v>
      </c>
      <c r="F2054" s="30" t="s">
        <v>58</v>
      </c>
      <c r="G2054" s="33">
        <v>1.6854</v>
      </c>
      <c r="H2054" s="83" t="s">
        <v>88</v>
      </c>
    </row>
    <row r="2055" spans="1:8" ht="16.5" customHeight="1" x14ac:dyDescent="0.25">
      <c r="A2055" s="27">
        <v>45908</v>
      </c>
      <c r="B2055" s="80">
        <v>2025</v>
      </c>
      <c r="C2055" s="80">
        <v>9</v>
      </c>
      <c r="D2055" s="30" t="s">
        <v>63</v>
      </c>
      <c r="E2055" s="30" t="s">
        <v>50</v>
      </c>
      <c r="F2055" s="30" t="s">
        <v>43</v>
      </c>
      <c r="G2055" s="33">
        <v>6.4435392</v>
      </c>
      <c r="H2055" s="83" t="s">
        <v>88</v>
      </c>
    </row>
    <row r="2056" spans="1:8" ht="16.5" customHeight="1" x14ac:dyDescent="0.25">
      <c r="A2056" s="27">
        <v>45908</v>
      </c>
      <c r="B2056" s="80">
        <v>2025</v>
      </c>
      <c r="C2056" s="80">
        <v>9</v>
      </c>
      <c r="D2056" s="30" t="s">
        <v>63</v>
      </c>
      <c r="E2056" s="30" t="s">
        <v>50</v>
      </c>
      <c r="F2056" s="30" t="s">
        <v>47</v>
      </c>
      <c r="G2056" s="33">
        <v>0.14025000000000001</v>
      </c>
      <c r="H2056" s="83" t="s">
        <v>88</v>
      </c>
    </row>
    <row r="2057" spans="1:8" ht="16.5" customHeight="1" x14ac:dyDescent="0.25">
      <c r="A2057" s="27">
        <v>45908</v>
      </c>
      <c r="B2057" s="80">
        <v>2025</v>
      </c>
      <c r="C2057" s="80">
        <v>9</v>
      </c>
      <c r="D2057" s="30" t="s">
        <v>63</v>
      </c>
      <c r="E2057" s="30" t="s">
        <v>50</v>
      </c>
      <c r="F2057" s="30" t="s">
        <v>55</v>
      </c>
      <c r="G2057" s="33">
        <v>0.53549999999999998</v>
      </c>
      <c r="H2057" s="83" t="s">
        <v>88</v>
      </c>
    </row>
    <row r="2058" spans="1:8" ht="16.5" customHeight="1" x14ac:dyDescent="0.25">
      <c r="A2058" s="27">
        <v>45908</v>
      </c>
      <c r="B2058" s="80">
        <v>2025</v>
      </c>
      <c r="C2058" s="80">
        <v>9</v>
      </c>
      <c r="D2058" s="30" t="s">
        <v>63</v>
      </c>
      <c r="E2058" s="30" t="s">
        <v>50</v>
      </c>
      <c r="F2058" s="30" t="s">
        <v>58</v>
      </c>
      <c r="G2058" s="33">
        <v>55.284613149999998</v>
      </c>
      <c r="H2058" s="83" t="s">
        <v>88</v>
      </c>
    </row>
    <row r="2059" spans="1:8" ht="16.5" customHeight="1" x14ac:dyDescent="0.25">
      <c r="A2059" s="27">
        <v>45908</v>
      </c>
      <c r="B2059" s="80">
        <v>2025</v>
      </c>
      <c r="C2059" s="80">
        <v>9</v>
      </c>
      <c r="D2059" s="30" t="s">
        <v>63</v>
      </c>
      <c r="E2059" s="30" t="s">
        <v>54</v>
      </c>
      <c r="F2059" s="30" t="s">
        <v>43</v>
      </c>
      <c r="G2059" s="33">
        <v>0.87749999999999995</v>
      </c>
      <c r="H2059" s="83" t="s">
        <v>88</v>
      </c>
    </row>
    <row r="2060" spans="1:8" ht="16.5" customHeight="1" x14ac:dyDescent="0.25">
      <c r="A2060" s="27">
        <v>45908</v>
      </c>
      <c r="B2060" s="80">
        <v>2025</v>
      </c>
      <c r="C2060" s="80">
        <v>9</v>
      </c>
      <c r="D2060" s="30" t="s">
        <v>63</v>
      </c>
      <c r="E2060" s="30" t="s">
        <v>57</v>
      </c>
      <c r="F2060" s="30" t="s">
        <v>43</v>
      </c>
      <c r="G2060" s="33">
        <v>2.6040000000000001</v>
      </c>
      <c r="H2060" s="83" t="s">
        <v>89</v>
      </c>
    </row>
    <row r="2061" spans="1:8" ht="16.5" customHeight="1" x14ac:dyDescent="0.25">
      <c r="A2061" s="27">
        <v>45908</v>
      </c>
      <c r="B2061" s="80">
        <v>2025</v>
      </c>
      <c r="C2061" s="80">
        <v>9</v>
      </c>
      <c r="D2061" s="30" t="s">
        <v>63</v>
      </c>
      <c r="E2061" s="30" t="s">
        <v>66</v>
      </c>
      <c r="F2061" s="30" t="s">
        <v>43</v>
      </c>
      <c r="G2061" s="33">
        <v>16.282</v>
      </c>
      <c r="H2061" s="83" t="s">
        <v>89</v>
      </c>
    </row>
    <row r="2062" spans="1:8" ht="16.5" customHeight="1" x14ac:dyDescent="0.25">
      <c r="A2062" s="27">
        <v>45909</v>
      </c>
      <c r="B2062" s="80">
        <v>2025</v>
      </c>
      <c r="C2062" s="80">
        <v>9</v>
      </c>
      <c r="D2062" s="30" t="s">
        <v>63</v>
      </c>
      <c r="E2062" s="30" t="s">
        <v>38</v>
      </c>
      <c r="F2062" s="30" t="s">
        <v>43</v>
      </c>
      <c r="G2062" s="33">
        <v>0.10045</v>
      </c>
      <c r="H2062" s="83" t="s">
        <v>88</v>
      </c>
    </row>
    <row r="2063" spans="1:8" ht="16.5" customHeight="1" x14ac:dyDescent="0.25">
      <c r="A2063" s="27">
        <v>45909</v>
      </c>
      <c r="B2063" s="80">
        <v>2025</v>
      </c>
      <c r="C2063" s="80">
        <v>9</v>
      </c>
      <c r="D2063" s="30" t="s">
        <v>63</v>
      </c>
      <c r="E2063" s="30" t="s">
        <v>38</v>
      </c>
      <c r="F2063" s="30" t="s">
        <v>58</v>
      </c>
      <c r="G2063" s="33">
        <v>0.89999280000000004</v>
      </c>
      <c r="H2063" s="83" t="s">
        <v>88</v>
      </c>
    </row>
    <row r="2064" spans="1:8" ht="16.5" customHeight="1" x14ac:dyDescent="0.25">
      <c r="A2064" s="27">
        <v>45909</v>
      </c>
      <c r="B2064" s="80">
        <v>2025</v>
      </c>
      <c r="C2064" s="80">
        <v>9</v>
      </c>
      <c r="D2064" s="30" t="s">
        <v>63</v>
      </c>
      <c r="E2064" s="30" t="s">
        <v>42</v>
      </c>
      <c r="F2064" s="30" t="s">
        <v>43</v>
      </c>
      <c r="G2064" s="33">
        <v>4.6002000000000001</v>
      </c>
      <c r="H2064" s="83" t="s">
        <v>88</v>
      </c>
    </row>
    <row r="2065" spans="1:8" ht="16.5" customHeight="1" x14ac:dyDescent="0.25">
      <c r="A2065" s="27">
        <v>45909</v>
      </c>
      <c r="B2065" s="80">
        <v>2025</v>
      </c>
      <c r="C2065" s="80">
        <v>9</v>
      </c>
      <c r="D2065" s="30" t="s">
        <v>63</v>
      </c>
      <c r="E2065" s="30" t="s">
        <v>42</v>
      </c>
      <c r="F2065" s="30" t="s">
        <v>47</v>
      </c>
      <c r="G2065" s="33">
        <v>0.56000000000000005</v>
      </c>
      <c r="H2065" s="83" t="s">
        <v>88</v>
      </c>
    </row>
    <row r="2066" spans="1:8" ht="16.5" customHeight="1" x14ac:dyDescent="0.25">
      <c r="A2066" s="27">
        <v>45909</v>
      </c>
      <c r="B2066" s="80">
        <v>2025</v>
      </c>
      <c r="C2066" s="80">
        <v>9</v>
      </c>
      <c r="D2066" s="30" t="s">
        <v>63</v>
      </c>
      <c r="E2066" s="30" t="s">
        <v>42</v>
      </c>
      <c r="F2066" s="30" t="s">
        <v>58</v>
      </c>
      <c r="G2066" s="33">
        <v>1.5136000000000001</v>
      </c>
      <c r="H2066" s="83" t="s">
        <v>88</v>
      </c>
    </row>
    <row r="2067" spans="1:8" ht="16.5" customHeight="1" x14ac:dyDescent="0.25">
      <c r="A2067" s="27">
        <v>45909</v>
      </c>
      <c r="B2067" s="80">
        <v>2025</v>
      </c>
      <c r="C2067" s="80">
        <v>9</v>
      </c>
      <c r="D2067" s="30" t="s">
        <v>63</v>
      </c>
      <c r="E2067" s="30" t="s">
        <v>46</v>
      </c>
      <c r="F2067" s="30" t="s">
        <v>43</v>
      </c>
      <c r="G2067" s="33">
        <v>1.060392</v>
      </c>
      <c r="H2067" s="83" t="s">
        <v>88</v>
      </c>
    </row>
    <row r="2068" spans="1:8" ht="16.5" customHeight="1" x14ac:dyDescent="0.25">
      <c r="A2068" s="27">
        <v>45909</v>
      </c>
      <c r="B2068" s="80">
        <v>2025</v>
      </c>
      <c r="C2068" s="80">
        <v>9</v>
      </c>
      <c r="D2068" s="30" t="s">
        <v>63</v>
      </c>
      <c r="E2068" s="30" t="s">
        <v>46</v>
      </c>
      <c r="F2068" s="30" t="s">
        <v>51</v>
      </c>
      <c r="G2068" s="33">
        <v>0.15368000000000001</v>
      </c>
      <c r="H2068" s="83" t="s">
        <v>88</v>
      </c>
    </row>
    <row r="2069" spans="1:8" ht="16.5" customHeight="1" x14ac:dyDescent="0.25">
      <c r="A2069" s="27">
        <v>45909</v>
      </c>
      <c r="B2069" s="80">
        <v>2025</v>
      </c>
      <c r="C2069" s="80">
        <v>9</v>
      </c>
      <c r="D2069" s="30" t="s">
        <v>63</v>
      </c>
      <c r="E2069" s="30" t="s">
        <v>46</v>
      </c>
      <c r="F2069" s="30" t="s">
        <v>58</v>
      </c>
      <c r="G2069" s="33">
        <v>0.44930371000000002</v>
      </c>
      <c r="H2069" s="83" t="s">
        <v>88</v>
      </c>
    </row>
    <row r="2070" spans="1:8" ht="16.5" customHeight="1" x14ac:dyDescent="0.25">
      <c r="A2070" s="27">
        <v>45909</v>
      </c>
      <c r="B2070" s="80">
        <v>2025</v>
      </c>
      <c r="C2070" s="80">
        <v>9</v>
      </c>
      <c r="D2070" s="30" t="s">
        <v>63</v>
      </c>
      <c r="E2070" s="30" t="s">
        <v>50</v>
      </c>
      <c r="F2070" s="30" t="s">
        <v>43</v>
      </c>
      <c r="G2070" s="33">
        <v>34.405400399999998</v>
      </c>
      <c r="H2070" s="83" t="s">
        <v>88</v>
      </c>
    </row>
    <row r="2071" spans="1:8" ht="16.5" customHeight="1" x14ac:dyDescent="0.25">
      <c r="A2071" s="27">
        <v>45909</v>
      </c>
      <c r="B2071" s="80">
        <v>2025</v>
      </c>
      <c r="C2071" s="80">
        <v>9</v>
      </c>
      <c r="D2071" s="30" t="s">
        <v>63</v>
      </c>
      <c r="E2071" s="30" t="s">
        <v>50</v>
      </c>
      <c r="F2071" s="30" t="s">
        <v>47</v>
      </c>
      <c r="G2071" s="33">
        <v>1.57925</v>
      </c>
      <c r="H2071" s="83" t="s">
        <v>88</v>
      </c>
    </row>
    <row r="2072" spans="1:8" ht="16.5" customHeight="1" x14ac:dyDescent="0.25">
      <c r="A2072" s="27">
        <v>45909</v>
      </c>
      <c r="B2072" s="80">
        <v>2025</v>
      </c>
      <c r="C2072" s="80">
        <v>9</v>
      </c>
      <c r="D2072" s="30" t="s">
        <v>63</v>
      </c>
      <c r="E2072" s="30" t="s">
        <v>50</v>
      </c>
      <c r="F2072" s="30" t="s">
        <v>51</v>
      </c>
      <c r="G2072" s="33">
        <v>0.62475000000000003</v>
      </c>
      <c r="H2072" s="83" t="s">
        <v>88</v>
      </c>
    </row>
    <row r="2073" spans="1:8" ht="16.5" customHeight="1" x14ac:dyDescent="0.25">
      <c r="A2073" s="27">
        <v>45909</v>
      </c>
      <c r="B2073" s="80">
        <v>2025</v>
      </c>
      <c r="C2073" s="80">
        <v>9</v>
      </c>
      <c r="D2073" s="30" t="s">
        <v>63</v>
      </c>
      <c r="E2073" s="30" t="s">
        <v>50</v>
      </c>
      <c r="F2073" s="30" t="s">
        <v>58</v>
      </c>
      <c r="G2073" s="33">
        <v>0.93682874999999999</v>
      </c>
      <c r="H2073" s="83" t="s">
        <v>88</v>
      </c>
    </row>
    <row r="2074" spans="1:8" ht="16.5" customHeight="1" x14ac:dyDescent="0.25">
      <c r="A2074" s="27">
        <v>45909</v>
      </c>
      <c r="B2074" s="80">
        <v>2025</v>
      </c>
      <c r="C2074" s="80">
        <v>9</v>
      </c>
      <c r="D2074" s="30" t="s">
        <v>63</v>
      </c>
      <c r="E2074" s="30" t="s">
        <v>54</v>
      </c>
      <c r="F2074" s="30" t="s">
        <v>43</v>
      </c>
      <c r="G2074" s="33">
        <v>1.032</v>
      </c>
      <c r="H2074" s="83" t="s">
        <v>88</v>
      </c>
    </row>
    <row r="2075" spans="1:8" ht="16.5" customHeight="1" x14ac:dyDescent="0.25">
      <c r="A2075" s="27">
        <v>45909</v>
      </c>
      <c r="B2075" s="80">
        <v>2025</v>
      </c>
      <c r="C2075" s="80">
        <v>9</v>
      </c>
      <c r="D2075" s="30" t="s">
        <v>63</v>
      </c>
      <c r="E2075" s="30" t="s">
        <v>61</v>
      </c>
      <c r="F2075" s="30" t="s">
        <v>43</v>
      </c>
      <c r="G2075" s="33">
        <v>6.7149999999999999</v>
      </c>
      <c r="H2075" s="83" t="s">
        <v>89</v>
      </c>
    </row>
    <row r="2076" spans="1:8" ht="16.5" customHeight="1" x14ac:dyDescent="0.25">
      <c r="A2076" s="27">
        <v>45909</v>
      </c>
      <c r="B2076" s="80">
        <v>2025</v>
      </c>
      <c r="C2076" s="80">
        <v>9</v>
      </c>
      <c r="D2076" s="30" t="s">
        <v>63</v>
      </c>
      <c r="E2076" s="30" t="s">
        <v>66</v>
      </c>
      <c r="F2076" s="30" t="s">
        <v>43</v>
      </c>
      <c r="G2076" s="33">
        <v>3.4575</v>
      </c>
      <c r="H2076" s="83" t="s">
        <v>89</v>
      </c>
    </row>
    <row r="2077" spans="1:8" ht="16.5" customHeight="1" x14ac:dyDescent="0.25">
      <c r="A2077" s="27">
        <v>45909</v>
      </c>
      <c r="B2077" s="80">
        <v>2025</v>
      </c>
      <c r="C2077" s="80">
        <v>9</v>
      </c>
      <c r="D2077" s="30" t="s">
        <v>63</v>
      </c>
      <c r="E2077" s="30" t="s">
        <v>75</v>
      </c>
      <c r="F2077" s="30" t="s">
        <v>43</v>
      </c>
      <c r="G2077" s="33">
        <v>20.167776249999999</v>
      </c>
      <c r="H2077" s="83" t="s">
        <v>48</v>
      </c>
    </row>
    <row r="2078" spans="1:8" ht="16.5" customHeight="1" x14ac:dyDescent="0.25">
      <c r="A2078" s="27">
        <v>45910</v>
      </c>
      <c r="B2078" s="80">
        <v>2025</v>
      </c>
      <c r="C2078" s="80">
        <v>9</v>
      </c>
      <c r="D2078" s="30" t="s">
        <v>63</v>
      </c>
      <c r="E2078" s="30" t="s">
        <v>38</v>
      </c>
      <c r="F2078" s="30" t="s">
        <v>43</v>
      </c>
      <c r="G2078" s="33">
        <v>2.7285759999999999</v>
      </c>
      <c r="H2078" s="83" t="s">
        <v>88</v>
      </c>
    </row>
    <row r="2079" spans="1:8" ht="16.5" customHeight="1" x14ac:dyDescent="0.25">
      <c r="A2079" s="27">
        <v>45910</v>
      </c>
      <c r="B2079" s="80">
        <v>2025</v>
      </c>
      <c r="C2079" s="80">
        <v>9</v>
      </c>
      <c r="D2079" s="30" t="s">
        <v>63</v>
      </c>
      <c r="E2079" s="30" t="s">
        <v>42</v>
      </c>
      <c r="F2079" s="30" t="s">
        <v>39</v>
      </c>
      <c r="G2079" s="33">
        <v>41.1845</v>
      </c>
      <c r="H2079" s="83" t="s">
        <v>88</v>
      </c>
    </row>
    <row r="2080" spans="1:8" ht="16.5" customHeight="1" x14ac:dyDescent="0.25">
      <c r="A2080" s="27">
        <v>45910</v>
      </c>
      <c r="B2080" s="80">
        <v>2025</v>
      </c>
      <c r="C2080" s="80">
        <v>9</v>
      </c>
      <c r="D2080" s="30" t="s">
        <v>63</v>
      </c>
      <c r="E2080" s="30" t="s">
        <v>46</v>
      </c>
      <c r="F2080" s="30" t="s">
        <v>43</v>
      </c>
      <c r="G2080" s="33">
        <v>1.060392</v>
      </c>
      <c r="H2080" s="83" t="s">
        <v>88</v>
      </c>
    </row>
    <row r="2081" spans="1:8" ht="16.5" customHeight="1" x14ac:dyDescent="0.25">
      <c r="A2081" s="27">
        <v>45910</v>
      </c>
      <c r="B2081" s="80">
        <v>2025</v>
      </c>
      <c r="C2081" s="80">
        <v>9</v>
      </c>
      <c r="D2081" s="30" t="s">
        <v>63</v>
      </c>
      <c r="E2081" s="30" t="s">
        <v>46</v>
      </c>
      <c r="F2081" s="30" t="s">
        <v>51</v>
      </c>
      <c r="G2081" s="33">
        <v>0.39323999999999998</v>
      </c>
      <c r="H2081" s="83" t="s">
        <v>88</v>
      </c>
    </row>
    <row r="2082" spans="1:8" ht="16.5" customHeight="1" x14ac:dyDescent="0.25">
      <c r="A2082" s="27">
        <v>45910</v>
      </c>
      <c r="B2082" s="80">
        <v>2025</v>
      </c>
      <c r="C2082" s="80">
        <v>9</v>
      </c>
      <c r="D2082" s="30" t="s">
        <v>63</v>
      </c>
      <c r="E2082" s="30" t="s">
        <v>46</v>
      </c>
      <c r="F2082" s="30" t="s">
        <v>58</v>
      </c>
      <c r="G2082" s="33">
        <v>0.45875474999999999</v>
      </c>
      <c r="H2082" s="83" t="s">
        <v>88</v>
      </c>
    </row>
    <row r="2083" spans="1:8" ht="16.5" customHeight="1" x14ac:dyDescent="0.25">
      <c r="A2083" s="27">
        <v>45910</v>
      </c>
      <c r="B2083" s="80">
        <v>2025</v>
      </c>
      <c r="C2083" s="80">
        <v>9</v>
      </c>
      <c r="D2083" s="30" t="s">
        <v>63</v>
      </c>
      <c r="E2083" s="30" t="s">
        <v>50</v>
      </c>
      <c r="F2083" s="30" t="s">
        <v>43</v>
      </c>
      <c r="G2083" s="33">
        <v>36.328688</v>
      </c>
      <c r="H2083" s="83" t="s">
        <v>88</v>
      </c>
    </row>
    <row r="2084" spans="1:8" ht="16.5" customHeight="1" x14ac:dyDescent="0.25">
      <c r="A2084" s="27">
        <v>45910</v>
      </c>
      <c r="B2084" s="80">
        <v>2025</v>
      </c>
      <c r="C2084" s="80">
        <v>9</v>
      </c>
      <c r="D2084" s="30" t="s">
        <v>63</v>
      </c>
      <c r="E2084" s="30" t="s">
        <v>50</v>
      </c>
      <c r="F2084" s="30" t="s">
        <v>47</v>
      </c>
      <c r="G2084" s="33">
        <v>1.992445</v>
      </c>
      <c r="H2084" s="83" t="s">
        <v>88</v>
      </c>
    </row>
    <row r="2085" spans="1:8" ht="16.5" customHeight="1" x14ac:dyDescent="0.25">
      <c r="A2085" s="27">
        <v>45910</v>
      </c>
      <c r="B2085" s="80">
        <v>2025</v>
      </c>
      <c r="C2085" s="80">
        <v>9</v>
      </c>
      <c r="D2085" s="30" t="s">
        <v>63</v>
      </c>
      <c r="E2085" s="30" t="s">
        <v>50</v>
      </c>
      <c r="F2085" s="30" t="s">
        <v>55</v>
      </c>
      <c r="G2085" s="33">
        <v>0.45340000000000003</v>
      </c>
      <c r="H2085" s="83" t="s">
        <v>88</v>
      </c>
    </row>
    <row r="2086" spans="1:8" ht="16.5" customHeight="1" x14ac:dyDescent="0.25">
      <c r="A2086" s="27">
        <v>45910</v>
      </c>
      <c r="B2086" s="80">
        <v>2025</v>
      </c>
      <c r="C2086" s="80">
        <v>9</v>
      </c>
      <c r="D2086" s="30" t="s">
        <v>63</v>
      </c>
      <c r="E2086" s="30" t="s">
        <v>50</v>
      </c>
      <c r="F2086" s="30" t="s">
        <v>58</v>
      </c>
      <c r="G2086" s="33">
        <v>5.3744850499999997</v>
      </c>
      <c r="H2086" s="83" t="s">
        <v>88</v>
      </c>
    </row>
    <row r="2087" spans="1:8" ht="16.5" customHeight="1" x14ac:dyDescent="0.25">
      <c r="A2087" s="27">
        <v>45910</v>
      </c>
      <c r="B2087" s="80">
        <v>2025</v>
      </c>
      <c r="C2087" s="80">
        <v>9</v>
      </c>
      <c r="D2087" s="30" t="s">
        <v>63</v>
      </c>
      <c r="E2087" s="30" t="s">
        <v>54</v>
      </c>
      <c r="F2087" s="30" t="s">
        <v>43</v>
      </c>
      <c r="G2087" s="33">
        <v>1.6737500000000001</v>
      </c>
      <c r="H2087" s="83" t="s">
        <v>88</v>
      </c>
    </row>
    <row r="2088" spans="1:8" ht="16.5" customHeight="1" x14ac:dyDescent="0.25">
      <c r="A2088" s="27">
        <v>45910</v>
      </c>
      <c r="B2088" s="80">
        <v>2025</v>
      </c>
      <c r="C2088" s="80">
        <v>9</v>
      </c>
      <c r="D2088" s="30" t="s">
        <v>63</v>
      </c>
      <c r="E2088" s="30" t="s">
        <v>57</v>
      </c>
      <c r="F2088" s="30" t="s">
        <v>47</v>
      </c>
      <c r="G2088" s="33">
        <v>-2.84</v>
      </c>
      <c r="H2088" s="83" t="s">
        <v>89</v>
      </c>
    </row>
    <row r="2089" spans="1:8" ht="16.5" customHeight="1" x14ac:dyDescent="0.25">
      <c r="A2089" s="27">
        <v>45910</v>
      </c>
      <c r="B2089" s="80">
        <v>2025</v>
      </c>
      <c r="C2089" s="80">
        <v>9</v>
      </c>
      <c r="D2089" s="30" t="s">
        <v>63</v>
      </c>
      <c r="E2089" s="30" t="s">
        <v>57</v>
      </c>
      <c r="F2089" s="30" t="s">
        <v>55</v>
      </c>
      <c r="G2089" s="33">
        <v>5.6231999999999998</v>
      </c>
      <c r="H2089" s="83" t="s">
        <v>89</v>
      </c>
    </row>
    <row r="2090" spans="1:8" ht="16.5" customHeight="1" x14ac:dyDescent="0.25">
      <c r="A2090" s="27">
        <v>45910</v>
      </c>
      <c r="B2090" s="80">
        <v>2025</v>
      </c>
      <c r="C2090" s="80">
        <v>9</v>
      </c>
      <c r="D2090" s="30" t="s">
        <v>63</v>
      </c>
      <c r="E2090" s="30" t="s">
        <v>66</v>
      </c>
      <c r="F2090" s="30" t="s">
        <v>43</v>
      </c>
      <c r="G2090" s="33">
        <v>1.3</v>
      </c>
      <c r="H2090" s="83" t="s">
        <v>89</v>
      </c>
    </row>
    <row r="2091" spans="1:8" ht="16.5" customHeight="1" x14ac:dyDescent="0.25">
      <c r="A2091" s="27">
        <v>45910</v>
      </c>
      <c r="B2091" s="80">
        <v>2025</v>
      </c>
      <c r="C2091" s="80">
        <v>9</v>
      </c>
      <c r="D2091" s="30" t="s">
        <v>63</v>
      </c>
      <c r="E2091" s="30" t="s">
        <v>68</v>
      </c>
      <c r="F2091" s="30" t="s">
        <v>43</v>
      </c>
      <c r="G2091" s="33">
        <v>3.02</v>
      </c>
      <c r="H2091" s="83" t="s">
        <v>89</v>
      </c>
    </row>
    <row r="2092" spans="1:8" ht="16.5" customHeight="1" x14ac:dyDescent="0.25">
      <c r="A2092" s="27">
        <v>45910</v>
      </c>
      <c r="B2092" s="80">
        <v>2025</v>
      </c>
      <c r="C2092" s="80">
        <v>9</v>
      </c>
      <c r="D2092" s="30" t="s">
        <v>63</v>
      </c>
      <c r="E2092" s="30" t="s">
        <v>73</v>
      </c>
      <c r="F2092" s="30" t="s">
        <v>43</v>
      </c>
      <c r="G2092" s="33">
        <v>17.352</v>
      </c>
      <c r="H2092" s="83" t="s">
        <v>89</v>
      </c>
    </row>
    <row r="2093" spans="1:8" ht="16.5" customHeight="1" x14ac:dyDescent="0.25">
      <c r="A2093" s="27">
        <v>45910</v>
      </c>
      <c r="B2093" s="80">
        <v>2025</v>
      </c>
      <c r="C2093" s="80">
        <v>9</v>
      </c>
      <c r="D2093" s="30" t="s">
        <v>63</v>
      </c>
      <c r="E2093" s="30" t="s">
        <v>76</v>
      </c>
      <c r="F2093" s="30" t="s">
        <v>39</v>
      </c>
      <c r="G2093" s="33">
        <v>44.193199999999997</v>
      </c>
      <c r="H2093" s="83" t="s">
        <v>48</v>
      </c>
    </row>
    <row r="2094" spans="1:8" ht="16.5" customHeight="1" x14ac:dyDescent="0.25">
      <c r="A2094" s="27">
        <v>45911</v>
      </c>
      <c r="B2094" s="80">
        <v>2025</v>
      </c>
      <c r="C2094" s="80">
        <v>9</v>
      </c>
      <c r="D2094" s="30" t="s">
        <v>63</v>
      </c>
      <c r="E2094" s="30" t="s">
        <v>38</v>
      </c>
      <c r="F2094" s="30" t="s">
        <v>43</v>
      </c>
      <c r="G2094" s="33">
        <v>1.0595760000000001</v>
      </c>
      <c r="H2094" s="83" t="s">
        <v>88</v>
      </c>
    </row>
    <row r="2095" spans="1:8" ht="16.5" customHeight="1" x14ac:dyDescent="0.25">
      <c r="A2095" s="27">
        <v>45911</v>
      </c>
      <c r="B2095" s="80">
        <v>2025</v>
      </c>
      <c r="C2095" s="80">
        <v>9</v>
      </c>
      <c r="D2095" s="30" t="s">
        <v>63</v>
      </c>
      <c r="E2095" s="30" t="s">
        <v>42</v>
      </c>
      <c r="F2095" s="30" t="s">
        <v>43</v>
      </c>
      <c r="G2095" s="33">
        <v>2.0242300000000002</v>
      </c>
      <c r="H2095" s="83" t="s">
        <v>88</v>
      </c>
    </row>
    <row r="2096" spans="1:8" ht="16.5" customHeight="1" x14ac:dyDescent="0.25">
      <c r="A2096" s="27">
        <v>45911</v>
      </c>
      <c r="B2096" s="80">
        <v>2025</v>
      </c>
      <c r="C2096" s="80">
        <v>9</v>
      </c>
      <c r="D2096" s="30" t="s">
        <v>63</v>
      </c>
      <c r="E2096" s="30" t="s">
        <v>46</v>
      </c>
      <c r="F2096" s="30" t="s">
        <v>43</v>
      </c>
      <c r="G2096" s="33">
        <v>3.3126064</v>
      </c>
      <c r="H2096" s="83" t="s">
        <v>88</v>
      </c>
    </row>
    <row r="2097" spans="1:8" ht="16.5" customHeight="1" x14ac:dyDescent="0.25">
      <c r="A2097" s="27">
        <v>45911</v>
      </c>
      <c r="B2097" s="80">
        <v>2025</v>
      </c>
      <c r="C2097" s="80">
        <v>9</v>
      </c>
      <c r="D2097" s="30" t="s">
        <v>63</v>
      </c>
      <c r="E2097" s="30" t="s">
        <v>50</v>
      </c>
      <c r="F2097" s="30" t="s">
        <v>43</v>
      </c>
      <c r="G2097" s="33">
        <v>1.9222783999999999</v>
      </c>
      <c r="H2097" s="83" t="s">
        <v>88</v>
      </c>
    </row>
    <row r="2098" spans="1:8" ht="16.5" customHeight="1" x14ac:dyDescent="0.25">
      <c r="A2098" s="27">
        <v>45911</v>
      </c>
      <c r="B2098" s="80">
        <v>2025</v>
      </c>
      <c r="C2098" s="80">
        <v>9</v>
      </c>
      <c r="D2098" s="30" t="s">
        <v>63</v>
      </c>
      <c r="E2098" s="30" t="s">
        <v>50</v>
      </c>
      <c r="F2098" s="30" t="s">
        <v>58</v>
      </c>
      <c r="G2098" s="33">
        <v>2.931666892</v>
      </c>
      <c r="H2098" s="83" t="s">
        <v>88</v>
      </c>
    </row>
    <row r="2099" spans="1:8" ht="16.5" customHeight="1" x14ac:dyDescent="0.25">
      <c r="A2099" s="27">
        <v>45911</v>
      </c>
      <c r="B2099" s="80">
        <v>2025</v>
      </c>
      <c r="C2099" s="80">
        <v>9</v>
      </c>
      <c r="D2099" s="30" t="s">
        <v>63</v>
      </c>
      <c r="E2099" s="30" t="s">
        <v>54</v>
      </c>
      <c r="F2099" s="30" t="s">
        <v>43</v>
      </c>
      <c r="G2099" s="33">
        <v>5.4332500000000001</v>
      </c>
      <c r="H2099" s="83" t="s">
        <v>88</v>
      </c>
    </row>
    <row r="2100" spans="1:8" ht="16.5" customHeight="1" x14ac:dyDescent="0.25">
      <c r="A2100" s="27">
        <v>45911</v>
      </c>
      <c r="B2100" s="80">
        <v>2025</v>
      </c>
      <c r="C2100" s="80">
        <v>9</v>
      </c>
      <c r="D2100" s="30" t="s">
        <v>63</v>
      </c>
      <c r="E2100" s="30" t="s">
        <v>57</v>
      </c>
      <c r="F2100" s="30" t="s">
        <v>55</v>
      </c>
      <c r="G2100" s="33">
        <v>4.0940000000000003</v>
      </c>
      <c r="H2100" s="83" t="s">
        <v>89</v>
      </c>
    </row>
    <row r="2101" spans="1:8" ht="16.5" customHeight="1" x14ac:dyDescent="0.25">
      <c r="A2101" s="27">
        <v>45911</v>
      </c>
      <c r="B2101" s="80">
        <v>2025</v>
      </c>
      <c r="C2101" s="80">
        <v>9</v>
      </c>
      <c r="D2101" s="30" t="s">
        <v>63</v>
      </c>
      <c r="E2101" s="30" t="s">
        <v>66</v>
      </c>
      <c r="F2101" s="30" t="s">
        <v>39</v>
      </c>
      <c r="G2101" s="33">
        <v>8.7074999999999996</v>
      </c>
      <c r="H2101" s="83" t="s">
        <v>89</v>
      </c>
    </row>
    <row r="2102" spans="1:8" ht="16.5" customHeight="1" x14ac:dyDescent="0.25">
      <c r="A2102" s="27">
        <v>45911</v>
      </c>
      <c r="B2102" s="80">
        <v>2025</v>
      </c>
      <c r="C2102" s="80">
        <v>9</v>
      </c>
      <c r="D2102" s="30" t="s">
        <v>63</v>
      </c>
      <c r="E2102" s="30" t="s">
        <v>66</v>
      </c>
      <c r="F2102" s="30" t="s">
        <v>43</v>
      </c>
      <c r="G2102" s="33">
        <v>11.573880000000001</v>
      </c>
      <c r="H2102" s="83" t="s">
        <v>89</v>
      </c>
    </row>
    <row r="2103" spans="1:8" ht="16.5" customHeight="1" x14ac:dyDescent="0.25">
      <c r="A2103" s="27">
        <v>45911</v>
      </c>
      <c r="B2103" s="80">
        <v>2025</v>
      </c>
      <c r="C2103" s="80">
        <v>9</v>
      </c>
      <c r="D2103" s="30" t="s">
        <v>63</v>
      </c>
      <c r="E2103" s="30" t="s">
        <v>68</v>
      </c>
      <c r="F2103" s="30" t="s">
        <v>43</v>
      </c>
      <c r="G2103" s="33">
        <v>0.435</v>
      </c>
      <c r="H2103" s="83" t="s">
        <v>89</v>
      </c>
    </row>
    <row r="2104" spans="1:8" ht="16.5" customHeight="1" x14ac:dyDescent="0.25">
      <c r="A2104" s="27">
        <v>45911</v>
      </c>
      <c r="B2104" s="80">
        <v>2025</v>
      </c>
      <c r="C2104" s="80">
        <v>9</v>
      </c>
      <c r="D2104" s="30" t="s">
        <v>63</v>
      </c>
      <c r="E2104" s="30" t="s">
        <v>71</v>
      </c>
      <c r="F2104" s="30" t="s">
        <v>43</v>
      </c>
      <c r="G2104" s="33">
        <v>1.224</v>
      </c>
      <c r="H2104" s="83" t="s">
        <v>89</v>
      </c>
    </row>
    <row r="2105" spans="1:8" ht="16.5" customHeight="1" x14ac:dyDescent="0.25">
      <c r="A2105" s="27">
        <v>45911</v>
      </c>
      <c r="B2105" s="80">
        <v>2025</v>
      </c>
      <c r="C2105" s="80">
        <v>9</v>
      </c>
      <c r="D2105" s="30" t="s">
        <v>63</v>
      </c>
      <c r="E2105" s="30" t="s">
        <v>73</v>
      </c>
      <c r="F2105" s="30" t="s">
        <v>43</v>
      </c>
      <c r="G2105" s="33">
        <v>0.86336000000000002</v>
      </c>
      <c r="H2105" s="83" t="s">
        <v>89</v>
      </c>
    </row>
    <row r="2106" spans="1:8" ht="16.5" customHeight="1" x14ac:dyDescent="0.25">
      <c r="A2106" s="27">
        <v>45911</v>
      </c>
      <c r="B2106" s="80">
        <v>2025</v>
      </c>
      <c r="C2106" s="80">
        <v>9</v>
      </c>
      <c r="D2106" s="30" t="s">
        <v>63</v>
      </c>
      <c r="E2106" s="30" t="s">
        <v>75</v>
      </c>
      <c r="F2106" s="30" t="s">
        <v>43</v>
      </c>
      <c r="G2106" s="33">
        <v>0.22860849999999999</v>
      </c>
      <c r="H2106" s="83" t="s">
        <v>48</v>
      </c>
    </row>
    <row r="2107" spans="1:8" ht="16.5" customHeight="1" x14ac:dyDescent="0.25">
      <c r="A2107" s="27">
        <v>45912</v>
      </c>
      <c r="B2107" s="80">
        <v>2025</v>
      </c>
      <c r="C2107" s="80">
        <v>9</v>
      </c>
      <c r="D2107" s="30" t="s">
        <v>63</v>
      </c>
      <c r="E2107" s="30" t="s">
        <v>38</v>
      </c>
      <c r="F2107" s="30" t="s">
        <v>43</v>
      </c>
      <c r="G2107" s="33">
        <v>2.21</v>
      </c>
      <c r="H2107" s="83" t="s">
        <v>88</v>
      </c>
    </row>
    <row r="2108" spans="1:8" ht="16.5" customHeight="1" x14ac:dyDescent="0.25">
      <c r="A2108" s="27">
        <v>45912</v>
      </c>
      <c r="B2108" s="80">
        <v>2025</v>
      </c>
      <c r="C2108" s="80">
        <v>9</v>
      </c>
      <c r="D2108" s="30" t="s">
        <v>63</v>
      </c>
      <c r="E2108" s="30" t="s">
        <v>38</v>
      </c>
      <c r="F2108" s="30" t="s">
        <v>55</v>
      </c>
      <c r="G2108" s="33">
        <v>2.16</v>
      </c>
      <c r="H2108" s="83" t="s">
        <v>88</v>
      </c>
    </row>
    <row r="2109" spans="1:8" ht="16.5" customHeight="1" x14ac:dyDescent="0.25">
      <c r="A2109" s="27">
        <v>45912</v>
      </c>
      <c r="B2109" s="80">
        <v>2025</v>
      </c>
      <c r="C2109" s="80">
        <v>9</v>
      </c>
      <c r="D2109" s="30" t="s">
        <v>63</v>
      </c>
      <c r="E2109" s="30" t="s">
        <v>42</v>
      </c>
      <c r="F2109" s="30" t="s">
        <v>55</v>
      </c>
      <c r="G2109" s="33">
        <v>1.7055</v>
      </c>
      <c r="H2109" s="83" t="s">
        <v>88</v>
      </c>
    </row>
    <row r="2110" spans="1:8" ht="16.5" customHeight="1" x14ac:dyDescent="0.25">
      <c r="A2110" s="27">
        <v>45912</v>
      </c>
      <c r="B2110" s="80">
        <v>2025</v>
      </c>
      <c r="C2110" s="80">
        <v>9</v>
      </c>
      <c r="D2110" s="30" t="s">
        <v>63</v>
      </c>
      <c r="E2110" s="30" t="s">
        <v>50</v>
      </c>
      <c r="F2110" s="30" t="s">
        <v>43</v>
      </c>
      <c r="G2110" s="33">
        <v>95.895323200000007</v>
      </c>
      <c r="H2110" s="83" t="s">
        <v>88</v>
      </c>
    </row>
    <row r="2111" spans="1:8" ht="16.5" customHeight="1" x14ac:dyDescent="0.25">
      <c r="A2111" s="27">
        <v>45912</v>
      </c>
      <c r="B2111" s="80">
        <v>2025</v>
      </c>
      <c r="C2111" s="80">
        <v>9</v>
      </c>
      <c r="D2111" s="30" t="s">
        <v>63</v>
      </c>
      <c r="E2111" s="30" t="s">
        <v>50</v>
      </c>
      <c r="F2111" s="30" t="s">
        <v>47</v>
      </c>
      <c r="G2111" s="33">
        <v>1.2432000000000001</v>
      </c>
      <c r="H2111" s="83" t="s">
        <v>88</v>
      </c>
    </row>
    <row r="2112" spans="1:8" ht="16.5" customHeight="1" x14ac:dyDescent="0.25">
      <c r="A2112" s="27">
        <v>45912</v>
      </c>
      <c r="B2112" s="80">
        <v>2025</v>
      </c>
      <c r="C2112" s="80">
        <v>9</v>
      </c>
      <c r="D2112" s="30" t="s">
        <v>63</v>
      </c>
      <c r="E2112" s="30" t="s">
        <v>50</v>
      </c>
      <c r="F2112" s="30" t="s">
        <v>58</v>
      </c>
      <c r="G2112" s="33">
        <v>1.19133</v>
      </c>
      <c r="H2112" s="83" t="s">
        <v>88</v>
      </c>
    </row>
    <row r="2113" spans="1:8" ht="16.5" customHeight="1" x14ac:dyDescent="0.25">
      <c r="A2113" s="27">
        <v>45912</v>
      </c>
      <c r="B2113" s="80">
        <v>2025</v>
      </c>
      <c r="C2113" s="80">
        <v>9</v>
      </c>
      <c r="D2113" s="30" t="s">
        <v>63</v>
      </c>
      <c r="E2113" s="30" t="s">
        <v>54</v>
      </c>
      <c r="F2113" s="30" t="s">
        <v>43</v>
      </c>
      <c r="G2113" s="33">
        <v>5.4172500000000001</v>
      </c>
      <c r="H2113" s="83" t="s">
        <v>88</v>
      </c>
    </row>
    <row r="2114" spans="1:8" ht="16.5" customHeight="1" x14ac:dyDescent="0.25">
      <c r="A2114" s="27">
        <v>45912</v>
      </c>
      <c r="B2114" s="80">
        <v>2025</v>
      </c>
      <c r="C2114" s="80">
        <v>9</v>
      </c>
      <c r="D2114" s="30" t="s">
        <v>63</v>
      </c>
      <c r="E2114" s="30" t="s">
        <v>54</v>
      </c>
      <c r="F2114" s="30" t="s">
        <v>47</v>
      </c>
      <c r="G2114" s="33">
        <v>0.16</v>
      </c>
      <c r="H2114" s="83" t="s">
        <v>88</v>
      </c>
    </row>
    <row r="2115" spans="1:8" ht="16.5" customHeight="1" x14ac:dyDescent="0.25">
      <c r="A2115" s="27">
        <v>45912</v>
      </c>
      <c r="B2115" s="80">
        <v>2025</v>
      </c>
      <c r="C2115" s="80">
        <v>9</v>
      </c>
      <c r="D2115" s="30" t="s">
        <v>63</v>
      </c>
      <c r="E2115" s="30" t="s">
        <v>57</v>
      </c>
      <c r="F2115" s="30" t="s">
        <v>43</v>
      </c>
      <c r="G2115" s="33">
        <v>2.4260999999999999</v>
      </c>
      <c r="H2115" s="83" t="s">
        <v>89</v>
      </c>
    </row>
    <row r="2116" spans="1:8" ht="16.5" customHeight="1" x14ac:dyDescent="0.25">
      <c r="A2116" s="27">
        <v>45912</v>
      </c>
      <c r="B2116" s="80">
        <v>2025</v>
      </c>
      <c r="C2116" s="80">
        <v>9</v>
      </c>
      <c r="D2116" s="30" t="s">
        <v>63</v>
      </c>
      <c r="E2116" s="30" t="s">
        <v>61</v>
      </c>
      <c r="F2116" s="30" t="s">
        <v>43</v>
      </c>
      <c r="G2116" s="33">
        <v>4.7699999999999996</v>
      </c>
      <c r="H2116" s="83" t="s">
        <v>89</v>
      </c>
    </row>
    <row r="2117" spans="1:8" ht="16.5" customHeight="1" x14ac:dyDescent="0.25">
      <c r="A2117" s="27">
        <v>45912</v>
      </c>
      <c r="B2117" s="80">
        <v>2025</v>
      </c>
      <c r="C2117" s="80">
        <v>9</v>
      </c>
      <c r="D2117" s="30" t="s">
        <v>63</v>
      </c>
      <c r="E2117" s="30" t="s">
        <v>66</v>
      </c>
      <c r="F2117" s="30" t="s">
        <v>43</v>
      </c>
      <c r="G2117" s="33">
        <v>1.2</v>
      </c>
      <c r="H2117" s="83" t="s">
        <v>89</v>
      </c>
    </row>
    <row r="2118" spans="1:8" ht="16.5" customHeight="1" x14ac:dyDescent="0.25">
      <c r="A2118" s="27">
        <v>45912</v>
      </c>
      <c r="B2118" s="80">
        <v>2025</v>
      </c>
      <c r="C2118" s="80">
        <v>9</v>
      </c>
      <c r="D2118" s="30" t="s">
        <v>63</v>
      </c>
      <c r="E2118" s="30" t="s">
        <v>68</v>
      </c>
      <c r="F2118" s="30" t="s">
        <v>43</v>
      </c>
      <c r="G2118" s="33">
        <v>1.5974999999999999</v>
      </c>
      <c r="H2118" s="83" t="s">
        <v>89</v>
      </c>
    </row>
    <row r="2119" spans="1:8" ht="16.5" customHeight="1" x14ac:dyDescent="0.25">
      <c r="A2119" s="27">
        <v>45912</v>
      </c>
      <c r="B2119" s="80">
        <v>2025</v>
      </c>
      <c r="C2119" s="80">
        <v>9</v>
      </c>
      <c r="D2119" s="30" t="s">
        <v>63</v>
      </c>
      <c r="E2119" s="30" t="s">
        <v>71</v>
      </c>
      <c r="F2119" s="30" t="s">
        <v>43</v>
      </c>
      <c r="G2119" s="33">
        <v>13.733000000000001</v>
      </c>
      <c r="H2119" s="83" t="s">
        <v>89</v>
      </c>
    </row>
    <row r="2120" spans="1:8" ht="16.5" customHeight="1" x14ac:dyDescent="0.25">
      <c r="A2120" s="27">
        <v>45912</v>
      </c>
      <c r="B2120" s="80">
        <v>2025</v>
      </c>
      <c r="C2120" s="80">
        <v>9</v>
      </c>
      <c r="D2120" s="30" t="s">
        <v>63</v>
      </c>
      <c r="E2120" s="30" t="s">
        <v>75</v>
      </c>
      <c r="F2120" s="30" t="s">
        <v>43</v>
      </c>
      <c r="G2120" s="33">
        <v>23.334182500000001</v>
      </c>
      <c r="H2120" s="83" t="s">
        <v>48</v>
      </c>
    </row>
    <row r="2121" spans="1:8" ht="16.5" customHeight="1" x14ac:dyDescent="0.25">
      <c r="A2121" s="27">
        <v>45915</v>
      </c>
      <c r="B2121" s="80">
        <v>2025</v>
      </c>
      <c r="C2121" s="80">
        <v>9</v>
      </c>
      <c r="D2121" s="30" t="s">
        <v>63</v>
      </c>
      <c r="E2121" s="30" t="s">
        <v>38</v>
      </c>
      <c r="F2121" s="30" t="s">
        <v>43</v>
      </c>
      <c r="G2121" s="33">
        <v>2.8149000000000002</v>
      </c>
      <c r="H2121" s="83" t="s">
        <v>88</v>
      </c>
    </row>
    <row r="2122" spans="1:8" ht="16.5" customHeight="1" x14ac:dyDescent="0.25">
      <c r="A2122" s="27">
        <v>45915</v>
      </c>
      <c r="B2122" s="80">
        <v>2025</v>
      </c>
      <c r="C2122" s="80">
        <v>9</v>
      </c>
      <c r="D2122" s="30" t="s">
        <v>63</v>
      </c>
      <c r="E2122" s="30" t="s">
        <v>38</v>
      </c>
      <c r="F2122" s="30" t="s">
        <v>47</v>
      </c>
      <c r="G2122" s="33">
        <v>0.90791999999999995</v>
      </c>
      <c r="H2122" s="83" t="s">
        <v>88</v>
      </c>
    </row>
    <row r="2123" spans="1:8" ht="16.5" customHeight="1" x14ac:dyDescent="0.25">
      <c r="A2123" s="27">
        <v>45915</v>
      </c>
      <c r="B2123" s="80">
        <v>2025</v>
      </c>
      <c r="C2123" s="80">
        <v>9</v>
      </c>
      <c r="D2123" s="30" t="s">
        <v>63</v>
      </c>
      <c r="E2123" s="30" t="s">
        <v>42</v>
      </c>
      <c r="F2123" s="30" t="s">
        <v>43</v>
      </c>
      <c r="G2123" s="33">
        <v>10.8025</v>
      </c>
      <c r="H2123" s="83" t="s">
        <v>88</v>
      </c>
    </row>
    <row r="2124" spans="1:8" ht="16.5" customHeight="1" x14ac:dyDescent="0.25">
      <c r="A2124" s="27">
        <v>45915</v>
      </c>
      <c r="B2124" s="80">
        <v>2025</v>
      </c>
      <c r="C2124" s="80">
        <v>9</v>
      </c>
      <c r="D2124" s="30" t="s">
        <v>63</v>
      </c>
      <c r="E2124" s="30" t="s">
        <v>42</v>
      </c>
      <c r="F2124" s="30" t="s">
        <v>47</v>
      </c>
      <c r="G2124" s="33">
        <v>0.15</v>
      </c>
      <c r="H2124" s="83" t="s">
        <v>88</v>
      </c>
    </row>
    <row r="2125" spans="1:8" ht="16.5" customHeight="1" x14ac:dyDescent="0.25">
      <c r="A2125" s="27">
        <v>45915</v>
      </c>
      <c r="B2125" s="80">
        <v>2025</v>
      </c>
      <c r="C2125" s="80">
        <v>9</v>
      </c>
      <c r="D2125" s="30" t="s">
        <v>63</v>
      </c>
      <c r="E2125" s="30" t="s">
        <v>46</v>
      </c>
      <c r="F2125" s="30" t="s">
        <v>43</v>
      </c>
      <c r="G2125" s="33">
        <v>3.3164639999999999</v>
      </c>
      <c r="H2125" s="83" t="s">
        <v>88</v>
      </c>
    </row>
    <row r="2126" spans="1:8" ht="16.5" customHeight="1" x14ac:dyDescent="0.25">
      <c r="A2126" s="27">
        <v>45915</v>
      </c>
      <c r="B2126" s="80">
        <v>2025</v>
      </c>
      <c r="C2126" s="80">
        <v>9</v>
      </c>
      <c r="D2126" s="30" t="s">
        <v>63</v>
      </c>
      <c r="E2126" s="30" t="s">
        <v>50</v>
      </c>
      <c r="F2126" s="30" t="s">
        <v>43</v>
      </c>
      <c r="G2126" s="33">
        <v>15.555330400000001</v>
      </c>
      <c r="H2126" s="83" t="s">
        <v>88</v>
      </c>
    </row>
    <row r="2127" spans="1:8" ht="16.5" customHeight="1" x14ac:dyDescent="0.25">
      <c r="A2127" s="27">
        <v>45915</v>
      </c>
      <c r="B2127" s="80">
        <v>2025</v>
      </c>
      <c r="C2127" s="80">
        <v>9</v>
      </c>
      <c r="D2127" s="30" t="s">
        <v>63</v>
      </c>
      <c r="E2127" s="30" t="s">
        <v>50</v>
      </c>
      <c r="F2127" s="30" t="s">
        <v>51</v>
      </c>
      <c r="G2127" s="33">
        <v>1.496</v>
      </c>
      <c r="H2127" s="83" t="s">
        <v>88</v>
      </c>
    </row>
    <row r="2128" spans="1:8" ht="16.5" customHeight="1" x14ac:dyDescent="0.25">
      <c r="A2128" s="27">
        <v>45915</v>
      </c>
      <c r="B2128" s="80">
        <v>2025</v>
      </c>
      <c r="C2128" s="80">
        <v>9</v>
      </c>
      <c r="D2128" s="30" t="s">
        <v>63</v>
      </c>
      <c r="E2128" s="30" t="s">
        <v>50</v>
      </c>
      <c r="F2128" s="30" t="s">
        <v>55</v>
      </c>
      <c r="G2128" s="33">
        <v>0.601128</v>
      </c>
      <c r="H2128" s="83" t="s">
        <v>88</v>
      </c>
    </row>
    <row r="2129" spans="1:8" ht="16.5" customHeight="1" x14ac:dyDescent="0.25">
      <c r="A2129" s="27">
        <v>45915</v>
      </c>
      <c r="B2129" s="80">
        <v>2025</v>
      </c>
      <c r="C2129" s="80">
        <v>9</v>
      </c>
      <c r="D2129" s="30" t="s">
        <v>63</v>
      </c>
      <c r="E2129" s="30" t="s">
        <v>50</v>
      </c>
      <c r="F2129" s="30" t="s">
        <v>58</v>
      </c>
      <c r="G2129" s="33">
        <v>0.71999250000000004</v>
      </c>
      <c r="H2129" s="83" t="s">
        <v>88</v>
      </c>
    </row>
    <row r="2130" spans="1:8" ht="16.5" customHeight="1" x14ac:dyDescent="0.25">
      <c r="A2130" s="27">
        <v>45915</v>
      </c>
      <c r="B2130" s="80">
        <v>2025</v>
      </c>
      <c r="C2130" s="80">
        <v>9</v>
      </c>
      <c r="D2130" s="30" t="s">
        <v>63</v>
      </c>
      <c r="E2130" s="30" t="s">
        <v>54</v>
      </c>
      <c r="F2130" s="30" t="s">
        <v>43</v>
      </c>
      <c r="G2130" s="33">
        <v>1.7189000000000001</v>
      </c>
      <c r="H2130" s="83" t="s">
        <v>88</v>
      </c>
    </row>
    <row r="2131" spans="1:8" ht="16.5" customHeight="1" x14ac:dyDescent="0.25">
      <c r="A2131" s="27">
        <v>45915</v>
      </c>
      <c r="B2131" s="80">
        <v>2025</v>
      </c>
      <c r="C2131" s="80">
        <v>9</v>
      </c>
      <c r="D2131" s="30" t="s">
        <v>63</v>
      </c>
      <c r="E2131" s="30" t="s">
        <v>57</v>
      </c>
      <c r="F2131" s="30" t="s">
        <v>39</v>
      </c>
      <c r="G2131" s="33">
        <v>6.6825000000000001</v>
      </c>
      <c r="H2131" s="83" t="s">
        <v>89</v>
      </c>
    </row>
    <row r="2132" spans="1:8" ht="16.5" customHeight="1" x14ac:dyDescent="0.25">
      <c r="A2132" s="27">
        <v>45915</v>
      </c>
      <c r="B2132" s="80">
        <v>2025</v>
      </c>
      <c r="C2132" s="80">
        <v>9</v>
      </c>
      <c r="D2132" s="30" t="s">
        <v>63</v>
      </c>
      <c r="E2132" s="30" t="s">
        <v>57</v>
      </c>
      <c r="F2132" s="30" t="s">
        <v>43</v>
      </c>
      <c r="G2132" s="33">
        <v>0.7</v>
      </c>
      <c r="H2132" s="83" t="s">
        <v>89</v>
      </c>
    </row>
    <row r="2133" spans="1:8" ht="16.5" customHeight="1" x14ac:dyDescent="0.25">
      <c r="A2133" s="27">
        <v>45915</v>
      </c>
      <c r="B2133" s="80">
        <v>2025</v>
      </c>
      <c r="C2133" s="80">
        <v>9</v>
      </c>
      <c r="D2133" s="30" t="s">
        <v>63</v>
      </c>
      <c r="E2133" s="30" t="s">
        <v>68</v>
      </c>
      <c r="F2133" s="30" t="s">
        <v>43</v>
      </c>
      <c r="G2133" s="33">
        <v>1.1200000000000001</v>
      </c>
      <c r="H2133" s="83" t="s">
        <v>89</v>
      </c>
    </row>
    <row r="2134" spans="1:8" ht="16.5" customHeight="1" x14ac:dyDescent="0.25">
      <c r="A2134" s="27">
        <v>45915</v>
      </c>
      <c r="B2134" s="80">
        <v>2025</v>
      </c>
      <c r="C2134" s="80">
        <v>9</v>
      </c>
      <c r="D2134" s="30" t="s">
        <v>63</v>
      </c>
      <c r="E2134" s="30" t="s">
        <v>71</v>
      </c>
      <c r="F2134" s="30" t="s">
        <v>43</v>
      </c>
      <c r="G2134" s="33">
        <v>19.724499999999999</v>
      </c>
      <c r="H2134" s="83" t="s">
        <v>89</v>
      </c>
    </row>
    <row r="2135" spans="1:8" ht="16.5" customHeight="1" x14ac:dyDescent="0.25">
      <c r="A2135" s="27">
        <v>45915</v>
      </c>
      <c r="B2135" s="80">
        <v>2025</v>
      </c>
      <c r="C2135" s="80">
        <v>9</v>
      </c>
      <c r="D2135" s="30" t="s">
        <v>63</v>
      </c>
      <c r="E2135" s="30" t="s">
        <v>75</v>
      </c>
      <c r="F2135" s="30" t="s">
        <v>43</v>
      </c>
      <c r="G2135" s="33">
        <v>14.60715675</v>
      </c>
      <c r="H2135" s="83" t="s">
        <v>48</v>
      </c>
    </row>
    <row r="2136" spans="1:8" ht="16.5" customHeight="1" x14ac:dyDescent="0.25">
      <c r="A2136" s="27">
        <v>45916</v>
      </c>
      <c r="B2136" s="80">
        <v>2025</v>
      </c>
      <c r="C2136" s="80">
        <v>9</v>
      </c>
      <c r="D2136" s="30" t="s">
        <v>63</v>
      </c>
      <c r="E2136" s="30" t="s">
        <v>50</v>
      </c>
      <c r="F2136" s="30" t="s">
        <v>43</v>
      </c>
      <c r="G2136" s="33">
        <v>3.2333183999999999</v>
      </c>
      <c r="H2136" s="83" t="s">
        <v>88</v>
      </c>
    </row>
    <row r="2137" spans="1:8" ht="16.5" customHeight="1" x14ac:dyDescent="0.25">
      <c r="A2137" s="27">
        <v>45916</v>
      </c>
      <c r="B2137" s="80">
        <v>2025</v>
      </c>
      <c r="C2137" s="80">
        <v>9</v>
      </c>
      <c r="D2137" s="30" t="s">
        <v>63</v>
      </c>
      <c r="E2137" s="30" t="s">
        <v>50</v>
      </c>
      <c r="F2137" s="30" t="s">
        <v>47</v>
      </c>
      <c r="G2137" s="33">
        <v>9.4415999999999993</v>
      </c>
      <c r="H2137" s="83" t="s">
        <v>88</v>
      </c>
    </row>
    <row r="2138" spans="1:8" ht="16.5" customHeight="1" x14ac:dyDescent="0.25">
      <c r="A2138" s="27">
        <v>45916</v>
      </c>
      <c r="B2138" s="80">
        <v>2025</v>
      </c>
      <c r="C2138" s="80">
        <v>9</v>
      </c>
      <c r="D2138" s="30" t="s">
        <v>63</v>
      </c>
      <c r="E2138" s="30" t="s">
        <v>50</v>
      </c>
      <c r="F2138" s="30" t="s">
        <v>55</v>
      </c>
      <c r="G2138" s="33">
        <v>7.4173200000000001</v>
      </c>
      <c r="H2138" s="83" t="s">
        <v>88</v>
      </c>
    </row>
    <row r="2139" spans="1:8" ht="16.5" customHeight="1" x14ac:dyDescent="0.25">
      <c r="A2139" s="27">
        <v>45916</v>
      </c>
      <c r="B2139" s="80">
        <v>2025</v>
      </c>
      <c r="C2139" s="80">
        <v>9</v>
      </c>
      <c r="D2139" s="30" t="s">
        <v>63</v>
      </c>
      <c r="E2139" s="30" t="s">
        <v>50</v>
      </c>
      <c r="F2139" s="30" t="s">
        <v>58</v>
      </c>
      <c r="G2139" s="33">
        <v>38.975360000000002</v>
      </c>
      <c r="H2139" s="83" t="s">
        <v>88</v>
      </c>
    </row>
    <row r="2140" spans="1:8" ht="16.5" customHeight="1" x14ac:dyDescent="0.25">
      <c r="A2140" s="27">
        <v>45916</v>
      </c>
      <c r="B2140" s="80">
        <v>2025</v>
      </c>
      <c r="C2140" s="80">
        <v>9</v>
      </c>
      <c r="D2140" s="30" t="s">
        <v>63</v>
      </c>
      <c r="E2140" s="30" t="s">
        <v>54</v>
      </c>
      <c r="F2140" s="30" t="s">
        <v>43</v>
      </c>
      <c r="G2140" s="33">
        <v>4.8525</v>
      </c>
      <c r="H2140" s="83" t="s">
        <v>88</v>
      </c>
    </row>
    <row r="2141" spans="1:8" ht="16.5" customHeight="1" x14ac:dyDescent="0.25">
      <c r="A2141" s="27">
        <v>45916</v>
      </c>
      <c r="B2141" s="80">
        <v>2025</v>
      </c>
      <c r="C2141" s="80">
        <v>9</v>
      </c>
      <c r="D2141" s="30" t="s">
        <v>63</v>
      </c>
      <c r="E2141" s="30" t="s">
        <v>71</v>
      </c>
      <c r="F2141" s="30" t="s">
        <v>43</v>
      </c>
      <c r="G2141" s="33">
        <v>2.6875</v>
      </c>
      <c r="H2141" s="83" t="s">
        <v>89</v>
      </c>
    </row>
    <row r="2142" spans="1:8" ht="16.5" customHeight="1" x14ac:dyDescent="0.25">
      <c r="A2142" s="27">
        <v>45916</v>
      </c>
      <c r="B2142" s="80">
        <v>2025</v>
      </c>
      <c r="C2142" s="80">
        <v>9</v>
      </c>
      <c r="D2142" s="30" t="s">
        <v>63</v>
      </c>
      <c r="E2142" s="30" t="s">
        <v>75</v>
      </c>
      <c r="F2142" s="30" t="s">
        <v>43</v>
      </c>
      <c r="G2142" s="33">
        <v>5.48530125</v>
      </c>
      <c r="H2142" s="83" t="s">
        <v>48</v>
      </c>
    </row>
    <row r="2143" spans="1:8" ht="16.5" customHeight="1" x14ac:dyDescent="0.25">
      <c r="A2143" s="27">
        <v>45917</v>
      </c>
      <c r="B2143" s="80">
        <v>2025</v>
      </c>
      <c r="C2143" s="80">
        <v>9</v>
      </c>
      <c r="D2143" s="30" t="s">
        <v>63</v>
      </c>
      <c r="E2143" s="30" t="s">
        <v>38</v>
      </c>
      <c r="F2143" s="30" t="s">
        <v>43</v>
      </c>
      <c r="G2143" s="33">
        <v>3.5822120000000002</v>
      </c>
      <c r="H2143" s="83" t="s">
        <v>88</v>
      </c>
    </row>
    <row r="2144" spans="1:8" ht="16.5" customHeight="1" x14ac:dyDescent="0.25">
      <c r="A2144" s="27">
        <v>45917</v>
      </c>
      <c r="B2144" s="80">
        <v>2025</v>
      </c>
      <c r="C2144" s="80">
        <v>9</v>
      </c>
      <c r="D2144" s="30" t="s">
        <v>63</v>
      </c>
      <c r="E2144" s="30" t="s">
        <v>38</v>
      </c>
      <c r="F2144" s="30" t="s">
        <v>58</v>
      </c>
      <c r="G2144" s="33">
        <v>0.61706680000000003</v>
      </c>
      <c r="H2144" s="83" t="s">
        <v>88</v>
      </c>
    </row>
    <row r="2145" spans="1:8" ht="16.5" customHeight="1" x14ac:dyDescent="0.25">
      <c r="A2145" s="27">
        <v>45917</v>
      </c>
      <c r="B2145" s="80">
        <v>2025</v>
      </c>
      <c r="C2145" s="80">
        <v>9</v>
      </c>
      <c r="D2145" s="30" t="s">
        <v>63</v>
      </c>
      <c r="E2145" s="30" t="s">
        <v>42</v>
      </c>
      <c r="F2145" s="30" t="s">
        <v>43</v>
      </c>
      <c r="G2145" s="33">
        <v>2.3119999999999998</v>
      </c>
      <c r="H2145" s="83" t="s">
        <v>88</v>
      </c>
    </row>
    <row r="2146" spans="1:8" ht="16.5" customHeight="1" x14ac:dyDescent="0.25">
      <c r="A2146" s="27">
        <v>45917</v>
      </c>
      <c r="B2146" s="80">
        <v>2025</v>
      </c>
      <c r="C2146" s="80">
        <v>9</v>
      </c>
      <c r="D2146" s="30" t="s">
        <v>63</v>
      </c>
      <c r="E2146" s="30" t="s">
        <v>46</v>
      </c>
      <c r="F2146" s="30" t="s">
        <v>43</v>
      </c>
      <c r="G2146" s="33">
        <v>2.801142</v>
      </c>
      <c r="H2146" s="83" t="s">
        <v>88</v>
      </c>
    </row>
    <row r="2147" spans="1:8" ht="16.5" customHeight="1" x14ac:dyDescent="0.25">
      <c r="A2147" s="27">
        <v>45917</v>
      </c>
      <c r="B2147" s="80">
        <v>2025</v>
      </c>
      <c r="C2147" s="80">
        <v>9</v>
      </c>
      <c r="D2147" s="30" t="s">
        <v>63</v>
      </c>
      <c r="E2147" s="30" t="s">
        <v>46</v>
      </c>
      <c r="F2147" s="30" t="s">
        <v>58</v>
      </c>
      <c r="G2147" s="33">
        <v>0.4039875</v>
      </c>
      <c r="H2147" s="83" t="s">
        <v>88</v>
      </c>
    </row>
    <row r="2148" spans="1:8" ht="16.5" customHeight="1" x14ac:dyDescent="0.25">
      <c r="A2148" s="27">
        <v>45917</v>
      </c>
      <c r="B2148" s="80">
        <v>2025</v>
      </c>
      <c r="C2148" s="80">
        <v>9</v>
      </c>
      <c r="D2148" s="30" t="s">
        <v>63</v>
      </c>
      <c r="E2148" s="30" t="s">
        <v>50</v>
      </c>
      <c r="F2148" s="30" t="s">
        <v>43</v>
      </c>
      <c r="G2148" s="33">
        <v>34.368038050000003</v>
      </c>
      <c r="H2148" s="83" t="s">
        <v>88</v>
      </c>
    </row>
    <row r="2149" spans="1:8" ht="16.5" customHeight="1" x14ac:dyDescent="0.25">
      <c r="A2149" s="27">
        <v>45917</v>
      </c>
      <c r="B2149" s="80">
        <v>2025</v>
      </c>
      <c r="C2149" s="80">
        <v>9</v>
      </c>
      <c r="D2149" s="30" t="s">
        <v>63</v>
      </c>
      <c r="E2149" s="30" t="s">
        <v>50</v>
      </c>
      <c r="F2149" s="30" t="s">
        <v>47</v>
      </c>
      <c r="G2149" s="33">
        <v>1.8235425000000001</v>
      </c>
      <c r="H2149" s="83" t="s">
        <v>88</v>
      </c>
    </row>
    <row r="2150" spans="1:8" ht="16.5" customHeight="1" x14ac:dyDescent="0.25">
      <c r="A2150" s="27">
        <v>45917</v>
      </c>
      <c r="B2150" s="80">
        <v>2025</v>
      </c>
      <c r="C2150" s="80">
        <v>9</v>
      </c>
      <c r="D2150" s="30" t="s">
        <v>63</v>
      </c>
      <c r="E2150" s="30" t="s">
        <v>50</v>
      </c>
      <c r="F2150" s="30" t="s">
        <v>55</v>
      </c>
      <c r="G2150" s="33">
        <v>0.47699999999999998</v>
      </c>
      <c r="H2150" s="83" t="s">
        <v>88</v>
      </c>
    </row>
    <row r="2151" spans="1:8" ht="16.5" customHeight="1" x14ac:dyDescent="0.25">
      <c r="A2151" s="27">
        <v>45917</v>
      </c>
      <c r="B2151" s="80">
        <v>2025</v>
      </c>
      <c r="C2151" s="80">
        <v>9</v>
      </c>
      <c r="D2151" s="30" t="s">
        <v>63</v>
      </c>
      <c r="E2151" s="30" t="s">
        <v>50</v>
      </c>
      <c r="F2151" s="30" t="s">
        <v>58</v>
      </c>
      <c r="G2151" s="33">
        <v>4.5492281999999999</v>
      </c>
      <c r="H2151" s="83" t="s">
        <v>88</v>
      </c>
    </row>
    <row r="2152" spans="1:8" ht="16.5" customHeight="1" x14ac:dyDescent="0.25">
      <c r="A2152" s="27">
        <v>45917</v>
      </c>
      <c r="B2152" s="80">
        <v>2025</v>
      </c>
      <c r="C2152" s="80">
        <v>9</v>
      </c>
      <c r="D2152" s="30" t="s">
        <v>63</v>
      </c>
      <c r="E2152" s="30" t="s">
        <v>54</v>
      </c>
      <c r="F2152" s="30" t="s">
        <v>43</v>
      </c>
      <c r="G2152" s="33">
        <v>1.71</v>
      </c>
      <c r="H2152" s="83" t="s">
        <v>88</v>
      </c>
    </row>
    <row r="2153" spans="1:8" ht="16.5" customHeight="1" x14ac:dyDescent="0.25">
      <c r="A2153" s="27">
        <v>45917</v>
      </c>
      <c r="B2153" s="80">
        <v>2025</v>
      </c>
      <c r="C2153" s="80">
        <v>9</v>
      </c>
      <c r="D2153" s="30" t="s">
        <v>63</v>
      </c>
      <c r="E2153" s="30" t="s">
        <v>61</v>
      </c>
      <c r="F2153" s="30" t="s">
        <v>43</v>
      </c>
      <c r="G2153" s="33">
        <v>3.96</v>
      </c>
      <c r="H2153" s="83" t="s">
        <v>89</v>
      </c>
    </row>
    <row r="2154" spans="1:8" ht="16.5" customHeight="1" x14ac:dyDescent="0.25">
      <c r="A2154" s="27">
        <v>45917</v>
      </c>
      <c r="B2154" s="80">
        <v>2025</v>
      </c>
      <c r="C2154" s="80">
        <v>9</v>
      </c>
      <c r="D2154" s="30" t="s">
        <v>63</v>
      </c>
      <c r="E2154" s="30" t="s">
        <v>66</v>
      </c>
      <c r="F2154" s="30" t="s">
        <v>43</v>
      </c>
      <c r="G2154" s="33">
        <v>0.84</v>
      </c>
      <c r="H2154" s="83" t="s">
        <v>89</v>
      </c>
    </row>
    <row r="2155" spans="1:8" ht="16.5" customHeight="1" x14ac:dyDescent="0.25">
      <c r="A2155" s="27">
        <v>45917</v>
      </c>
      <c r="B2155" s="80">
        <v>2025</v>
      </c>
      <c r="C2155" s="80">
        <v>9</v>
      </c>
      <c r="D2155" s="30" t="s">
        <v>63</v>
      </c>
      <c r="E2155" s="30" t="s">
        <v>68</v>
      </c>
      <c r="F2155" s="30" t="s">
        <v>43</v>
      </c>
      <c r="G2155" s="33">
        <v>2.1150000000000002</v>
      </c>
      <c r="H2155" s="83" t="s">
        <v>89</v>
      </c>
    </row>
    <row r="2156" spans="1:8" ht="16.5" customHeight="1" x14ac:dyDescent="0.25">
      <c r="A2156" s="27">
        <v>45917</v>
      </c>
      <c r="B2156" s="80">
        <v>2025</v>
      </c>
      <c r="C2156" s="80">
        <v>9</v>
      </c>
      <c r="D2156" s="30" t="s">
        <v>63</v>
      </c>
      <c r="E2156" s="30" t="s">
        <v>71</v>
      </c>
      <c r="F2156" s="30" t="s">
        <v>39</v>
      </c>
      <c r="G2156" s="33">
        <v>3.9276930000000001</v>
      </c>
      <c r="H2156" s="83" t="s">
        <v>89</v>
      </c>
    </row>
    <row r="2157" spans="1:8" ht="16.5" customHeight="1" x14ac:dyDescent="0.25">
      <c r="A2157" s="27">
        <v>45918</v>
      </c>
      <c r="B2157" s="80">
        <v>2025</v>
      </c>
      <c r="C2157" s="80">
        <v>9</v>
      </c>
      <c r="D2157" s="30" t="s">
        <v>63</v>
      </c>
      <c r="E2157" s="30" t="s">
        <v>38</v>
      </c>
      <c r="F2157" s="30" t="s">
        <v>43</v>
      </c>
      <c r="G2157" s="33">
        <v>41.548000000000002</v>
      </c>
      <c r="H2157" s="83" t="s">
        <v>88</v>
      </c>
    </row>
    <row r="2158" spans="1:8" ht="16.5" customHeight="1" x14ac:dyDescent="0.25">
      <c r="A2158" s="27">
        <v>45918</v>
      </c>
      <c r="B2158" s="80">
        <v>2025</v>
      </c>
      <c r="C2158" s="80">
        <v>9</v>
      </c>
      <c r="D2158" s="30" t="s">
        <v>63</v>
      </c>
      <c r="E2158" s="30" t="s">
        <v>42</v>
      </c>
      <c r="F2158" s="30" t="s">
        <v>43</v>
      </c>
      <c r="G2158" s="33">
        <v>18.91</v>
      </c>
      <c r="H2158" s="83" t="s">
        <v>88</v>
      </c>
    </row>
    <row r="2159" spans="1:8" ht="16.5" customHeight="1" x14ac:dyDescent="0.25">
      <c r="A2159" s="27">
        <v>45918</v>
      </c>
      <c r="B2159" s="80">
        <v>2025</v>
      </c>
      <c r="C2159" s="80">
        <v>9</v>
      </c>
      <c r="D2159" s="30" t="s">
        <v>63</v>
      </c>
      <c r="E2159" s="30" t="s">
        <v>46</v>
      </c>
      <c r="F2159" s="30" t="s">
        <v>43</v>
      </c>
      <c r="G2159" s="33">
        <v>0.58868900000000002</v>
      </c>
      <c r="H2159" s="83" t="s">
        <v>88</v>
      </c>
    </row>
    <row r="2160" spans="1:8" ht="16.5" customHeight="1" x14ac:dyDescent="0.25">
      <c r="A2160" s="27">
        <v>45918</v>
      </c>
      <c r="B2160" s="80">
        <v>2025</v>
      </c>
      <c r="C2160" s="80">
        <v>9</v>
      </c>
      <c r="D2160" s="30" t="s">
        <v>63</v>
      </c>
      <c r="E2160" s="30" t="s">
        <v>46</v>
      </c>
      <c r="F2160" s="30" t="s">
        <v>47</v>
      </c>
      <c r="G2160" s="33">
        <v>0.14738709999999999</v>
      </c>
      <c r="H2160" s="83" t="s">
        <v>88</v>
      </c>
    </row>
    <row r="2161" spans="1:8" ht="16.5" customHeight="1" x14ac:dyDescent="0.25">
      <c r="A2161" s="27">
        <v>45918</v>
      </c>
      <c r="B2161" s="80">
        <v>2025</v>
      </c>
      <c r="C2161" s="80">
        <v>9</v>
      </c>
      <c r="D2161" s="30" t="s">
        <v>63</v>
      </c>
      <c r="E2161" s="30" t="s">
        <v>46</v>
      </c>
      <c r="F2161" s="30" t="s">
        <v>58</v>
      </c>
      <c r="G2161" s="33">
        <v>0.94737000000000005</v>
      </c>
      <c r="H2161" s="83" t="s">
        <v>88</v>
      </c>
    </row>
    <row r="2162" spans="1:8" ht="16.5" customHeight="1" x14ac:dyDescent="0.25">
      <c r="A2162" s="27">
        <v>45918</v>
      </c>
      <c r="B2162" s="80">
        <v>2025</v>
      </c>
      <c r="C2162" s="80">
        <v>9</v>
      </c>
      <c r="D2162" s="30" t="s">
        <v>63</v>
      </c>
      <c r="E2162" s="30" t="s">
        <v>50</v>
      </c>
      <c r="F2162" s="30" t="s">
        <v>43</v>
      </c>
      <c r="G2162" s="33">
        <v>43.537268599999997</v>
      </c>
      <c r="H2162" s="83" t="s">
        <v>88</v>
      </c>
    </row>
    <row r="2163" spans="1:8" ht="16.5" customHeight="1" x14ac:dyDescent="0.25">
      <c r="A2163" s="27">
        <v>45918</v>
      </c>
      <c r="B2163" s="80">
        <v>2025</v>
      </c>
      <c r="C2163" s="80">
        <v>9</v>
      </c>
      <c r="D2163" s="30" t="s">
        <v>63</v>
      </c>
      <c r="E2163" s="30" t="s">
        <v>50</v>
      </c>
      <c r="F2163" s="30" t="s">
        <v>51</v>
      </c>
      <c r="G2163" s="33">
        <v>0.374</v>
      </c>
      <c r="H2163" s="83" t="s">
        <v>88</v>
      </c>
    </row>
    <row r="2164" spans="1:8" ht="16.5" customHeight="1" x14ac:dyDescent="0.25">
      <c r="A2164" s="27">
        <v>45918</v>
      </c>
      <c r="B2164" s="80">
        <v>2025</v>
      </c>
      <c r="C2164" s="80">
        <v>9</v>
      </c>
      <c r="D2164" s="30" t="s">
        <v>63</v>
      </c>
      <c r="E2164" s="30" t="s">
        <v>54</v>
      </c>
      <c r="F2164" s="30" t="s">
        <v>43</v>
      </c>
      <c r="G2164" s="33">
        <v>2.70825</v>
      </c>
      <c r="H2164" s="83" t="s">
        <v>88</v>
      </c>
    </row>
    <row r="2165" spans="1:8" ht="16.5" customHeight="1" x14ac:dyDescent="0.25">
      <c r="A2165" s="27">
        <v>45918</v>
      </c>
      <c r="B2165" s="80">
        <v>2025</v>
      </c>
      <c r="C2165" s="80">
        <v>9</v>
      </c>
      <c r="D2165" s="30" t="s">
        <v>63</v>
      </c>
      <c r="E2165" s="30" t="s">
        <v>61</v>
      </c>
      <c r="F2165" s="30" t="s">
        <v>43</v>
      </c>
      <c r="G2165" s="33">
        <v>1.9475</v>
      </c>
      <c r="H2165" s="83" t="s">
        <v>89</v>
      </c>
    </row>
    <row r="2166" spans="1:8" ht="16.5" customHeight="1" x14ac:dyDescent="0.25">
      <c r="A2166" s="27">
        <v>45918</v>
      </c>
      <c r="B2166" s="80">
        <v>2025</v>
      </c>
      <c r="C2166" s="80">
        <v>9</v>
      </c>
      <c r="D2166" s="30" t="s">
        <v>63</v>
      </c>
      <c r="E2166" s="30" t="s">
        <v>66</v>
      </c>
      <c r="F2166" s="30" t="s">
        <v>43</v>
      </c>
      <c r="G2166" s="33">
        <v>0.42</v>
      </c>
      <c r="H2166" s="83" t="s">
        <v>89</v>
      </c>
    </row>
    <row r="2167" spans="1:8" ht="16.5" customHeight="1" x14ac:dyDescent="0.25">
      <c r="A2167" s="27">
        <v>45919</v>
      </c>
      <c r="B2167" s="80">
        <v>2025</v>
      </c>
      <c r="C2167" s="80">
        <v>9</v>
      </c>
      <c r="D2167" s="30" t="s">
        <v>63</v>
      </c>
      <c r="E2167" s="30" t="s">
        <v>38</v>
      </c>
      <c r="F2167" s="30" t="s">
        <v>43</v>
      </c>
      <c r="G2167" s="33">
        <v>1.19</v>
      </c>
      <c r="H2167" s="83" t="s">
        <v>88</v>
      </c>
    </row>
    <row r="2168" spans="1:8" ht="16.5" customHeight="1" x14ac:dyDescent="0.25">
      <c r="A2168" s="27">
        <v>45919</v>
      </c>
      <c r="B2168" s="80">
        <v>2025</v>
      </c>
      <c r="C2168" s="80">
        <v>9</v>
      </c>
      <c r="D2168" s="30" t="s">
        <v>63</v>
      </c>
      <c r="E2168" s="30" t="s">
        <v>38</v>
      </c>
      <c r="F2168" s="30" t="s">
        <v>58</v>
      </c>
      <c r="G2168" s="33">
        <v>3.8668800000000001</v>
      </c>
      <c r="H2168" s="83" t="s">
        <v>88</v>
      </c>
    </row>
    <row r="2169" spans="1:8" ht="16.5" customHeight="1" x14ac:dyDescent="0.25">
      <c r="A2169" s="27">
        <v>45919</v>
      </c>
      <c r="B2169" s="80">
        <v>2025</v>
      </c>
      <c r="C2169" s="80">
        <v>9</v>
      </c>
      <c r="D2169" s="30" t="s">
        <v>63</v>
      </c>
      <c r="E2169" s="30" t="s">
        <v>42</v>
      </c>
      <c r="F2169" s="30" t="s">
        <v>43</v>
      </c>
      <c r="G2169" s="33">
        <v>5.8448000000000002</v>
      </c>
      <c r="H2169" s="83" t="s">
        <v>88</v>
      </c>
    </row>
    <row r="2170" spans="1:8" ht="16.5" customHeight="1" x14ac:dyDescent="0.25">
      <c r="A2170" s="27">
        <v>45919</v>
      </c>
      <c r="B2170" s="80">
        <v>2025</v>
      </c>
      <c r="C2170" s="80">
        <v>9</v>
      </c>
      <c r="D2170" s="30" t="s">
        <v>63</v>
      </c>
      <c r="E2170" s="30" t="s">
        <v>42</v>
      </c>
      <c r="F2170" s="30" t="s">
        <v>55</v>
      </c>
      <c r="G2170" s="33">
        <v>0.72</v>
      </c>
      <c r="H2170" s="83" t="s">
        <v>88</v>
      </c>
    </row>
    <row r="2171" spans="1:8" ht="16.5" customHeight="1" x14ac:dyDescent="0.25">
      <c r="A2171" s="27">
        <v>45919</v>
      </c>
      <c r="B2171" s="80">
        <v>2025</v>
      </c>
      <c r="C2171" s="80">
        <v>9</v>
      </c>
      <c r="D2171" s="30" t="s">
        <v>63</v>
      </c>
      <c r="E2171" s="30" t="s">
        <v>46</v>
      </c>
      <c r="F2171" s="30" t="s">
        <v>43</v>
      </c>
      <c r="G2171" s="33">
        <v>10.940166</v>
      </c>
      <c r="H2171" s="83" t="s">
        <v>88</v>
      </c>
    </row>
    <row r="2172" spans="1:8" ht="16.5" customHeight="1" x14ac:dyDescent="0.25">
      <c r="A2172" s="27">
        <v>45919</v>
      </c>
      <c r="B2172" s="80">
        <v>2025</v>
      </c>
      <c r="C2172" s="80">
        <v>9</v>
      </c>
      <c r="D2172" s="30" t="s">
        <v>63</v>
      </c>
      <c r="E2172" s="30" t="s">
        <v>46</v>
      </c>
      <c r="F2172" s="30" t="s">
        <v>47</v>
      </c>
      <c r="G2172" s="33">
        <v>0.33165600000000001</v>
      </c>
      <c r="H2172" s="83" t="s">
        <v>88</v>
      </c>
    </row>
    <row r="2173" spans="1:8" ht="16.5" customHeight="1" x14ac:dyDescent="0.25">
      <c r="A2173" s="27">
        <v>45919</v>
      </c>
      <c r="B2173" s="80">
        <v>2025</v>
      </c>
      <c r="C2173" s="80">
        <v>9</v>
      </c>
      <c r="D2173" s="30" t="s">
        <v>63</v>
      </c>
      <c r="E2173" s="30" t="s">
        <v>50</v>
      </c>
      <c r="F2173" s="30" t="s">
        <v>43</v>
      </c>
      <c r="G2173" s="33">
        <v>53.649923200000003</v>
      </c>
      <c r="H2173" s="83" t="s">
        <v>88</v>
      </c>
    </row>
    <row r="2174" spans="1:8" ht="16.5" customHeight="1" x14ac:dyDescent="0.25">
      <c r="A2174" s="27">
        <v>45919</v>
      </c>
      <c r="B2174" s="80">
        <v>2025</v>
      </c>
      <c r="C2174" s="80">
        <v>9</v>
      </c>
      <c r="D2174" s="30" t="s">
        <v>63</v>
      </c>
      <c r="E2174" s="30" t="s">
        <v>50</v>
      </c>
      <c r="F2174" s="30" t="s">
        <v>55</v>
      </c>
      <c r="G2174" s="33">
        <v>0.57499199999999995</v>
      </c>
      <c r="H2174" s="83" t="s">
        <v>88</v>
      </c>
    </row>
    <row r="2175" spans="1:8" ht="16.5" customHeight="1" x14ac:dyDescent="0.25">
      <c r="A2175" s="27">
        <v>45919</v>
      </c>
      <c r="B2175" s="80">
        <v>2025</v>
      </c>
      <c r="C2175" s="80">
        <v>9</v>
      </c>
      <c r="D2175" s="30" t="s">
        <v>63</v>
      </c>
      <c r="E2175" s="30" t="s">
        <v>54</v>
      </c>
      <c r="F2175" s="30" t="s">
        <v>43</v>
      </c>
      <c r="G2175" s="33">
        <v>2.7949999999999999</v>
      </c>
      <c r="H2175" s="83" t="s">
        <v>88</v>
      </c>
    </row>
    <row r="2176" spans="1:8" ht="16.5" customHeight="1" x14ac:dyDescent="0.25">
      <c r="A2176" s="27">
        <v>45919</v>
      </c>
      <c r="B2176" s="80">
        <v>2025</v>
      </c>
      <c r="C2176" s="80">
        <v>9</v>
      </c>
      <c r="D2176" s="30" t="s">
        <v>63</v>
      </c>
      <c r="E2176" s="30" t="s">
        <v>61</v>
      </c>
      <c r="F2176" s="30" t="s">
        <v>43</v>
      </c>
      <c r="G2176" s="33">
        <v>32.908000000000001</v>
      </c>
      <c r="H2176" s="83" t="s">
        <v>89</v>
      </c>
    </row>
    <row r="2177" spans="1:8" ht="16.5" customHeight="1" x14ac:dyDescent="0.25">
      <c r="A2177" s="27">
        <v>45919</v>
      </c>
      <c r="B2177" s="80">
        <v>2025</v>
      </c>
      <c r="C2177" s="80">
        <v>9</v>
      </c>
      <c r="D2177" s="30" t="s">
        <v>63</v>
      </c>
      <c r="E2177" s="30" t="s">
        <v>66</v>
      </c>
      <c r="F2177" s="30" t="s">
        <v>43</v>
      </c>
      <c r="G2177" s="33">
        <v>1.456</v>
      </c>
      <c r="H2177" s="83" t="s">
        <v>89</v>
      </c>
    </row>
    <row r="2178" spans="1:8" ht="16.5" customHeight="1" x14ac:dyDescent="0.25">
      <c r="A2178" s="27">
        <v>45919</v>
      </c>
      <c r="B2178" s="80">
        <v>2025</v>
      </c>
      <c r="C2178" s="80">
        <v>9</v>
      </c>
      <c r="D2178" s="30" t="s">
        <v>63</v>
      </c>
      <c r="E2178" s="30" t="s">
        <v>71</v>
      </c>
      <c r="F2178" s="30" t="s">
        <v>39</v>
      </c>
      <c r="G2178" s="33">
        <v>1.01</v>
      </c>
      <c r="H2178" s="83" t="s">
        <v>89</v>
      </c>
    </row>
    <row r="2179" spans="1:8" ht="16.5" customHeight="1" x14ac:dyDescent="0.25">
      <c r="A2179" s="27">
        <v>45919</v>
      </c>
      <c r="B2179" s="80">
        <v>2025</v>
      </c>
      <c r="C2179" s="80">
        <v>9</v>
      </c>
      <c r="D2179" s="30" t="s">
        <v>63</v>
      </c>
      <c r="E2179" s="30" t="s">
        <v>76</v>
      </c>
      <c r="F2179" s="30" t="s">
        <v>43</v>
      </c>
      <c r="G2179" s="33">
        <v>2.8559999999999999</v>
      </c>
      <c r="H2179" s="83" t="s">
        <v>48</v>
      </c>
    </row>
    <row r="2180" spans="1:8" ht="16.5" customHeight="1" x14ac:dyDescent="0.25">
      <c r="A2180" s="27">
        <v>45922</v>
      </c>
      <c r="B2180" s="80">
        <v>2025</v>
      </c>
      <c r="C2180" s="80">
        <v>9</v>
      </c>
      <c r="D2180" s="30" t="s">
        <v>63</v>
      </c>
      <c r="E2180" s="30" t="s">
        <v>38</v>
      </c>
      <c r="F2180" s="30" t="s">
        <v>43</v>
      </c>
      <c r="G2180" s="33">
        <v>13.27857</v>
      </c>
      <c r="H2180" s="83" t="s">
        <v>88</v>
      </c>
    </row>
    <row r="2181" spans="1:8" ht="16.5" customHeight="1" x14ac:dyDescent="0.25">
      <c r="A2181" s="27">
        <v>45922</v>
      </c>
      <c r="B2181" s="80">
        <v>2025</v>
      </c>
      <c r="C2181" s="80">
        <v>9</v>
      </c>
      <c r="D2181" s="30" t="s">
        <v>63</v>
      </c>
      <c r="E2181" s="30" t="s">
        <v>38</v>
      </c>
      <c r="F2181" s="30" t="s">
        <v>55</v>
      </c>
      <c r="G2181" s="33">
        <v>1.2888999999999999</v>
      </c>
      <c r="H2181" s="83" t="s">
        <v>88</v>
      </c>
    </row>
    <row r="2182" spans="1:8" ht="16.5" customHeight="1" x14ac:dyDescent="0.25">
      <c r="A2182" s="27">
        <v>45922</v>
      </c>
      <c r="B2182" s="80">
        <v>2025</v>
      </c>
      <c r="C2182" s="80">
        <v>9</v>
      </c>
      <c r="D2182" s="30" t="s">
        <v>63</v>
      </c>
      <c r="E2182" s="30" t="s">
        <v>42</v>
      </c>
      <c r="F2182" s="30" t="s">
        <v>43</v>
      </c>
      <c r="G2182" s="33">
        <v>5.7153999999999998</v>
      </c>
      <c r="H2182" s="83" t="s">
        <v>88</v>
      </c>
    </row>
    <row r="2183" spans="1:8" ht="16.5" customHeight="1" x14ac:dyDescent="0.25">
      <c r="A2183" s="27">
        <v>45922</v>
      </c>
      <c r="B2183" s="80">
        <v>2025</v>
      </c>
      <c r="C2183" s="80">
        <v>9</v>
      </c>
      <c r="D2183" s="30" t="s">
        <v>63</v>
      </c>
      <c r="E2183" s="30" t="s">
        <v>42</v>
      </c>
      <c r="F2183" s="30" t="s">
        <v>55</v>
      </c>
      <c r="G2183" s="33">
        <v>1.3</v>
      </c>
      <c r="H2183" s="83" t="s">
        <v>88</v>
      </c>
    </row>
    <row r="2184" spans="1:8" ht="16.5" customHeight="1" x14ac:dyDescent="0.25">
      <c r="A2184" s="27">
        <v>45922</v>
      </c>
      <c r="B2184" s="80">
        <v>2025</v>
      </c>
      <c r="C2184" s="80">
        <v>9</v>
      </c>
      <c r="D2184" s="30" t="s">
        <v>63</v>
      </c>
      <c r="E2184" s="30" t="s">
        <v>46</v>
      </c>
      <c r="F2184" s="30" t="s">
        <v>43</v>
      </c>
      <c r="G2184" s="33">
        <v>0.34125</v>
      </c>
      <c r="H2184" s="83" t="s">
        <v>88</v>
      </c>
    </row>
    <row r="2185" spans="1:8" ht="16.5" customHeight="1" x14ac:dyDescent="0.25">
      <c r="A2185" s="27">
        <v>45922</v>
      </c>
      <c r="B2185" s="80">
        <v>2025</v>
      </c>
      <c r="C2185" s="80">
        <v>9</v>
      </c>
      <c r="D2185" s="30" t="s">
        <v>63</v>
      </c>
      <c r="E2185" s="30" t="s">
        <v>46</v>
      </c>
      <c r="F2185" s="30" t="s">
        <v>58</v>
      </c>
      <c r="G2185" s="33">
        <v>0.41908424999999999</v>
      </c>
      <c r="H2185" s="83" t="s">
        <v>88</v>
      </c>
    </row>
    <row r="2186" spans="1:8" ht="16.5" customHeight="1" x14ac:dyDescent="0.25">
      <c r="A2186" s="27">
        <v>45922</v>
      </c>
      <c r="B2186" s="80">
        <v>2025</v>
      </c>
      <c r="C2186" s="80">
        <v>9</v>
      </c>
      <c r="D2186" s="30" t="s">
        <v>63</v>
      </c>
      <c r="E2186" s="30" t="s">
        <v>50</v>
      </c>
      <c r="F2186" s="30" t="s">
        <v>43</v>
      </c>
      <c r="G2186" s="33">
        <v>6.9162612499999998</v>
      </c>
      <c r="H2186" s="83" t="s">
        <v>88</v>
      </c>
    </row>
    <row r="2187" spans="1:8" ht="16.5" customHeight="1" x14ac:dyDescent="0.25">
      <c r="A2187" s="27">
        <v>45922</v>
      </c>
      <c r="B2187" s="80">
        <v>2025</v>
      </c>
      <c r="C2187" s="80">
        <v>9</v>
      </c>
      <c r="D2187" s="30" t="s">
        <v>63</v>
      </c>
      <c r="E2187" s="30" t="s">
        <v>50</v>
      </c>
      <c r="F2187" s="30" t="s">
        <v>47</v>
      </c>
      <c r="G2187" s="33">
        <v>2.1453000000000002</v>
      </c>
      <c r="H2187" s="83" t="s">
        <v>88</v>
      </c>
    </row>
    <row r="2188" spans="1:8" ht="16.5" customHeight="1" x14ac:dyDescent="0.25">
      <c r="A2188" s="27">
        <v>45922</v>
      </c>
      <c r="B2188" s="80">
        <v>2025</v>
      </c>
      <c r="C2188" s="80">
        <v>9</v>
      </c>
      <c r="D2188" s="30" t="s">
        <v>63</v>
      </c>
      <c r="E2188" s="30" t="s">
        <v>50</v>
      </c>
      <c r="F2188" s="30" t="s">
        <v>51</v>
      </c>
      <c r="G2188" s="33">
        <v>0.25074999999999997</v>
      </c>
      <c r="H2188" s="83" t="s">
        <v>88</v>
      </c>
    </row>
    <row r="2189" spans="1:8" ht="16.5" customHeight="1" x14ac:dyDescent="0.25">
      <c r="A2189" s="27">
        <v>45922</v>
      </c>
      <c r="B2189" s="80">
        <v>2025</v>
      </c>
      <c r="C2189" s="80">
        <v>9</v>
      </c>
      <c r="D2189" s="30" t="s">
        <v>63</v>
      </c>
      <c r="E2189" s="30" t="s">
        <v>50</v>
      </c>
      <c r="F2189" s="30" t="s">
        <v>55</v>
      </c>
      <c r="G2189" s="33">
        <v>0.23849999999999999</v>
      </c>
      <c r="H2189" s="83" t="s">
        <v>88</v>
      </c>
    </row>
    <row r="2190" spans="1:8" ht="16.5" customHeight="1" x14ac:dyDescent="0.25">
      <c r="A2190" s="27">
        <v>45922</v>
      </c>
      <c r="B2190" s="80">
        <v>2025</v>
      </c>
      <c r="C2190" s="80">
        <v>9</v>
      </c>
      <c r="D2190" s="30" t="s">
        <v>63</v>
      </c>
      <c r="E2190" s="30" t="s">
        <v>50</v>
      </c>
      <c r="F2190" s="30" t="s">
        <v>58</v>
      </c>
      <c r="G2190" s="33">
        <v>1.91679675</v>
      </c>
      <c r="H2190" s="83" t="s">
        <v>88</v>
      </c>
    </row>
    <row r="2191" spans="1:8" ht="16.5" customHeight="1" x14ac:dyDescent="0.25">
      <c r="A2191" s="27">
        <v>45922</v>
      </c>
      <c r="B2191" s="80">
        <v>2025</v>
      </c>
      <c r="C2191" s="80">
        <v>9</v>
      </c>
      <c r="D2191" s="30" t="s">
        <v>63</v>
      </c>
      <c r="E2191" s="30" t="s">
        <v>54</v>
      </c>
      <c r="F2191" s="30" t="s">
        <v>43</v>
      </c>
      <c r="G2191" s="33">
        <v>4.0860000000000003</v>
      </c>
      <c r="H2191" s="83" t="s">
        <v>88</v>
      </c>
    </row>
    <row r="2192" spans="1:8" ht="16.5" customHeight="1" x14ac:dyDescent="0.25">
      <c r="A2192" s="27">
        <v>45922</v>
      </c>
      <c r="B2192" s="80">
        <v>2025</v>
      </c>
      <c r="C2192" s="80">
        <v>9</v>
      </c>
      <c r="D2192" s="30" t="s">
        <v>63</v>
      </c>
      <c r="E2192" s="30" t="s">
        <v>54</v>
      </c>
      <c r="F2192" s="30" t="s">
        <v>47</v>
      </c>
      <c r="G2192" s="33">
        <v>0.39</v>
      </c>
      <c r="H2192" s="83" t="s">
        <v>88</v>
      </c>
    </row>
    <row r="2193" spans="1:8" ht="16.5" customHeight="1" x14ac:dyDescent="0.25">
      <c r="A2193" s="27">
        <v>45922</v>
      </c>
      <c r="B2193" s="80">
        <v>2025</v>
      </c>
      <c r="C2193" s="80">
        <v>9</v>
      </c>
      <c r="D2193" s="30" t="s">
        <v>63</v>
      </c>
      <c r="E2193" s="30" t="s">
        <v>57</v>
      </c>
      <c r="F2193" s="30" t="s">
        <v>43</v>
      </c>
      <c r="G2193" s="33">
        <v>17.632000000000001</v>
      </c>
      <c r="H2193" s="83" t="s">
        <v>89</v>
      </c>
    </row>
    <row r="2194" spans="1:8" ht="16.5" customHeight="1" x14ac:dyDescent="0.25">
      <c r="A2194" s="27">
        <v>45922</v>
      </c>
      <c r="B2194" s="80">
        <v>2025</v>
      </c>
      <c r="C2194" s="80">
        <v>9</v>
      </c>
      <c r="D2194" s="30" t="s">
        <v>63</v>
      </c>
      <c r="E2194" s="30" t="s">
        <v>57</v>
      </c>
      <c r="F2194" s="30" t="s">
        <v>47</v>
      </c>
      <c r="G2194" s="33">
        <v>-8.8160000000000007</v>
      </c>
      <c r="H2194" s="83" t="s">
        <v>89</v>
      </c>
    </row>
    <row r="2195" spans="1:8" ht="16.5" customHeight="1" x14ac:dyDescent="0.25">
      <c r="A2195" s="27">
        <v>45922</v>
      </c>
      <c r="B2195" s="80">
        <v>2025</v>
      </c>
      <c r="C2195" s="80">
        <v>9</v>
      </c>
      <c r="D2195" s="30" t="s">
        <v>63</v>
      </c>
      <c r="E2195" s="30" t="s">
        <v>66</v>
      </c>
      <c r="F2195" s="30" t="s">
        <v>43</v>
      </c>
      <c r="G2195" s="33">
        <v>2.52</v>
      </c>
      <c r="H2195" s="83" t="s">
        <v>89</v>
      </c>
    </row>
    <row r="2196" spans="1:8" ht="16.5" customHeight="1" x14ac:dyDescent="0.25">
      <c r="A2196" s="27">
        <v>45922</v>
      </c>
      <c r="B2196" s="80">
        <v>2025</v>
      </c>
      <c r="C2196" s="80">
        <v>9</v>
      </c>
      <c r="D2196" s="30" t="s">
        <v>63</v>
      </c>
      <c r="E2196" s="30" t="s">
        <v>68</v>
      </c>
      <c r="F2196" s="30" t="s">
        <v>43</v>
      </c>
      <c r="G2196" s="33">
        <v>2.6225000000000001</v>
      </c>
      <c r="H2196" s="83" t="s">
        <v>89</v>
      </c>
    </row>
    <row r="2197" spans="1:8" ht="16.5" customHeight="1" x14ac:dyDescent="0.25">
      <c r="A2197" s="27">
        <v>45922</v>
      </c>
      <c r="B2197" s="80">
        <v>2025</v>
      </c>
      <c r="C2197" s="80">
        <v>9</v>
      </c>
      <c r="D2197" s="30" t="s">
        <v>63</v>
      </c>
      <c r="E2197" s="30" t="s">
        <v>75</v>
      </c>
      <c r="F2197" s="30" t="s">
        <v>43</v>
      </c>
      <c r="G2197" s="33">
        <v>83.498000000000005</v>
      </c>
      <c r="H2197" s="83" t="s">
        <v>48</v>
      </c>
    </row>
    <row r="2198" spans="1:8" ht="16.5" customHeight="1" x14ac:dyDescent="0.25">
      <c r="A2198" s="27">
        <v>45922</v>
      </c>
      <c r="B2198" s="80">
        <v>2025</v>
      </c>
      <c r="C2198" s="80">
        <v>9</v>
      </c>
      <c r="D2198" s="30" t="s">
        <v>63</v>
      </c>
      <c r="E2198" s="30" t="s">
        <v>76</v>
      </c>
      <c r="F2198" s="30" t="s">
        <v>39</v>
      </c>
      <c r="G2198" s="33">
        <v>39.355713000000002</v>
      </c>
      <c r="H2198" s="83" t="s">
        <v>48</v>
      </c>
    </row>
    <row r="2199" spans="1:8" ht="16.5" customHeight="1" x14ac:dyDescent="0.25">
      <c r="A2199" s="27">
        <v>45922</v>
      </c>
      <c r="B2199" s="80">
        <v>2025</v>
      </c>
      <c r="C2199" s="80">
        <v>9</v>
      </c>
      <c r="D2199" s="30" t="s">
        <v>63</v>
      </c>
      <c r="E2199" s="30" t="s">
        <v>76</v>
      </c>
      <c r="F2199" s="30" t="s">
        <v>43</v>
      </c>
      <c r="G2199" s="33">
        <v>5.0287499999999996</v>
      </c>
      <c r="H2199" s="83" t="s">
        <v>48</v>
      </c>
    </row>
    <row r="2200" spans="1:8" ht="16.5" customHeight="1" x14ac:dyDescent="0.25">
      <c r="A2200" s="27">
        <v>45923</v>
      </c>
      <c r="B2200" s="80">
        <v>2025</v>
      </c>
      <c r="C2200" s="80">
        <v>9</v>
      </c>
      <c r="D2200" s="30" t="s">
        <v>63</v>
      </c>
      <c r="E2200" s="30" t="s">
        <v>38</v>
      </c>
      <c r="F2200" s="30" t="s">
        <v>43</v>
      </c>
      <c r="G2200" s="33">
        <v>13.92975</v>
      </c>
      <c r="H2200" s="83" t="s">
        <v>88</v>
      </c>
    </row>
    <row r="2201" spans="1:8" ht="16.5" customHeight="1" x14ac:dyDescent="0.25">
      <c r="A2201" s="27">
        <v>45923</v>
      </c>
      <c r="B2201" s="80">
        <v>2025</v>
      </c>
      <c r="C2201" s="80">
        <v>9</v>
      </c>
      <c r="D2201" s="30" t="s">
        <v>63</v>
      </c>
      <c r="E2201" s="30" t="s">
        <v>38</v>
      </c>
      <c r="F2201" s="30" t="s">
        <v>58</v>
      </c>
      <c r="G2201" s="33">
        <v>0.9</v>
      </c>
      <c r="H2201" s="83" t="s">
        <v>88</v>
      </c>
    </row>
    <row r="2202" spans="1:8" ht="16.5" customHeight="1" x14ac:dyDescent="0.25">
      <c r="A2202" s="27">
        <v>45923</v>
      </c>
      <c r="B2202" s="80">
        <v>2025</v>
      </c>
      <c r="C2202" s="80">
        <v>9</v>
      </c>
      <c r="D2202" s="30" t="s">
        <v>63</v>
      </c>
      <c r="E2202" s="30" t="s">
        <v>42</v>
      </c>
      <c r="F2202" s="30" t="s">
        <v>43</v>
      </c>
      <c r="G2202" s="33">
        <v>1.3260000000000001</v>
      </c>
      <c r="H2202" s="83" t="s">
        <v>88</v>
      </c>
    </row>
    <row r="2203" spans="1:8" ht="16.5" customHeight="1" x14ac:dyDescent="0.25">
      <c r="A2203" s="27">
        <v>45923</v>
      </c>
      <c r="B2203" s="80">
        <v>2025</v>
      </c>
      <c r="C2203" s="80">
        <v>9</v>
      </c>
      <c r="D2203" s="30" t="s">
        <v>63</v>
      </c>
      <c r="E2203" s="30" t="s">
        <v>46</v>
      </c>
      <c r="F2203" s="30" t="s">
        <v>43</v>
      </c>
      <c r="G2203" s="33">
        <v>2.4549660000000002</v>
      </c>
      <c r="H2203" s="83" t="s">
        <v>88</v>
      </c>
    </row>
    <row r="2204" spans="1:8" ht="16.5" customHeight="1" x14ac:dyDescent="0.25">
      <c r="A2204" s="27">
        <v>45923</v>
      </c>
      <c r="B2204" s="80">
        <v>2025</v>
      </c>
      <c r="C2204" s="80">
        <v>9</v>
      </c>
      <c r="D2204" s="30" t="s">
        <v>63</v>
      </c>
      <c r="E2204" s="30" t="s">
        <v>46</v>
      </c>
      <c r="F2204" s="30" t="s">
        <v>58</v>
      </c>
      <c r="G2204" s="33">
        <v>0.45903300000000002</v>
      </c>
      <c r="H2204" s="83" t="s">
        <v>88</v>
      </c>
    </row>
    <row r="2205" spans="1:8" ht="16.5" customHeight="1" x14ac:dyDescent="0.25">
      <c r="A2205" s="27">
        <v>45923</v>
      </c>
      <c r="B2205" s="80">
        <v>2025</v>
      </c>
      <c r="C2205" s="80">
        <v>9</v>
      </c>
      <c r="D2205" s="30" t="s">
        <v>63</v>
      </c>
      <c r="E2205" s="30" t="s">
        <v>50</v>
      </c>
      <c r="F2205" s="30" t="s">
        <v>43</v>
      </c>
      <c r="G2205" s="33">
        <v>2.6242999999999999</v>
      </c>
      <c r="H2205" s="83" t="s">
        <v>88</v>
      </c>
    </row>
    <row r="2206" spans="1:8" ht="16.5" customHeight="1" x14ac:dyDescent="0.25">
      <c r="A2206" s="27">
        <v>45923</v>
      </c>
      <c r="B2206" s="80">
        <v>2025</v>
      </c>
      <c r="C2206" s="80">
        <v>9</v>
      </c>
      <c r="D2206" s="30" t="s">
        <v>63</v>
      </c>
      <c r="E2206" s="30" t="s">
        <v>50</v>
      </c>
      <c r="F2206" s="30" t="s">
        <v>47</v>
      </c>
      <c r="G2206" s="33">
        <v>1.4570240000000001</v>
      </c>
      <c r="H2206" s="83" t="s">
        <v>88</v>
      </c>
    </row>
    <row r="2207" spans="1:8" ht="16.5" customHeight="1" x14ac:dyDescent="0.25">
      <c r="A2207" s="27">
        <v>45923</v>
      </c>
      <c r="B2207" s="80">
        <v>2025</v>
      </c>
      <c r="C2207" s="80">
        <v>9</v>
      </c>
      <c r="D2207" s="30" t="s">
        <v>63</v>
      </c>
      <c r="E2207" s="30" t="s">
        <v>50</v>
      </c>
      <c r="F2207" s="30" t="s">
        <v>58</v>
      </c>
      <c r="G2207" s="33">
        <v>0.28020850000000003</v>
      </c>
      <c r="H2207" s="83" t="s">
        <v>88</v>
      </c>
    </row>
    <row r="2208" spans="1:8" ht="16.5" customHeight="1" x14ac:dyDescent="0.25">
      <c r="A2208" s="27">
        <v>45923</v>
      </c>
      <c r="B2208" s="80">
        <v>2025</v>
      </c>
      <c r="C2208" s="80">
        <v>9</v>
      </c>
      <c r="D2208" s="30" t="s">
        <v>63</v>
      </c>
      <c r="E2208" s="30" t="s">
        <v>54</v>
      </c>
      <c r="F2208" s="30" t="s">
        <v>43</v>
      </c>
      <c r="G2208" s="33">
        <v>1.6705000000000001</v>
      </c>
      <c r="H2208" s="83" t="s">
        <v>88</v>
      </c>
    </row>
    <row r="2209" spans="1:8" ht="16.5" customHeight="1" x14ac:dyDescent="0.25">
      <c r="A2209" s="27">
        <v>45923</v>
      </c>
      <c r="B2209" s="80">
        <v>2025</v>
      </c>
      <c r="C2209" s="80">
        <v>9</v>
      </c>
      <c r="D2209" s="30" t="s">
        <v>63</v>
      </c>
      <c r="E2209" s="30" t="s">
        <v>64</v>
      </c>
      <c r="F2209" s="30" t="s">
        <v>43</v>
      </c>
      <c r="G2209" s="33">
        <v>8.2955000000000005</v>
      </c>
      <c r="H2209" s="83" t="s">
        <v>89</v>
      </c>
    </row>
    <row r="2210" spans="1:8" ht="16.5" customHeight="1" x14ac:dyDescent="0.25">
      <c r="A2210" s="27">
        <v>45923</v>
      </c>
      <c r="B2210" s="80">
        <v>2025</v>
      </c>
      <c r="C2210" s="80">
        <v>9</v>
      </c>
      <c r="D2210" s="30" t="s">
        <v>63</v>
      </c>
      <c r="E2210" s="30" t="s">
        <v>66</v>
      </c>
      <c r="F2210" s="30" t="s">
        <v>43</v>
      </c>
      <c r="G2210" s="33">
        <v>9.3375000000000004</v>
      </c>
      <c r="H2210" s="83" t="s">
        <v>89</v>
      </c>
    </row>
    <row r="2211" spans="1:8" ht="16.5" customHeight="1" x14ac:dyDescent="0.25">
      <c r="A2211" s="27">
        <v>45923</v>
      </c>
      <c r="B2211" s="80">
        <v>2025</v>
      </c>
      <c r="C2211" s="80">
        <v>9</v>
      </c>
      <c r="D2211" s="30" t="s">
        <v>63</v>
      </c>
      <c r="E2211" s="30" t="s">
        <v>68</v>
      </c>
      <c r="F2211" s="30" t="s">
        <v>43</v>
      </c>
      <c r="G2211" s="33">
        <v>3.6387499999999999</v>
      </c>
      <c r="H2211" s="83" t="s">
        <v>89</v>
      </c>
    </row>
    <row r="2212" spans="1:8" ht="16.5" customHeight="1" x14ac:dyDescent="0.25">
      <c r="A2212" s="27">
        <v>45923</v>
      </c>
      <c r="B2212" s="80">
        <v>2025</v>
      </c>
      <c r="C2212" s="80">
        <v>9</v>
      </c>
      <c r="D2212" s="30" t="s">
        <v>63</v>
      </c>
      <c r="E2212" s="30" t="s">
        <v>71</v>
      </c>
      <c r="F2212" s="30" t="s">
        <v>43</v>
      </c>
      <c r="G2212" s="33">
        <v>12.215999999999999</v>
      </c>
      <c r="H2212" s="83" t="s">
        <v>89</v>
      </c>
    </row>
    <row r="2213" spans="1:8" ht="16.5" customHeight="1" x14ac:dyDescent="0.25">
      <c r="A2213" s="27">
        <v>45923</v>
      </c>
      <c r="B2213" s="80">
        <v>2025</v>
      </c>
      <c r="C2213" s="80">
        <v>9</v>
      </c>
      <c r="D2213" s="30" t="s">
        <v>63</v>
      </c>
      <c r="E2213" s="30" t="s">
        <v>73</v>
      </c>
      <c r="F2213" s="30" t="s">
        <v>43</v>
      </c>
      <c r="G2213" s="33">
        <v>1.4</v>
      </c>
      <c r="H2213" s="83" t="s">
        <v>89</v>
      </c>
    </row>
    <row r="2214" spans="1:8" ht="16.5" customHeight="1" x14ac:dyDescent="0.25">
      <c r="A2214" s="27">
        <v>45924</v>
      </c>
      <c r="B2214" s="80">
        <v>2025</v>
      </c>
      <c r="C2214" s="80">
        <v>9</v>
      </c>
      <c r="D2214" s="30" t="s">
        <v>63</v>
      </c>
      <c r="E2214" s="30" t="s">
        <v>38</v>
      </c>
      <c r="F2214" s="30" t="s">
        <v>43</v>
      </c>
      <c r="G2214" s="33">
        <v>14.843500000000001</v>
      </c>
      <c r="H2214" s="83" t="s">
        <v>88</v>
      </c>
    </row>
    <row r="2215" spans="1:8" ht="16.5" customHeight="1" x14ac:dyDescent="0.25">
      <c r="A2215" s="27">
        <v>45924</v>
      </c>
      <c r="B2215" s="80">
        <v>2025</v>
      </c>
      <c r="C2215" s="80">
        <v>9</v>
      </c>
      <c r="D2215" s="30" t="s">
        <v>63</v>
      </c>
      <c r="E2215" s="30" t="s">
        <v>42</v>
      </c>
      <c r="F2215" s="30" t="s">
        <v>43</v>
      </c>
      <c r="G2215" s="33">
        <v>3.8800000000000002E-3</v>
      </c>
      <c r="H2215" s="83" t="s">
        <v>88</v>
      </c>
    </row>
    <row r="2216" spans="1:8" ht="16.5" customHeight="1" x14ac:dyDescent="0.25">
      <c r="A2216" s="27">
        <v>45924</v>
      </c>
      <c r="B2216" s="80">
        <v>2025</v>
      </c>
      <c r="C2216" s="80">
        <v>9</v>
      </c>
      <c r="D2216" s="30" t="s">
        <v>63</v>
      </c>
      <c r="E2216" s="30" t="s">
        <v>46</v>
      </c>
      <c r="F2216" s="30" t="s">
        <v>43</v>
      </c>
      <c r="G2216" s="33">
        <v>2.6792915499999999</v>
      </c>
      <c r="H2216" s="83" t="s">
        <v>88</v>
      </c>
    </row>
    <row r="2217" spans="1:8" ht="16.5" customHeight="1" x14ac:dyDescent="0.25">
      <c r="A2217" s="27">
        <v>45924</v>
      </c>
      <c r="B2217" s="80">
        <v>2025</v>
      </c>
      <c r="C2217" s="80">
        <v>9</v>
      </c>
      <c r="D2217" s="30" t="s">
        <v>63</v>
      </c>
      <c r="E2217" s="30" t="s">
        <v>50</v>
      </c>
      <c r="F2217" s="30" t="s">
        <v>43</v>
      </c>
      <c r="G2217" s="33">
        <v>2.0892694000000001</v>
      </c>
      <c r="H2217" s="83" t="s">
        <v>88</v>
      </c>
    </row>
    <row r="2218" spans="1:8" ht="16.5" customHeight="1" x14ac:dyDescent="0.25">
      <c r="A2218" s="27">
        <v>45924</v>
      </c>
      <c r="B2218" s="80">
        <v>2025</v>
      </c>
      <c r="C2218" s="80">
        <v>9</v>
      </c>
      <c r="D2218" s="30" t="s">
        <v>63</v>
      </c>
      <c r="E2218" s="30" t="s">
        <v>50</v>
      </c>
      <c r="F2218" s="30" t="s">
        <v>47</v>
      </c>
      <c r="G2218" s="33">
        <v>0.62160000000000004</v>
      </c>
      <c r="H2218" s="83" t="s">
        <v>88</v>
      </c>
    </row>
    <row r="2219" spans="1:8" ht="16.5" customHeight="1" x14ac:dyDescent="0.25">
      <c r="A2219" s="27">
        <v>45924</v>
      </c>
      <c r="B2219" s="80">
        <v>2025</v>
      </c>
      <c r="C2219" s="80">
        <v>9</v>
      </c>
      <c r="D2219" s="30" t="s">
        <v>63</v>
      </c>
      <c r="E2219" s="30" t="s">
        <v>50</v>
      </c>
      <c r="F2219" s="30" t="s">
        <v>58</v>
      </c>
      <c r="G2219" s="33">
        <v>2.4649999999999998E-2</v>
      </c>
      <c r="H2219" s="83" t="s">
        <v>88</v>
      </c>
    </row>
    <row r="2220" spans="1:8" ht="16.5" customHeight="1" x14ac:dyDescent="0.25">
      <c r="A2220" s="27">
        <v>45924</v>
      </c>
      <c r="B2220" s="80">
        <v>2025</v>
      </c>
      <c r="C2220" s="80">
        <v>9</v>
      </c>
      <c r="D2220" s="30" t="s">
        <v>63</v>
      </c>
      <c r="E2220" s="30" t="s">
        <v>54</v>
      </c>
      <c r="F2220" s="30" t="s">
        <v>43</v>
      </c>
      <c r="G2220" s="33">
        <v>15.611499999999999</v>
      </c>
      <c r="H2220" s="83" t="s">
        <v>88</v>
      </c>
    </row>
    <row r="2221" spans="1:8" ht="16.5" customHeight="1" x14ac:dyDescent="0.25">
      <c r="A2221" s="27">
        <v>45924</v>
      </c>
      <c r="B2221" s="80">
        <v>2025</v>
      </c>
      <c r="C2221" s="80">
        <v>9</v>
      </c>
      <c r="D2221" s="30" t="s">
        <v>63</v>
      </c>
      <c r="E2221" s="30" t="s">
        <v>57</v>
      </c>
      <c r="F2221" s="30" t="s">
        <v>43</v>
      </c>
      <c r="G2221" s="33">
        <v>6.18</v>
      </c>
      <c r="H2221" s="83" t="s">
        <v>89</v>
      </c>
    </row>
    <row r="2222" spans="1:8" ht="16.5" customHeight="1" x14ac:dyDescent="0.25">
      <c r="A2222" s="27">
        <v>45924</v>
      </c>
      <c r="B2222" s="80">
        <v>2025</v>
      </c>
      <c r="C2222" s="80">
        <v>9</v>
      </c>
      <c r="D2222" s="30" t="s">
        <v>63</v>
      </c>
      <c r="E2222" s="30" t="s">
        <v>64</v>
      </c>
      <c r="F2222" s="30" t="s">
        <v>43</v>
      </c>
      <c r="G2222" s="33">
        <v>13.2</v>
      </c>
      <c r="H2222" s="83" t="s">
        <v>89</v>
      </c>
    </row>
    <row r="2223" spans="1:8" ht="16.5" customHeight="1" x14ac:dyDescent="0.25">
      <c r="A2223" s="27">
        <v>45924</v>
      </c>
      <c r="B2223" s="80">
        <v>2025</v>
      </c>
      <c r="C2223" s="80">
        <v>9</v>
      </c>
      <c r="D2223" s="30" t="s">
        <v>63</v>
      </c>
      <c r="E2223" s="30" t="s">
        <v>64</v>
      </c>
      <c r="F2223" s="30" t="s">
        <v>51</v>
      </c>
      <c r="G2223" s="33">
        <v>3.9815999999999998</v>
      </c>
      <c r="H2223" s="83" t="s">
        <v>89</v>
      </c>
    </row>
    <row r="2224" spans="1:8" ht="16.5" customHeight="1" x14ac:dyDescent="0.25">
      <c r="A2224" s="27">
        <v>45924</v>
      </c>
      <c r="B2224" s="80">
        <v>2025</v>
      </c>
      <c r="C2224" s="80">
        <v>9</v>
      </c>
      <c r="D2224" s="30" t="s">
        <v>63</v>
      </c>
      <c r="E2224" s="30" t="s">
        <v>66</v>
      </c>
      <c r="F2224" s="30" t="s">
        <v>43</v>
      </c>
      <c r="G2224" s="33">
        <v>4.9712500000000004</v>
      </c>
      <c r="H2224" s="83" t="s">
        <v>89</v>
      </c>
    </row>
    <row r="2225" spans="1:8" ht="16.5" customHeight="1" x14ac:dyDescent="0.25">
      <c r="A2225" s="27">
        <v>45924</v>
      </c>
      <c r="B2225" s="80">
        <v>2025</v>
      </c>
      <c r="C2225" s="80">
        <v>9</v>
      </c>
      <c r="D2225" s="30" t="s">
        <v>63</v>
      </c>
      <c r="E2225" s="30" t="s">
        <v>68</v>
      </c>
      <c r="F2225" s="30" t="s">
        <v>43</v>
      </c>
      <c r="G2225" s="33">
        <v>2.8125</v>
      </c>
      <c r="H2225" s="83" t="s">
        <v>89</v>
      </c>
    </row>
    <row r="2226" spans="1:8" ht="16.5" customHeight="1" x14ac:dyDescent="0.25">
      <c r="A2226" s="27">
        <v>45925</v>
      </c>
      <c r="B2226" s="80">
        <v>2025</v>
      </c>
      <c r="C2226" s="80">
        <v>9</v>
      </c>
      <c r="D2226" s="30" t="s">
        <v>63</v>
      </c>
      <c r="E2226" s="30" t="s">
        <v>38</v>
      </c>
      <c r="F2226" s="30" t="s">
        <v>43</v>
      </c>
      <c r="G2226" s="33">
        <v>19.715</v>
      </c>
      <c r="H2226" s="83" t="s">
        <v>88</v>
      </c>
    </row>
    <row r="2227" spans="1:8" ht="16.5" customHeight="1" x14ac:dyDescent="0.25">
      <c r="A2227" s="27">
        <v>45925</v>
      </c>
      <c r="B2227" s="80">
        <v>2025</v>
      </c>
      <c r="C2227" s="80">
        <v>9</v>
      </c>
      <c r="D2227" s="30" t="s">
        <v>63</v>
      </c>
      <c r="E2227" s="30" t="s">
        <v>42</v>
      </c>
      <c r="F2227" s="30" t="s">
        <v>43</v>
      </c>
      <c r="G2227" s="33">
        <v>6.1135000000000002</v>
      </c>
      <c r="H2227" s="83" t="s">
        <v>88</v>
      </c>
    </row>
    <row r="2228" spans="1:8" ht="16.5" customHeight="1" x14ac:dyDescent="0.25">
      <c r="A2228" s="27">
        <v>45925</v>
      </c>
      <c r="B2228" s="80">
        <v>2025</v>
      </c>
      <c r="C2228" s="80">
        <v>9</v>
      </c>
      <c r="D2228" s="30" t="s">
        <v>63</v>
      </c>
      <c r="E2228" s="30" t="s">
        <v>46</v>
      </c>
      <c r="F2228" s="30" t="s">
        <v>43</v>
      </c>
      <c r="G2228" s="33">
        <v>9.8120816000000008</v>
      </c>
      <c r="H2228" s="83" t="s">
        <v>88</v>
      </c>
    </row>
    <row r="2229" spans="1:8" ht="16.5" customHeight="1" x14ac:dyDescent="0.25">
      <c r="A2229" s="27">
        <v>45925</v>
      </c>
      <c r="B2229" s="80">
        <v>2025</v>
      </c>
      <c r="C2229" s="80">
        <v>9</v>
      </c>
      <c r="D2229" s="30" t="s">
        <v>63</v>
      </c>
      <c r="E2229" s="30" t="s">
        <v>46</v>
      </c>
      <c r="F2229" s="30" t="s">
        <v>47</v>
      </c>
      <c r="G2229" s="33">
        <v>0.12684000000000001</v>
      </c>
      <c r="H2229" s="83" t="s">
        <v>88</v>
      </c>
    </row>
    <row r="2230" spans="1:8" ht="16.5" customHeight="1" x14ac:dyDescent="0.25">
      <c r="A2230" s="27">
        <v>45925</v>
      </c>
      <c r="B2230" s="80">
        <v>2025</v>
      </c>
      <c r="C2230" s="80">
        <v>9</v>
      </c>
      <c r="D2230" s="30" t="s">
        <v>63</v>
      </c>
      <c r="E2230" s="30" t="s">
        <v>50</v>
      </c>
      <c r="F2230" s="30" t="s">
        <v>43</v>
      </c>
      <c r="G2230" s="33">
        <v>95.545731799999999</v>
      </c>
      <c r="H2230" s="83" t="s">
        <v>88</v>
      </c>
    </row>
    <row r="2231" spans="1:8" ht="16.5" customHeight="1" x14ac:dyDescent="0.25">
      <c r="A2231" s="27">
        <v>45925</v>
      </c>
      <c r="B2231" s="80">
        <v>2025</v>
      </c>
      <c r="C2231" s="80">
        <v>9</v>
      </c>
      <c r="D2231" s="30" t="s">
        <v>63</v>
      </c>
      <c r="E2231" s="30" t="s">
        <v>50</v>
      </c>
      <c r="F2231" s="30" t="s">
        <v>55</v>
      </c>
      <c r="G2231" s="33">
        <v>3.2636159999999999</v>
      </c>
      <c r="H2231" s="83" t="s">
        <v>88</v>
      </c>
    </row>
    <row r="2232" spans="1:8" ht="16.5" customHeight="1" x14ac:dyDescent="0.25">
      <c r="A2232" s="27">
        <v>45925</v>
      </c>
      <c r="B2232" s="80">
        <v>2025</v>
      </c>
      <c r="C2232" s="80">
        <v>9</v>
      </c>
      <c r="D2232" s="30" t="s">
        <v>63</v>
      </c>
      <c r="E2232" s="30" t="s">
        <v>50</v>
      </c>
      <c r="F2232" s="30" t="s">
        <v>58</v>
      </c>
      <c r="G2232" s="33">
        <v>31.129321919999999</v>
      </c>
      <c r="H2232" s="83" t="s">
        <v>88</v>
      </c>
    </row>
    <row r="2233" spans="1:8" ht="16.5" customHeight="1" x14ac:dyDescent="0.25">
      <c r="A2233" s="27">
        <v>45925</v>
      </c>
      <c r="B2233" s="80">
        <v>2025</v>
      </c>
      <c r="C2233" s="80">
        <v>9</v>
      </c>
      <c r="D2233" s="30" t="s">
        <v>63</v>
      </c>
      <c r="E2233" s="30" t="s">
        <v>54</v>
      </c>
      <c r="F2233" s="30" t="s">
        <v>43</v>
      </c>
      <c r="G2233" s="33">
        <v>2.0265399999999998</v>
      </c>
      <c r="H2233" s="83" t="s">
        <v>88</v>
      </c>
    </row>
    <row r="2234" spans="1:8" ht="16.5" customHeight="1" x14ac:dyDescent="0.25">
      <c r="A2234" s="27">
        <v>45925</v>
      </c>
      <c r="B2234" s="80">
        <v>2025</v>
      </c>
      <c r="C2234" s="80">
        <v>9</v>
      </c>
      <c r="D2234" s="30" t="s">
        <v>63</v>
      </c>
      <c r="E2234" s="30" t="s">
        <v>61</v>
      </c>
      <c r="F2234" s="30" t="s">
        <v>43</v>
      </c>
      <c r="G2234" s="33">
        <v>1.3959999999999999</v>
      </c>
      <c r="H2234" s="83" t="s">
        <v>89</v>
      </c>
    </row>
    <row r="2235" spans="1:8" ht="16.5" customHeight="1" x14ac:dyDescent="0.25">
      <c r="A2235" s="27">
        <v>45925</v>
      </c>
      <c r="B2235" s="80">
        <v>2025</v>
      </c>
      <c r="C2235" s="80">
        <v>9</v>
      </c>
      <c r="D2235" s="30" t="s">
        <v>63</v>
      </c>
      <c r="E2235" s="30" t="s">
        <v>64</v>
      </c>
      <c r="F2235" s="30" t="s">
        <v>43</v>
      </c>
      <c r="G2235" s="33">
        <v>9.6063434999999995</v>
      </c>
      <c r="H2235" s="83" t="s">
        <v>89</v>
      </c>
    </row>
    <row r="2236" spans="1:8" ht="16.5" customHeight="1" x14ac:dyDescent="0.25">
      <c r="A2236" s="27">
        <v>45925</v>
      </c>
      <c r="B2236" s="80">
        <v>2025</v>
      </c>
      <c r="C2236" s="80">
        <v>9</v>
      </c>
      <c r="D2236" s="30" t="s">
        <v>63</v>
      </c>
      <c r="E2236" s="30" t="s">
        <v>66</v>
      </c>
      <c r="F2236" s="30" t="s">
        <v>43</v>
      </c>
      <c r="G2236" s="33">
        <v>22.003499999999999</v>
      </c>
      <c r="H2236" s="83" t="s">
        <v>89</v>
      </c>
    </row>
    <row r="2237" spans="1:8" ht="16.5" customHeight="1" x14ac:dyDescent="0.25">
      <c r="A2237" s="27">
        <v>45925</v>
      </c>
      <c r="B2237" s="80">
        <v>2025</v>
      </c>
      <c r="C2237" s="80">
        <v>9</v>
      </c>
      <c r="D2237" s="30" t="s">
        <v>63</v>
      </c>
      <c r="E2237" s="30" t="s">
        <v>68</v>
      </c>
      <c r="F2237" s="30" t="s">
        <v>43</v>
      </c>
      <c r="G2237" s="33">
        <v>3.5550000000000002</v>
      </c>
      <c r="H2237" s="83" t="s">
        <v>89</v>
      </c>
    </row>
    <row r="2238" spans="1:8" ht="16.5" customHeight="1" x14ac:dyDescent="0.25">
      <c r="A2238" s="27">
        <v>45925</v>
      </c>
      <c r="B2238" s="80">
        <v>2025</v>
      </c>
      <c r="C2238" s="80">
        <v>9</v>
      </c>
      <c r="D2238" s="30" t="s">
        <v>63</v>
      </c>
      <c r="E2238" s="30" t="s">
        <v>68</v>
      </c>
      <c r="F2238" s="30" t="s">
        <v>55</v>
      </c>
      <c r="G2238" s="33">
        <v>0.56000000000000005</v>
      </c>
      <c r="H2238" s="83" t="s">
        <v>89</v>
      </c>
    </row>
    <row r="2239" spans="1:8" ht="16.5" customHeight="1" x14ac:dyDescent="0.25">
      <c r="A2239" s="27">
        <v>45925</v>
      </c>
      <c r="B2239" s="80">
        <v>2025</v>
      </c>
      <c r="C2239" s="80">
        <v>9</v>
      </c>
      <c r="D2239" s="30" t="s">
        <v>63</v>
      </c>
      <c r="E2239" s="30" t="s">
        <v>71</v>
      </c>
      <c r="F2239" s="30" t="s">
        <v>39</v>
      </c>
      <c r="G2239" s="33">
        <v>1.7941</v>
      </c>
      <c r="H2239" s="83" t="s">
        <v>89</v>
      </c>
    </row>
    <row r="2240" spans="1:8" ht="16.5" customHeight="1" x14ac:dyDescent="0.25">
      <c r="A2240" s="27">
        <v>45925</v>
      </c>
      <c r="B2240" s="80">
        <v>2025</v>
      </c>
      <c r="C2240" s="80">
        <v>9</v>
      </c>
      <c r="D2240" s="30" t="s">
        <v>63</v>
      </c>
      <c r="E2240" s="30" t="s">
        <v>71</v>
      </c>
      <c r="F2240" s="30" t="s">
        <v>43</v>
      </c>
      <c r="G2240" s="33">
        <v>4.5839999999999996</v>
      </c>
      <c r="H2240" s="83" t="s">
        <v>89</v>
      </c>
    </row>
    <row r="2241" spans="1:8" ht="16.5" customHeight="1" x14ac:dyDescent="0.25">
      <c r="A2241" s="27">
        <v>45925</v>
      </c>
      <c r="B2241" s="80">
        <v>2025</v>
      </c>
      <c r="C2241" s="80">
        <v>9</v>
      </c>
      <c r="D2241" s="30" t="s">
        <v>63</v>
      </c>
      <c r="E2241" s="30" t="s">
        <v>71</v>
      </c>
      <c r="F2241" s="30" t="s">
        <v>55</v>
      </c>
      <c r="G2241" s="33">
        <v>2.1</v>
      </c>
      <c r="H2241" s="83" t="s">
        <v>89</v>
      </c>
    </row>
    <row r="2242" spans="1:8" ht="16.5" customHeight="1" x14ac:dyDescent="0.25">
      <c r="A2242" s="27">
        <v>45925</v>
      </c>
      <c r="B2242" s="80">
        <v>2025</v>
      </c>
      <c r="C2242" s="80">
        <v>9</v>
      </c>
      <c r="D2242" s="30" t="s">
        <v>63</v>
      </c>
      <c r="E2242" s="30" t="s">
        <v>75</v>
      </c>
      <c r="F2242" s="30" t="s">
        <v>43</v>
      </c>
      <c r="G2242" s="33">
        <v>0.48563624999999999</v>
      </c>
      <c r="H2242" s="83" t="s">
        <v>48</v>
      </c>
    </row>
    <row r="2243" spans="1:8" ht="16.5" customHeight="1" x14ac:dyDescent="0.25">
      <c r="A2243" s="27">
        <v>45926</v>
      </c>
      <c r="B2243" s="80">
        <v>2025</v>
      </c>
      <c r="C2243" s="80">
        <v>9</v>
      </c>
      <c r="D2243" s="30" t="s">
        <v>63</v>
      </c>
      <c r="E2243" s="30" t="s">
        <v>38</v>
      </c>
      <c r="F2243" s="30" t="s">
        <v>43</v>
      </c>
      <c r="G2243" s="33">
        <v>1.03887</v>
      </c>
      <c r="H2243" s="83" t="s">
        <v>88</v>
      </c>
    </row>
    <row r="2244" spans="1:8" ht="16.5" customHeight="1" x14ac:dyDescent="0.25">
      <c r="A2244" s="27">
        <v>45926</v>
      </c>
      <c r="B2244" s="80">
        <v>2025</v>
      </c>
      <c r="C2244" s="80">
        <v>9</v>
      </c>
      <c r="D2244" s="30" t="s">
        <v>63</v>
      </c>
      <c r="E2244" s="30" t="s">
        <v>42</v>
      </c>
      <c r="F2244" s="30" t="s">
        <v>43</v>
      </c>
      <c r="G2244" s="33">
        <v>3.2677399999999999</v>
      </c>
      <c r="H2244" s="83" t="s">
        <v>88</v>
      </c>
    </row>
    <row r="2245" spans="1:8" ht="16.5" customHeight="1" x14ac:dyDescent="0.25">
      <c r="A2245" s="27">
        <v>45926</v>
      </c>
      <c r="B2245" s="80">
        <v>2025</v>
      </c>
      <c r="C2245" s="80">
        <v>9</v>
      </c>
      <c r="D2245" s="30" t="s">
        <v>63</v>
      </c>
      <c r="E2245" s="30" t="s">
        <v>46</v>
      </c>
      <c r="F2245" s="30" t="s">
        <v>58</v>
      </c>
      <c r="G2245" s="33">
        <v>2.2679999999999998</v>
      </c>
      <c r="H2245" s="83" t="s">
        <v>88</v>
      </c>
    </row>
    <row r="2246" spans="1:8" ht="16.5" customHeight="1" x14ac:dyDescent="0.25">
      <c r="A2246" s="27">
        <v>45926</v>
      </c>
      <c r="B2246" s="80">
        <v>2025</v>
      </c>
      <c r="C2246" s="80">
        <v>9</v>
      </c>
      <c r="D2246" s="30" t="s">
        <v>63</v>
      </c>
      <c r="E2246" s="30" t="s">
        <v>50</v>
      </c>
      <c r="F2246" s="30" t="s">
        <v>43</v>
      </c>
      <c r="G2246" s="33">
        <v>0.9000264</v>
      </c>
      <c r="H2246" s="83" t="s">
        <v>88</v>
      </c>
    </row>
    <row r="2247" spans="1:8" ht="16.5" customHeight="1" x14ac:dyDescent="0.25">
      <c r="A2247" s="27">
        <v>45926</v>
      </c>
      <c r="B2247" s="80">
        <v>2025</v>
      </c>
      <c r="C2247" s="80">
        <v>9</v>
      </c>
      <c r="D2247" s="30" t="s">
        <v>63</v>
      </c>
      <c r="E2247" s="30" t="s">
        <v>50</v>
      </c>
      <c r="F2247" s="30" t="s">
        <v>58</v>
      </c>
      <c r="G2247" s="33">
        <v>0.2001636</v>
      </c>
      <c r="H2247" s="83" t="s">
        <v>88</v>
      </c>
    </row>
    <row r="2248" spans="1:8" ht="16.5" customHeight="1" x14ac:dyDescent="0.25">
      <c r="A2248" s="27">
        <v>45926</v>
      </c>
      <c r="B2248" s="80">
        <v>2025</v>
      </c>
      <c r="C2248" s="80">
        <v>9</v>
      </c>
      <c r="D2248" s="30" t="s">
        <v>63</v>
      </c>
      <c r="E2248" s="30" t="s">
        <v>54</v>
      </c>
      <c r="F2248" s="30" t="s">
        <v>43</v>
      </c>
      <c r="G2248" s="33">
        <v>6.7532500000000004</v>
      </c>
      <c r="H2248" s="83" t="s">
        <v>88</v>
      </c>
    </row>
    <row r="2249" spans="1:8" ht="16.5" customHeight="1" x14ac:dyDescent="0.25">
      <c r="A2249" s="27">
        <v>45926</v>
      </c>
      <c r="B2249" s="80">
        <v>2025</v>
      </c>
      <c r="C2249" s="80">
        <v>9</v>
      </c>
      <c r="D2249" s="30" t="s">
        <v>63</v>
      </c>
      <c r="E2249" s="30" t="s">
        <v>57</v>
      </c>
      <c r="F2249" s="30" t="s">
        <v>43</v>
      </c>
      <c r="G2249" s="33">
        <v>10.9002</v>
      </c>
      <c r="H2249" s="83" t="s">
        <v>89</v>
      </c>
    </row>
    <row r="2250" spans="1:8" ht="16.5" customHeight="1" x14ac:dyDescent="0.25">
      <c r="A2250" s="27">
        <v>45926</v>
      </c>
      <c r="B2250" s="80">
        <v>2025</v>
      </c>
      <c r="C2250" s="80">
        <v>9</v>
      </c>
      <c r="D2250" s="30" t="s">
        <v>63</v>
      </c>
      <c r="E2250" s="30" t="s">
        <v>61</v>
      </c>
      <c r="F2250" s="30" t="s">
        <v>43</v>
      </c>
      <c r="G2250" s="33">
        <v>3.4224000000000001</v>
      </c>
      <c r="H2250" s="83" t="s">
        <v>89</v>
      </c>
    </row>
    <row r="2251" spans="1:8" ht="16.5" customHeight="1" x14ac:dyDescent="0.25">
      <c r="A2251" s="27">
        <v>45926</v>
      </c>
      <c r="B2251" s="80">
        <v>2025</v>
      </c>
      <c r="C2251" s="80">
        <v>9</v>
      </c>
      <c r="D2251" s="30" t="s">
        <v>63</v>
      </c>
      <c r="E2251" s="30" t="s">
        <v>76</v>
      </c>
      <c r="F2251" s="30" t="s">
        <v>39</v>
      </c>
      <c r="G2251" s="33">
        <v>51.072470000000003</v>
      </c>
      <c r="H2251" s="83" t="s">
        <v>48</v>
      </c>
    </row>
    <row r="2252" spans="1:8" ht="16.5" customHeight="1" x14ac:dyDescent="0.25">
      <c r="A2252" s="27">
        <v>45929</v>
      </c>
      <c r="B2252" s="80">
        <v>2025</v>
      </c>
      <c r="C2252" s="80">
        <v>9</v>
      </c>
      <c r="D2252" s="30" t="s">
        <v>63</v>
      </c>
      <c r="E2252" s="30" t="s">
        <v>38</v>
      </c>
      <c r="F2252" s="30" t="s">
        <v>43</v>
      </c>
      <c r="G2252" s="33">
        <v>1.5496000000000001</v>
      </c>
      <c r="H2252" s="83" t="s">
        <v>88</v>
      </c>
    </row>
    <row r="2253" spans="1:8" ht="16.5" customHeight="1" x14ac:dyDescent="0.25">
      <c r="A2253" s="27">
        <v>45929</v>
      </c>
      <c r="B2253" s="80">
        <v>2025</v>
      </c>
      <c r="C2253" s="80">
        <v>9</v>
      </c>
      <c r="D2253" s="30" t="s">
        <v>63</v>
      </c>
      <c r="E2253" s="30" t="s">
        <v>42</v>
      </c>
      <c r="F2253" s="30" t="s">
        <v>43</v>
      </c>
      <c r="G2253" s="33">
        <v>2.5939999999999999</v>
      </c>
      <c r="H2253" s="83" t="s">
        <v>88</v>
      </c>
    </row>
    <row r="2254" spans="1:8" ht="16.5" customHeight="1" x14ac:dyDescent="0.25">
      <c r="A2254" s="27">
        <v>45929</v>
      </c>
      <c r="B2254" s="80">
        <v>2025</v>
      </c>
      <c r="C2254" s="80">
        <v>9</v>
      </c>
      <c r="D2254" s="30" t="s">
        <v>63</v>
      </c>
      <c r="E2254" s="30" t="s">
        <v>46</v>
      </c>
      <c r="F2254" s="30" t="s">
        <v>43</v>
      </c>
      <c r="G2254" s="33">
        <v>2.6029232499999999</v>
      </c>
      <c r="H2254" s="83" t="s">
        <v>88</v>
      </c>
    </row>
    <row r="2255" spans="1:8" ht="16.5" customHeight="1" x14ac:dyDescent="0.25">
      <c r="A2255" s="27">
        <v>45929</v>
      </c>
      <c r="B2255" s="80">
        <v>2025</v>
      </c>
      <c r="C2255" s="80">
        <v>9</v>
      </c>
      <c r="D2255" s="30" t="s">
        <v>63</v>
      </c>
      <c r="E2255" s="30" t="s">
        <v>46</v>
      </c>
      <c r="F2255" s="30" t="s">
        <v>47</v>
      </c>
      <c r="G2255" s="33">
        <v>0.31797799999999998</v>
      </c>
      <c r="H2255" s="83" t="s">
        <v>88</v>
      </c>
    </row>
    <row r="2256" spans="1:8" ht="16.5" customHeight="1" x14ac:dyDescent="0.25">
      <c r="A2256" s="27">
        <v>45929</v>
      </c>
      <c r="B2256" s="80">
        <v>2025</v>
      </c>
      <c r="C2256" s="80">
        <v>9</v>
      </c>
      <c r="D2256" s="30" t="s">
        <v>63</v>
      </c>
      <c r="E2256" s="30" t="s">
        <v>46</v>
      </c>
      <c r="F2256" s="30" t="s">
        <v>51</v>
      </c>
      <c r="G2256" s="33">
        <v>0.72319999999999995</v>
      </c>
      <c r="H2256" s="83" t="s">
        <v>88</v>
      </c>
    </row>
    <row r="2257" spans="1:8" ht="16.5" customHeight="1" x14ac:dyDescent="0.25">
      <c r="A2257" s="27">
        <v>45929</v>
      </c>
      <c r="B2257" s="80">
        <v>2025</v>
      </c>
      <c r="C2257" s="80">
        <v>9</v>
      </c>
      <c r="D2257" s="30" t="s">
        <v>63</v>
      </c>
      <c r="E2257" s="30" t="s">
        <v>46</v>
      </c>
      <c r="F2257" s="30" t="s">
        <v>55</v>
      </c>
      <c r="G2257" s="33">
        <v>0.642038</v>
      </c>
      <c r="H2257" s="83" t="s">
        <v>88</v>
      </c>
    </row>
    <row r="2258" spans="1:8" ht="16.5" customHeight="1" x14ac:dyDescent="0.25">
      <c r="A2258" s="27">
        <v>45929</v>
      </c>
      <c r="B2258" s="80">
        <v>2025</v>
      </c>
      <c r="C2258" s="80">
        <v>9</v>
      </c>
      <c r="D2258" s="30" t="s">
        <v>63</v>
      </c>
      <c r="E2258" s="30" t="s">
        <v>46</v>
      </c>
      <c r="F2258" s="30" t="s">
        <v>58</v>
      </c>
      <c r="G2258" s="33">
        <v>0.3276</v>
      </c>
      <c r="H2258" s="83" t="s">
        <v>88</v>
      </c>
    </row>
    <row r="2259" spans="1:8" ht="16.5" customHeight="1" x14ac:dyDescent="0.25">
      <c r="A2259" s="27">
        <v>45929</v>
      </c>
      <c r="B2259" s="80">
        <v>2025</v>
      </c>
      <c r="C2259" s="80">
        <v>9</v>
      </c>
      <c r="D2259" s="30" t="s">
        <v>63</v>
      </c>
      <c r="E2259" s="30" t="s">
        <v>50</v>
      </c>
      <c r="F2259" s="30" t="s">
        <v>43</v>
      </c>
      <c r="G2259" s="33">
        <v>36.980794000000003</v>
      </c>
      <c r="H2259" s="83" t="s">
        <v>88</v>
      </c>
    </row>
    <row r="2260" spans="1:8" ht="16.5" customHeight="1" x14ac:dyDescent="0.25">
      <c r="A2260" s="27">
        <v>45929</v>
      </c>
      <c r="B2260" s="80">
        <v>2025</v>
      </c>
      <c r="C2260" s="80">
        <v>9</v>
      </c>
      <c r="D2260" s="30" t="s">
        <v>63</v>
      </c>
      <c r="E2260" s="30" t="s">
        <v>50</v>
      </c>
      <c r="F2260" s="30" t="s">
        <v>47</v>
      </c>
      <c r="G2260" s="33">
        <v>1.2432000000000001</v>
      </c>
      <c r="H2260" s="83" t="s">
        <v>88</v>
      </c>
    </row>
    <row r="2261" spans="1:8" ht="16.5" customHeight="1" x14ac:dyDescent="0.25">
      <c r="A2261" s="27">
        <v>45929</v>
      </c>
      <c r="B2261" s="80">
        <v>2025</v>
      </c>
      <c r="C2261" s="80">
        <v>9</v>
      </c>
      <c r="D2261" s="30" t="s">
        <v>63</v>
      </c>
      <c r="E2261" s="30" t="s">
        <v>50</v>
      </c>
      <c r="F2261" s="30" t="s">
        <v>55</v>
      </c>
      <c r="G2261" s="33">
        <v>1.0356714</v>
      </c>
      <c r="H2261" s="83" t="s">
        <v>88</v>
      </c>
    </row>
    <row r="2262" spans="1:8" ht="16.5" customHeight="1" x14ac:dyDescent="0.25">
      <c r="A2262" s="27">
        <v>45929</v>
      </c>
      <c r="B2262" s="80">
        <v>2025</v>
      </c>
      <c r="C2262" s="80">
        <v>9</v>
      </c>
      <c r="D2262" s="30" t="s">
        <v>63</v>
      </c>
      <c r="E2262" s="30" t="s">
        <v>50</v>
      </c>
      <c r="F2262" s="30" t="s">
        <v>58</v>
      </c>
      <c r="G2262" s="33">
        <v>6.7767463599999997</v>
      </c>
      <c r="H2262" s="83" t="s">
        <v>88</v>
      </c>
    </row>
    <row r="2263" spans="1:8" ht="16.5" customHeight="1" x14ac:dyDescent="0.25">
      <c r="A2263" s="27">
        <v>45929</v>
      </c>
      <c r="B2263" s="80">
        <v>2025</v>
      </c>
      <c r="C2263" s="80">
        <v>9</v>
      </c>
      <c r="D2263" s="30" t="s">
        <v>63</v>
      </c>
      <c r="E2263" s="30" t="s">
        <v>54</v>
      </c>
      <c r="F2263" s="30" t="s">
        <v>43</v>
      </c>
      <c r="G2263" s="33">
        <v>2.63625</v>
      </c>
      <c r="H2263" s="83" t="s">
        <v>88</v>
      </c>
    </row>
    <row r="2264" spans="1:8" ht="16.5" customHeight="1" x14ac:dyDescent="0.25">
      <c r="A2264" s="27">
        <v>45929</v>
      </c>
      <c r="B2264" s="80">
        <v>2025</v>
      </c>
      <c r="C2264" s="80">
        <v>9</v>
      </c>
      <c r="D2264" s="30" t="s">
        <v>63</v>
      </c>
      <c r="E2264" s="30" t="s">
        <v>57</v>
      </c>
      <c r="F2264" s="30" t="s">
        <v>39</v>
      </c>
      <c r="G2264" s="33">
        <v>7.2452500000000004</v>
      </c>
      <c r="H2264" s="83" t="s">
        <v>89</v>
      </c>
    </row>
    <row r="2265" spans="1:8" ht="16.5" customHeight="1" x14ac:dyDescent="0.25">
      <c r="A2265" s="27">
        <v>45929</v>
      </c>
      <c r="B2265" s="80">
        <v>2025</v>
      </c>
      <c r="C2265" s="80">
        <v>9</v>
      </c>
      <c r="D2265" s="30" t="s">
        <v>63</v>
      </c>
      <c r="E2265" s="30" t="s">
        <v>57</v>
      </c>
      <c r="F2265" s="30" t="s">
        <v>43</v>
      </c>
      <c r="G2265" s="33">
        <v>163.69804999999999</v>
      </c>
      <c r="H2265" s="83" t="s">
        <v>89</v>
      </c>
    </row>
    <row r="2266" spans="1:8" ht="16.5" customHeight="1" x14ac:dyDescent="0.25">
      <c r="A2266" s="27">
        <v>45929</v>
      </c>
      <c r="B2266" s="80">
        <v>2025</v>
      </c>
      <c r="C2266" s="80">
        <v>9</v>
      </c>
      <c r="D2266" s="30" t="s">
        <v>63</v>
      </c>
      <c r="E2266" s="30" t="s">
        <v>66</v>
      </c>
      <c r="F2266" s="30" t="s">
        <v>43</v>
      </c>
      <c r="G2266" s="33">
        <v>7.42</v>
      </c>
      <c r="H2266" s="83" t="s">
        <v>89</v>
      </c>
    </row>
    <row r="2267" spans="1:8" ht="16.5" customHeight="1" x14ac:dyDescent="0.25">
      <c r="A2267" s="27">
        <v>45929</v>
      </c>
      <c r="B2267" s="80">
        <v>2025</v>
      </c>
      <c r="C2267" s="80">
        <v>9</v>
      </c>
      <c r="D2267" s="30" t="s">
        <v>63</v>
      </c>
      <c r="E2267" s="30" t="s">
        <v>68</v>
      </c>
      <c r="F2267" s="30" t="s">
        <v>43</v>
      </c>
      <c r="G2267" s="33">
        <v>8.4730000000000008</v>
      </c>
      <c r="H2267" s="83" t="s">
        <v>89</v>
      </c>
    </row>
    <row r="2268" spans="1:8" ht="16.5" customHeight="1" x14ac:dyDescent="0.25">
      <c r="A2268" s="27">
        <v>45929</v>
      </c>
      <c r="B2268" s="80">
        <v>2025</v>
      </c>
      <c r="C2268" s="80">
        <v>9</v>
      </c>
      <c r="D2268" s="30" t="s">
        <v>63</v>
      </c>
      <c r="E2268" s="30" t="s">
        <v>71</v>
      </c>
      <c r="F2268" s="30" t="s">
        <v>47</v>
      </c>
      <c r="G2268" s="33">
        <v>0.15</v>
      </c>
      <c r="H2268" s="83" t="s">
        <v>89</v>
      </c>
    </row>
    <row r="2269" spans="1:8" ht="16.5" customHeight="1" x14ac:dyDescent="0.25">
      <c r="A2269" s="27">
        <v>45929</v>
      </c>
      <c r="B2269" s="80">
        <v>2025</v>
      </c>
      <c r="C2269" s="80">
        <v>9</v>
      </c>
      <c r="D2269" s="30" t="s">
        <v>63</v>
      </c>
      <c r="E2269" s="30" t="s">
        <v>71</v>
      </c>
      <c r="F2269" s="30" t="s">
        <v>55</v>
      </c>
      <c r="G2269" s="33">
        <v>0.1</v>
      </c>
      <c r="H2269" s="83" t="s">
        <v>89</v>
      </c>
    </row>
    <row r="2270" spans="1:8" ht="16.5" customHeight="1" x14ac:dyDescent="0.25">
      <c r="A2270" s="27">
        <v>45929</v>
      </c>
      <c r="B2270" s="80">
        <v>2025</v>
      </c>
      <c r="C2270" s="80">
        <v>9</v>
      </c>
      <c r="D2270" s="30" t="s">
        <v>63</v>
      </c>
      <c r="E2270" s="30" t="s">
        <v>75</v>
      </c>
      <c r="F2270" s="30" t="s">
        <v>43</v>
      </c>
      <c r="G2270" s="33">
        <v>2.5765500000000001</v>
      </c>
      <c r="H2270" s="83" t="s">
        <v>48</v>
      </c>
    </row>
    <row r="2271" spans="1:8" ht="16.5" customHeight="1" x14ac:dyDescent="0.25">
      <c r="A2271" s="27">
        <v>45929</v>
      </c>
      <c r="B2271" s="80">
        <v>2025</v>
      </c>
      <c r="C2271" s="80">
        <v>9</v>
      </c>
      <c r="D2271" s="30" t="s">
        <v>63</v>
      </c>
      <c r="E2271" s="30" t="s">
        <v>75</v>
      </c>
      <c r="F2271" s="30" t="s">
        <v>47</v>
      </c>
      <c r="G2271" s="33">
        <v>51.331499999999998</v>
      </c>
      <c r="H2271" s="83" t="s">
        <v>48</v>
      </c>
    </row>
    <row r="2272" spans="1:8" ht="16.5" customHeight="1" x14ac:dyDescent="0.25">
      <c r="A2272" s="27">
        <v>45930</v>
      </c>
      <c r="B2272" s="80">
        <v>2025</v>
      </c>
      <c r="C2272" s="80">
        <v>9</v>
      </c>
      <c r="D2272" s="30" t="s">
        <v>63</v>
      </c>
      <c r="E2272" s="30" t="s">
        <v>38</v>
      </c>
      <c r="F2272" s="30" t="s">
        <v>43</v>
      </c>
      <c r="G2272" s="33">
        <v>3.536</v>
      </c>
      <c r="H2272" s="83" t="s">
        <v>88</v>
      </c>
    </row>
    <row r="2273" spans="1:8" ht="16.5" customHeight="1" x14ac:dyDescent="0.25">
      <c r="A2273" s="27">
        <v>45930</v>
      </c>
      <c r="B2273" s="80">
        <v>2025</v>
      </c>
      <c r="C2273" s="80">
        <v>9</v>
      </c>
      <c r="D2273" s="30" t="s">
        <v>63</v>
      </c>
      <c r="E2273" s="30" t="s">
        <v>42</v>
      </c>
      <c r="F2273" s="30" t="s">
        <v>55</v>
      </c>
      <c r="G2273" s="33">
        <v>0.17</v>
      </c>
      <c r="H2273" s="83" t="s">
        <v>88</v>
      </c>
    </row>
    <row r="2274" spans="1:8" ht="16.5" customHeight="1" x14ac:dyDescent="0.25">
      <c r="A2274" s="27">
        <v>45930</v>
      </c>
      <c r="B2274" s="80">
        <v>2025</v>
      </c>
      <c r="C2274" s="80">
        <v>9</v>
      </c>
      <c r="D2274" s="30" t="s">
        <v>63</v>
      </c>
      <c r="E2274" s="30" t="s">
        <v>42</v>
      </c>
      <c r="F2274" s="30" t="s">
        <v>58</v>
      </c>
      <c r="G2274" s="33">
        <v>1.07961</v>
      </c>
      <c r="H2274" s="83" t="s">
        <v>88</v>
      </c>
    </row>
    <row r="2275" spans="1:8" ht="16.5" customHeight="1" x14ac:dyDescent="0.25">
      <c r="A2275" s="27">
        <v>45930</v>
      </c>
      <c r="B2275" s="80">
        <v>2025</v>
      </c>
      <c r="C2275" s="80">
        <v>9</v>
      </c>
      <c r="D2275" s="30" t="s">
        <v>63</v>
      </c>
      <c r="E2275" s="30" t="s">
        <v>46</v>
      </c>
      <c r="F2275" s="30" t="s">
        <v>43</v>
      </c>
      <c r="G2275" s="33">
        <v>1.5367999999999999</v>
      </c>
      <c r="H2275" s="83" t="s">
        <v>88</v>
      </c>
    </row>
    <row r="2276" spans="1:8" ht="16.5" customHeight="1" x14ac:dyDescent="0.25">
      <c r="A2276" s="27">
        <v>45930</v>
      </c>
      <c r="B2276" s="80">
        <v>2025</v>
      </c>
      <c r="C2276" s="80">
        <v>9</v>
      </c>
      <c r="D2276" s="30" t="s">
        <v>63</v>
      </c>
      <c r="E2276" s="30" t="s">
        <v>50</v>
      </c>
      <c r="F2276" s="30" t="s">
        <v>43</v>
      </c>
      <c r="G2276" s="33">
        <v>10.168745339999999</v>
      </c>
      <c r="H2276" s="83" t="s">
        <v>88</v>
      </c>
    </row>
    <row r="2277" spans="1:8" ht="16.5" customHeight="1" x14ac:dyDescent="0.25">
      <c r="A2277" s="27">
        <v>45930</v>
      </c>
      <c r="B2277" s="80">
        <v>2025</v>
      </c>
      <c r="C2277" s="80">
        <v>9</v>
      </c>
      <c r="D2277" s="30" t="s">
        <v>63</v>
      </c>
      <c r="E2277" s="30" t="s">
        <v>54</v>
      </c>
      <c r="F2277" s="30" t="s">
        <v>43</v>
      </c>
      <c r="G2277" s="33">
        <v>2.1966000000000001</v>
      </c>
      <c r="H2277" s="83" t="s">
        <v>88</v>
      </c>
    </row>
    <row r="2278" spans="1:8" ht="16.5" customHeight="1" x14ac:dyDescent="0.25">
      <c r="A2278" s="27">
        <v>45930</v>
      </c>
      <c r="B2278" s="80">
        <v>2025</v>
      </c>
      <c r="C2278" s="80">
        <v>9</v>
      </c>
      <c r="D2278" s="30" t="s">
        <v>63</v>
      </c>
      <c r="E2278" s="30" t="s">
        <v>57</v>
      </c>
      <c r="F2278" s="30" t="s">
        <v>43</v>
      </c>
      <c r="G2278" s="33">
        <v>4.8949999999999996</v>
      </c>
      <c r="H2278" s="83" t="s">
        <v>89</v>
      </c>
    </row>
    <row r="2279" spans="1:8" ht="16.5" customHeight="1" x14ac:dyDescent="0.25">
      <c r="A2279" s="27">
        <v>45930</v>
      </c>
      <c r="B2279" s="80">
        <v>2025</v>
      </c>
      <c r="C2279" s="80">
        <v>9</v>
      </c>
      <c r="D2279" s="30" t="s">
        <v>63</v>
      </c>
      <c r="E2279" s="30" t="s">
        <v>66</v>
      </c>
      <c r="F2279" s="30" t="s">
        <v>43</v>
      </c>
      <c r="G2279" s="33">
        <v>11.083500000000001</v>
      </c>
      <c r="H2279" s="83" t="s">
        <v>89</v>
      </c>
    </row>
    <row r="2280" spans="1:8" ht="16.5" customHeight="1" x14ac:dyDescent="0.25">
      <c r="A2280" s="27">
        <v>45930</v>
      </c>
      <c r="B2280" s="80">
        <v>2025</v>
      </c>
      <c r="C2280" s="80">
        <v>9</v>
      </c>
      <c r="D2280" s="30" t="s">
        <v>63</v>
      </c>
      <c r="E2280" s="30" t="s">
        <v>68</v>
      </c>
      <c r="F2280" s="30" t="s">
        <v>43</v>
      </c>
      <c r="G2280" s="33">
        <v>1.56</v>
      </c>
      <c r="H2280" s="83" t="s">
        <v>89</v>
      </c>
    </row>
    <row r="2281" spans="1:8" ht="16.5" customHeight="1" x14ac:dyDescent="0.25">
      <c r="A2281" s="27">
        <v>45930</v>
      </c>
      <c r="B2281" s="80">
        <v>2025</v>
      </c>
      <c r="C2281" s="80">
        <v>9</v>
      </c>
      <c r="D2281" s="30" t="s">
        <v>63</v>
      </c>
      <c r="E2281" s="30" t="s">
        <v>71</v>
      </c>
      <c r="F2281" s="30" t="s">
        <v>43</v>
      </c>
      <c r="G2281" s="33">
        <v>1.1599999999999999</v>
      </c>
      <c r="H2281" s="83" t="s">
        <v>89</v>
      </c>
    </row>
    <row r="2282" spans="1:8" ht="16.5" customHeight="1" x14ac:dyDescent="0.25">
      <c r="A2282" s="27">
        <v>45930</v>
      </c>
      <c r="B2282" s="80">
        <v>2025</v>
      </c>
      <c r="C2282" s="80">
        <v>9</v>
      </c>
      <c r="D2282" s="30" t="s">
        <v>63</v>
      </c>
      <c r="E2282" s="30" t="s">
        <v>76</v>
      </c>
      <c r="F2282" s="30" t="s">
        <v>39</v>
      </c>
      <c r="G2282" s="33">
        <v>155.162655</v>
      </c>
      <c r="H2282" s="83" t="s">
        <v>48</v>
      </c>
    </row>
    <row r="2283" spans="1:8" ht="16.5" customHeight="1" x14ac:dyDescent="0.25">
      <c r="A2283" s="27">
        <v>45931</v>
      </c>
      <c r="B2283" s="80">
        <v>2025</v>
      </c>
      <c r="C2283" s="80">
        <v>10</v>
      </c>
      <c r="D2283" s="30" t="s">
        <v>65</v>
      </c>
      <c r="E2283" s="30" t="s">
        <v>38</v>
      </c>
      <c r="F2283" s="30" t="s">
        <v>43</v>
      </c>
      <c r="G2283" s="33">
        <v>1.586076</v>
      </c>
      <c r="H2283" s="83" t="s">
        <v>88</v>
      </c>
    </row>
    <row r="2284" spans="1:8" ht="16.5" customHeight="1" x14ac:dyDescent="0.25">
      <c r="A2284" s="27">
        <v>45931</v>
      </c>
      <c r="B2284" s="80">
        <v>2025</v>
      </c>
      <c r="C2284" s="80">
        <v>10</v>
      </c>
      <c r="D2284" s="30" t="s">
        <v>65</v>
      </c>
      <c r="E2284" s="30" t="s">
        <v>38</v>
      </c>
      <c r="F2284" s="30" t="s">
        <v>58</v>
      </c>
      <c r="G2284" s="33">
        <v>0.14274680000000001</v>
      </c>
      <c r="H2284" s="83" t="s">
        <v>88</v>
      </c>
    </row>
    <row r="2285" spans="1:8" ht="16.5" customHeight="1" x14ac:dyDescent="0.25">
      <c r="A2285" s="27">
        <v>45931</v>
      </c>
      <c r="B2285" s="80">
        <v>2025</v>
      </c>
      <c r="C2285" s="80">
        <v>10</v>
      </c>
      <c r="D2285" s="30" t="s">
        <v>65</v>
      </c>
      <c r="E2285" s="30" t="s">
        <v>46</v>
      </c>
      <c r="F2285" s="30" t="s">
        <v>43</v>
      </c>
      <c r="G2285" s="33">
        <v>1.0637648</v>
      </c>
      <c r="H2285" s="83" t="s">
        <v>88</v>
      </c>
    </row>
    <row r="2286" spans="1:8" ht="16.5" customHeight="1" x14ac:dyDescent="0.25">
      <c r="A2286" s="27">
        <v>45931</v>
      </c>
      <c r="B2286" s="80">
        <v>2025</v>
      </c>
      <c r="C2286" s="80">
        <v>10</v>
      </c>
      <c r="D2286" s="30" t="s">
        <v>65</v>
      </c>
      <c r="E2286" s="30" t="s">
        <v>50</v>
      </c>
      <c r="F2286" s="30" t="s">
        <v>43</v>
      </c>
      <c r="G2286" s="33">
        <v>3.3910260000000001</v>
      </c>
      <c r="H2286" s="83" t="s">
        <v>88</v>
      </c>
    </row>
    <row r="2287" spans="1:8" ht="16.5" customHeight="1" x14ac:dyDescent="0.25">
      <c r="A2287" s="27">
        <v>45931</v>
      </c>
      <c r="B2287" s="80">
        <v>2025</v>
      </c>
      <c r="C2287" s="80">
        <v>10</v>
      </c>
      <c r="D2287" s="30" t="s">
        <v>65</v>
      </c>
      <c r="E2287" s="30" t="s">
        <v>50</v>
      </c>
      <c r="F2287" s="30" t="s">
        <v>47</v>
      </c>
      <c r="G2287" s="33">
        <v>1.0530660000000001</v>
      </c>
      <c r="H2287" s="83" t="s">
        <v>88</v>
      </c>
    </row>
    <row r="2288" spans="1:8" ht="16.5" customHeight="1" x14ac:dyDescent="0.25">
      <c r="A2288" s="27">
        <v>45931</v>
      </c>
      <c r="B2288" s="80">
        <v>2025</v>
      </c>
      <c r="C2288" s="80">
        <v>10</v>
      </c>
      <c r="D2288" s="30" t="s">
        <v>65</v>
      </c>
      <c r="E2288" s="30" t="s">
        <v>50</v>
      </c>
      <c r="F2288" s="30" t="s">
        <v>58</v>
      </c>
      <c r="G2288" s="33">
        <v>1.1131548</v>
      </c>
      <c r="H2288" s="83" t="s">
        <v>88</v>
      </c>
    </row>
    <row r="2289" spans="1:8" ht="16.5" customHeight="1" x14ac:dyDescent="0.25">
      <c r="A2289" s="27">
        <v>45931</v>
      </c>
      <c r="B2289" s="80">
        <v>2025</v>
      </c>
      <c r="C2289" s="80">
        <v>10</v>
      </c>
      <c r="D2289" s="30" t="s">
        <v>65</v>
      </c>
      <c r="E2289" s="30" t="s">
        <v>54</v>
      </c>
      <c r="F2289" s="30" t="s">
        <v>43</v>
      </c>
      <c r="G2289" s="33">
        <v>0.42</v>
      </c>
      <c r="H2289" s="83" t="s">
        <v>88</v>
      </c>
    </row>
    <row r="2290" spans="1:8" ht="16.5" customHeight="1" x14ac:dyDescent="0.25">
      <c r="A2290" s="27">
        <v>45931</v>
      </c>
      <c r="B2290" s="80">
        <v>2025</v>
      </c>
      <c r="C2290" s="80">
        <v>10</v>
      </c>
      <c r="D2290" s="30" t="s">
        <v>65</v>
      </c>
      <c r="E2290" s="30" t="s">
        <v>66</v>
      </c>
      <c r="F2290" s="30" t="s">
        <v>43</v>
      </c>
      <c r="G2290" s="33">
        <v>4.95</v>
      </c>
      <c r="H2290" s="83" t="s">
        <v>89</v>
      </c>
    </row>
    <row r="2291" spans="1:8" ht="16.5" customHeight="1" x14ac:dyDescent="0.25">
      <c r="A2291" s="27">
        <v>45931</v>
      </c>
      <c r="B2291" s="80">
        <v>2025</v>
      </c>
      <c r="C2291" s="80">
        <v>10</v>
      </c>
      <c r="D2291" s="30" t="s">
        <v>65</v>
      </c>
      <c r="E2291" s="30" t="s">
        <v>68</v>
      </c>
      <c r="F2291" s="30" t="s">
        <v>43</v>
      </c>
      <c r="G2291" s="33">
        <v>1.9774</v>
      </c>
      <c r="H2291" s="83" t="s">
        <v>89</v>
      </c>
    </row>
    <row r="2292" spans="1:8" ht="16.5" customHeight="1" x14ac:dyDescent="0.25">
      <c r="A2292" s="27">
        <v>45931</v>
      </c>
      <c r="B2292" s="80">
        <v>2025</v>
      </c>
      <c r="C2292" s="80">
        <v>10</v>
      </c>
      <c r="D2292" s="30" t="s">
        <v>65</v>
      </c>
      <c r="E2292" s="30" t="s">
        <v>68</v>
      </c>
      <c r="F2292" s="30" t="s">
        <v>55</v>
      </c>
      <c r="G2292" s="33">
        <v>1.1100000000000001</v>
      </c>
      <c r="H2292" s="83" t="s">
        <v>89</v>
      </c>
    </row>
    <row r="2293" spans="1:8" ht="16.5" customHeight="1" x14ac:dyDescent="0.25">
      <c r="A2293" s="27">
        <v>45931</v>
      </c>
      <c r="B2293" s="80">
        <v>2025</v>
      </c>
      <c r="C2293" s="80">
        <v>10</v>
      </c>
      <c r="D2293" s="30" t="s">
        <v>65</v>
      </c>
      <c r="E2293" s="30" t="s">
        <v>73</v>
      </c>
      <c r="F2293" s="30" t="s">
        <v>43</v>
      </c>
      <c r="G2293" s="33">
        <v>0.69257999999999997</v>
      </c>
      <c r="H2293" s="83" t="s">
        <v>89</v>
      </c>
    </row>
    <row r="2294" spans="1:8" ht="16.5" customHeight="1" x14ac:dyDescent="0.25">
      <c r="A2294" s="27">
        <v>45931</v>
      </c>
      <c r="B2294" s="80">
        <v>2025</v>
      </c>
      <c r="C2294" s="80">
        <v>10</v>
      </c>
      <c r="D2294" s="30" t="s">
        <v>65</v>
      </c>
      <c r="E2294" s="30" t="s">
        <v>75</v>
      </c>
      <c r="F2294" s="30" t="s">
        <v>43</v>
      </c>
      <c r="G2294" s="33">
        <v>3.0976499999999998</v>
      </c>
      <c r="H2294" s="83" t="s">
        <v>48</v>
      </c>
    </row>
    <row r="2295" spans="1:8" ht="16.5" customHeight="1" x14ac:dyDescent="0.25">
      <c r="A2295" s="27">
        <v>45931</v>
      </c>
      <c r="B2295" s="80">
        <v>2025</v>
      </c>
      <c r="C2295" s="80">
        <v>10</v>
      </c>
      <c r="D2295" s="30" t="s">
        <v>65</v>
      </c>
      <c r="E2295" s="30" t="s">
        <v>76</v>
      </c>
      <c r="F2295" s="30" t="s">
        <v>39</v>
      </c>
      <c r="G2295" s="33">
        <v>39.263660000000002</v>
      </c>
      <c r="H2295" s="83" t="s">
        <v>48</v>
      </c>
    </row>
    <row r="2296" spans="1:8" ht="16.5" customHeight="1" x14ac:dyDescent="0.25">
      <c r="A2296" s="27">
        <v>45932</v>
      </c>
      <c r="B2296" s="80">
        <v>2025</v>
      </c>
      <c r="C2296" s="80">
        <v>10</v>
      </c>
      <c r="D2296" s="30" t="s">
        <v>65</v>
      </c>
      <c r="E2296" s="30" t="s">
        <v>38</v>
      </c>
      <c r="F2296" s="30" t="s">
        <v>43</v>
      </c>
      <c r="G2296" s="33">
        <v>3.16778</v>
      </c>
      <c r="H2296" s="83" t="s">
        <v>88</v>
      </c>
    </row>
    <row r="2297" spans="1:8" ht="16.5" customHeight="1" x14ac:dyDescent="0.25">
      <c r="A2297" s="27">
        <v>45932</v>
      </c>
      <c r="B2297" s="80">
        <v>2025</v>
      </c>
      <c r="C2297" s="80">
        <v>10</v>
      </c>
      <c r="D2297" s="30" t="s">
        <v>65</v>
      </c>
      <c r="E2297" s="30" t="s">
        <v>42</v>
      </c>
      <c r="F2297" s="30" t="s">
        <v>43</v>
      </c>
      <c r="G2297" s="33">
        <v>30.498000000000001</v>
      </c>
      <c r="H2297" s="83" t="s">
        <v>88</v>
      </c>
    </row>
    <row r="2298" spans="1:8" ht="16.5" customHeight="1" x14ac:dyDescent="0.25">
      <c r="A2298" s="27">
        <v>45932</v>
      </c>
      <c r="B2298" s="80">
        <v>2025</v>
      </c>
      <c r="C2298" s="80">
        <v>10</v>
      </c>
      <c r="D2298" s="30" t="s">
        <v>65</v>
      </c>
      <c r="E2298" s="30" t="s">
        <v>46</v>
      </c>
      <c r="F2298" s="30" t="s">
        <v>43</v>
      </c>
      <c r="G2298" s="33">
        <v>1.3180320000000001</v>
      </c>
      <c r="H2298" s="83" t="s">
        <v>88</v>
      </c>
    </row>
    <row r="2299" spans="1:8" ht="16.5" customHeight="1" x14ac:dyDescent="0.25">
      <c r="A2299" s="27">
        <v>45932</v>
      </c>
      <c r="B2299" s="80">
        <v>2025</v>
      </c>
      <c r="C2299" s="80">
        <v>10</v>
      </c>
      <c r="D2299" s="30" t="s">
        <v>65</v>
      </c>
      <c r="E2299" s="30" t="s">
        <v>46</v>
      </c>
      <c r="F2299" s="30" t="s">
        <v>47</v>
      </c>
      <c r="G2299" s="33">
        <v>0.18079999999999999</v>
      </c>
      <c r="H2299" s="83" t="s">
        <v>88</v>
      </c>
    </row>
    <row r="2300" spans="1:8" ht="16.5" customHeight="1" x14ac:dyDescent="0.25">
      <c r="A2300" s="27">
        <v>45932</v>
      </c>
      <c r="B2300" s="80">
        <v>2025</v>
      </c>
      <c r="C2300" s="80">
        <v>10</v>
      </c>
      <c r="D2300" s="30" t="s">
        <v>65</v>
      </c>
      <c r="E2300" s="30" t="s">
        <v>46</v>
      </c>
      <c r="F2300" s="30" t="s">
        <v>55</v>
      </c>
      <c r="G2300" s="33">
        <v>0.4375</v>
      </c>
      <c r="H2300" s="83" t="s">
        <v>88</v>
      </c>
    </row>
    <row r="2301" spans="1:8" ht="16.5" customHeight="1" x14ac:dyDescent="0.25">
      <c r="A2301" s="27">
        <v>45932</v>
      </c>
      <c r="B2301" s="80">
        <v>2025</v>
      </c>
      <c r="C2301" s="80">
        <v>10</v>
      </c>
      <c r="D2301" s="30" t="s">
        <v>65</v>
      </c>
      <c r="E2301" s="30" t="s">
        <v>46</v>
      </c>
      <c r="F2301" s="30" t="s">
        <v>58</v>
      </c>
      <c r="G2301" s="33">
        <v>8.8682399999999995E-2</v>
      </c>
      <c r="H2301" s="83" t="s">
        <v>88</v>
      </c>
    </row>
    <row r="2302" spans="1:8" ht="16.5" customHeight="1" x14ac:dyDescent="0.25">
      <c r="A2302" s="27">
        <v>45932</v>
      </c>
      <c r="B2302" s="80">
        <v>2025</v>
      </c>
      <c r="C2302" s="80">
        <v>10</v>
      </c>
      <c r="D2302" s="30" t="s">
        <v>65</v>
      </c>
      <c r="E2302" s="30" t="s">
        <v>50</v>
      </c>
      <c r="F2302" s="30" t="s">
        <v>43</v>
      </c>
      <c r="G2302" s="33">
        <v>23.411939199999999</v>
      </c>
      <c r="H2302" s="83" t="s">
        <v>88</v>
      </c>
    </row>
    <row r="2303" spans="1:8" ht="16.5" customHeight="1" x14ac:dyDescent="0.25">
      <c r="A2303" s="27">
        <v>45932</v>
      </c>
      <c r="B2303" s="80">
        <v>2025</v>
      </c>
      <c r="C2303" s="80">
        <v>10</v>
      </c>
      <c r="D2303" s="30" t="s">
        <v>65</v>
      </c>
      <c r="E2303" s="30" t="s">
        <v>50</v>
      </c>
      <c r="F2303" s="30" t="s">
        <v>47</v>
      </c>
      <c r="G2303" s="33">
        <v>0.62160000000000004</v>
      </c>
      <c r="H2303" s="83" t="s">
        <v>88</v>
      </c>
    </row>
    <row r="2304" spans="1:8" ht="16.5" customHeight="1" x14ac:dyDescent="0.25">
      <c r="A2304" s="27">
        <v>45932</v>
      </c>
      <c r="B2304" s="80">
        <v>2025</v>
      </c>
      <c r="C2304" s="80">
        <v>10</v>
      </c>
      <c r="D2304" s="30" t="s">
        <v>65</v>
      </c>
      <c r="E2304" s="30" t="s">
        <v>50</v>
      </c>
      <c r="F2304" s="30" t="s">
        <v>51</v>
      </c>
      <c r="G2304" s="33">
        <v>0.748</v>
      </c>
      <c r="H2304" s="83" t="s">
        <v>88</v>
      </c>
    </row>
    <row r="2305" spans="1:8" ht="16.5" customHeight="1" x14ac:dyDescent="0.25">
      <c r="A2305" s="27">
        <v>45932</v>
      </c>
      <c r="B2305" s="80">
        <v>2025</v>
      </c>
      <c r="C2305" s="80">
        <v>10</v>
      </c>
      <c r="D2305" s="30" t="s">
        <v>65</v>
      </c>
      <c r="E2305" s="30" t="s">
        <v>50</v>
      </c>
      <c r="F2305" s="30" t="s">
        <v>55</v>
      </c>
      <c r="G2305" s="33">
        <v>0.71811000000000003</v>
      </c>
      <c r="H2305" s="83" t="s">
        <v>88</v>
      </c>
    </row>
    <row r="2306" spans="1:8" ht="16.5" customHeight="1" x14ac:dyDescent="0.25">
      <c r="A2306" s="27">
        <v>45932</v>
      </c>
      <c r="B2306" s="80">
        <v>2025</v>
      </c>
      <c r="C2306" s="80">
        <v>10</v>
      </c>
      <c r="D2306" s="30" t="s">
        <v>65</v>
      </c>
      <c r="E2306" s="30" t="s">
        <v>50</v>
      </c>
      <c r="F2306" s="30" t="s">
        <v>58</v>
      </c>
      <c r="G2306" s="33">
        <v>4.4339966100000003</v>
      </c>
      <c r="H2306" s="83" t="s">
        <v>88</v>
      </c>
    </row>
    <row r="2307" spans="1:8" ht="16.5" customHeight="1" x14ac:dyDescent="0.25">
      <c r="A2307" s="27">
        <v>45932</v>
      </c>
      <c r="B2307" s="80">
        <v>2025</v>
      </c>
      <c r="C2307" s="80">
        <v>10</v>
      </c>
      <c r="D2307" s="30" t="s">
        <v>65</v>
      </c>
      <c r="E2307" s="30" t="s">
        <v>54</v>
      </c>
      <c r="F2307" s="30" t="s">
        <v>43</v>
      </c>
      <c r="G2307" s="33">
        <v>0.58875</v>
      </c>
      <c r="H2307" s="83" t="s">
        <v>88</v>
      </c>
    </row>
    <row r="2308" spans="1:8" ht="16.5" customHeight="1" x14ac:dyDescent="0.25">
      <c r="A2308" s="27">
        <v>45932</v>
      </c>
      <c r="B2308" s="80">
        <v>2025</v>
      </c>
      <c r="C2308" s="80">
        <v>10</v>
      </c>
      <c r="D2308" s="30" t="s">
        <v>65</v>
      </c>
      <c r="E2308" s="30" t="s">
        <v>61</v>
      </c>
      <c r="F2308" s="30" t="s">
        <v>43</v>
      </c>
      <c r="G2308" s="33">
        <v>2.67</v>
      </c>
      <c r="H2308" s="83" t="s">
        <v>89</v>
      </c>
    </row>
    <row r="2309" spans="1:8" ht="16.5" customHeight="1" x14ac:dyDescent="0.25">
      <c r="A2309" s="27">
        <v>45932</v>
      </c>
      <c r="B2309" s="80">
        <v>2025</v>
      </c>
      <c r="C2309" s="80">
        <v>10</v>
      </c>
      <c r="D2309" s="30" t="s">
        <v>65</v>
      </c>
      <c r="E2309" s="30" t="s">
        <v>66</v>
      </c>
      <c r="F2309" s="30" t="s">
        <v>43</v>
      </c>
      <c r="G2309" s="33">
        <v>2.31264</v>
      </c>
      <c r="H2309" s="83" t="s">
        <v>89</v>
      </c>
    </row>
    <row r="2310" spans="1:8" ht="16.5" customHeight="1" x14ac:dyDescent="0.25">
      <c r="A2310" s="27">
        <v>45932</v>
      </c>
      <c r="B2310" s="80">
        <v>2025</v>
      </c>
      <c r="C2310" s="80">
        <v>10</v>
      </c>
      <c r="D2310" s="30" t="s">
        <v>65</v>
      </c>
      <c r="E2310" s="30" t="s">
        <v>71</v>
      </c>
      <c r="F2310" s="30" t="s">
        <v>51</v>
      </c>
      <c r="G2310" s="33">
        <v>2.25</v>
      </c>
      <c r="H2310" s="83" t="s">
        <v>89</v>
      </c>
    </row>
    <row r="2311" spans="1:8" ht="16.5" customHeight="1" x14ac:dyDescent="0.25">
      <c r="A2311" s="27">
        <v>45932</v>
      </c>
      <c r="B2311" s="80">
        <v>2025</v>
      </c>
      <c r="C2311" s="80">
        <v>10</v>
      </c>
      <c r="D2311" s="30" t="s">
        <v>65</v>
      </c>
      <c r="E2311" s="30" t="s">
        <v>74</v>
      </c>
      <c r="F2311" s="30" t="s">
        <v>43</v>
      </c>
      <c r="G2311" s="33">
        <v>10.8476</v>
      </c>
      <c r="H2311" s="83" t="s">
        <v>89</v>
      </c>
    </row>
    <row r="2312" spans="1:8" ht="16.5" customHeight="1" x14ac:dyDescent="0.25">
      <c r="A2312" s="27">
        <v>45933</v>
      </c>
      <c r="B2312" s="80">
        <v>2025</v>
      </c>
      <c r="C2312" s="80">
        <v>10</v>
      </c>
      <c r="D2312" s="30" t="s">
        <v>65</v>
      </c>
      <c r="E2312" s="30" t="s">
        <v>38</v>
      </c>
      <c r="F2312" s="30" t="s">
        <v>43</v>
      </c>
      <c r="G2312" s="33">
        <v>5.8295000000000003</v>
      </c>
      <c r="H2312" s="83" t="s">
        <v>88</v>
      </c>
    </row>
    <row r="2313" spans="1:8" ht="16.5" customHeight="1" x14ac:dyDescent="0.25">
      <c r="A2313" s="27">
        <v>45933</v>
      </c>
      <c r="B2313" s="80">
        <v>2025</v>
      </c>
      <c r="C2313" s="80">
        <v>10</v>
      </c>
      <c r="D2313" s="30" t="s">
        <v>65</v>
      </c>
      <c r="E2313" s="30" t="s">
        <v>42</v>
      </c>
      <c r="F2313" s="30" t="s">
        <v>43</v>
      </c>
      <c r="G2313" s="33">
        <v>5.7640000000000002</v>
      </c>
      <c r="H2313" s="83" t="s">
        <v>88</v>
      </c>
    </row>
    <row r="2314" spans="1:8" ht="16.5" customHeight="1" x14ac:dyDescent="0.25">
      <c r="A2314" s="27">
        <v>45933</v>
      </c>
      <c r="B2314" s="80">
        <v>2025</v>
      </c>
      <c r="C2314" s="80">
        <v>10</v>
      </c>
      <c r="D2314" s="30" t="s">
        <v>65</v>
      </c>
      <c r="E2314" s="30" t="s">
        <v>50</v>
      </c>
      <c r="F2314" s="30" t="s">
        <v>39</v>
      </c>
      <c r="G2314" s="33">
        <v>12.913361999999999</v>
      </c>
      <c r="H2314" s="83" t="s">
        <v>88</v>
      </c>
    </row>
    <row r="2315" spans="1:8" ht="16.5" customHeight="1" x14ac:dyDescent="0.25">
      <c r="A2315" s="27">
        <v>45933</v>
      </c>
      <c r="B2315" s="80">
        <v>2025</v>
      </c>
      <c r="C2315" s="80">
        <v>10</v>
      </c>
      <c r="D2315" s="30" t="s">
        <v>65</v>
      </c>
      <c r="E2315" s="30" t="s">
        <v>50</v>
      </c>
      <c r="F2315" s="30" t="s">
        <v>43</v>
      </c>
      <c r="G2315" s="33">
        <v>14.151366400000001</v>
      </c>
      <c r="H2315" s="83" t="s">
        <v>88</v>
      </c>
    </row>
    <row r="2316" spans="1:8" ht="16.5" customHeight="1" x14ac:dyDescent="0.25">
      <c r="A2316" s="27">
        <v>45933</v>
      </c>
      <c r="B2316" s="80">
        <v>2025</v>
      </c>
      <c r="C2316" s="80">
        <v>10</v>
      </c>
      <c r="D2316" s="30" t="s">
        <v>65</v>
      </c>
      <c r="E2316" s="30" t="s">
        <v>50</v>
      </c>
      <c r="F2316" s="30" t="s">
        <v>47</v>
      </c>
      <c r="G2316" s="33">
        <v>1.2432000000000001</v>
      </c>
      <c r="H2316" s="83" t="s">
        <v>88</v>
      </c>
    </row>
    <row r="2317" spans="1:8" ht="16.5" customHeight="1" x14ac:dyDescent="0.25">
      <c r="A2317" s="27">
        <v>45933</v>
      </c>
      <c r="B2317" s="80">
        <v>2025</v>
      </c>
      <c r="C2317" s="80">
        <v>10</v>
      </c>
      <c r="D2317" s="30" t="s">
        <v>65</v>
      </c>
      <c r="E2317" s="30" t="s">
        <v>50</v>
      </c>
      <c r="F2317" s="30" t="s">
        <v>58</v>
      </c>
      <c r="G2317" s="33">
        <v>12.540584000000001</v>
      </c>
      <c r="H2317" s="83" t="s">
        <v>88</v>
      </c>
    </row>
    <row r="2318" spans="1:8" ht="16.5" customHeight="1" x14ac:dyDescent="0.25">
      <c r="A2318" s="27">
        <v>45933</v>
      </c>
      <c r="B2318" s="80">
        <v>2025</v>
      </c>
      <c r="C2318" s="80">
        <v>10</v>
      </c>
      <c r="D2318" s="30" t="s">
        <v>65</v>
      </c>
      <c r="E2318" s="30" t="s">
        <v>54</v>
      </c>
      <c r="F2318" s="30" t="s">
        <v>43</v>
      </c>
      <c r="G2318" s="33">
        <v>8.9774999999999991</v>
      </c>
      <c r="H2318" s="83" t="s">
        <v>88</v>
      </c>
    </row>
    <row r="2319" spans="1:8" ht="16.5" customHeight="1" x14ac:dyDescent="0.25">
      <c r="A2319" s="27">
        <v>45933</v>
      </c>
      <c r="B2319" s="80">
        <v>2025</v>
      </c>
      <c r="C2319" s="80">
        <v>10</v>
      </c>
      <c r="D2319" s="30" t="s">
        <v>65</v>
      </c>
      <c r="E2319" s="30" t="s">
        <v>64</v>
      </c>
      <c r="F2319" s="30" t="s">
        <v>47</v>
      </c>
      <c r="G2319" s="33">
        <v>3.105</v>
      </c>
      <c r="H2319" s="83" t="s">
        <v>89</v>
      </c>
    </row>
    <row r="2320" spans="1:8" ht="16.5" customHeight="1" x14ac:dyDescent="0.25">
      <c r="A2320" s="27">
        <v>45933</v>
      </c>
      <c r="B2320" s="80">
        <v>2025</v>
      </c>
      <c r="C2320" s="80">
        <v>10</v>
      </c>
      <c r="D2320" s="30" t="s">
        <v>65</v>
      </c>
      <c r="E2320" s="30" t="s">
        <v>66</v>
      </c>
      <c r="F2320" s="30" t="s">
        <v>43</v>
      </c>
      <c r="G2320" s="33">
        <v>10.249879999999999</v>
      </c>
      <c r="H2320" s="83" t="s">
        <v>89</v>
      </c>
    </row>
    <row r="2321" spans="1:8" ht="16.5" customHeight="1" x14ac:dyDescent="0.25">
      <c r="A2321" s="27">
        <v>45933</v>
      </c>
      <c r="B2321" s="80">
        <v>2025</v>
      </c>
      <c r="C2321" s="80">
        <v>10</v>
      </c>
      <c r="D2321" s="30" t="s">
        <v>65</v>
      </c>
      <c r="E2321" s="30" t="s">
        <v>68</v>
      </c>
      <c r="F2321" s="30" t="s">
        <v>43</v>
      </c>
      <c r="G2321" s="33">
        <v>1.05</v>
      </c>
      <c r="H2321" s="83" t="s">
        <v>89</v>
      </c>
    </row>
    <row r="2322" spans="1:8" ht="16.5" customHeight="1" x14ac:dyDescent="0.25">
      <c r="A2322" s="27">
        <v>45933</v>
      </c>
      <c r="B2322" s="80">
        <v>2025</v>
      </c>
      <c r="C2322" s="80">
        <v>10</v>
      </c>
      <c r="D2322" s="30" t="s">
        <v>65</v>
      </c>
      <c r="E2322" s="30" t="s">
        <v>71</v>
      </c>
      <c r="F2322" s="30" t="s">
        <v>43</v>
      </c>
      <c r="G2322" s="33">
        <v>4.3381660000000002</v>
      </c>
      <c r="H2322" s="83" t="s">
        <v>89</v>
      </c>
    </row>
    <row r="2323" spans="1:8" ht="16.5" customHeight="1" x14ac:dyDescent="0.25">
      <c r="A2323" s="27">
        <v>45933</v>
      </c>
      <c r="B2323" s="80">
        <v>2025</v>
      </c>
      <c r="C2323" s="80">
        <v>10</v>
      </c>
      <c r="D2323" s="30" t="s">
        <v>65</v>
      </c>
      <c r="E2323" s="30" t="s">
        <v>75</v>
      </c>
      <c r="F2323" s="30" t="s">
        <v>43</v>
      </c>
      <c r="G2323" s="33">
        <v>4.4297360000000001</v>
      </c>
      <c r="H2323" s="83" t="s">
        <v>48</v>
      </c>
    </row>
    <row r="2324" spans="1:8" ht="16.5" customHeight="1" x14ac:dyDescent="0.25">
      <c r="A2324" s="27">
        <v>45936</v>
      </c>
      <c r="B2324" s="80">
        <v>2025</v>
      </c>
      <c r="C2324" s="80">
        <v>10</v>
      </c>
      <c r="D2324" s="30" t="s">
        <v>65</v>
      </c>
      <c r="E2324" s="30" t="s">
        <v>38</v>
      </c>
      <c r="F2324" s="30" t="s">
        <v>43</v>
      </c>
      <c r="G2324" s="33">
        <v>6.3310000000000004</v>
      </c>
      <c r="H2324" s="83" t="s">
        <v>88</v>
      </c>
    </row>
    <row r="2325" spans="1:8" ht="16.5" customHeight="1" x14ac:dyDescent="0.25">
      <c r="A2325" s="27">
        <v>45936</v>
      </c>
      <c r="B2325" s="80">
        <v>2025</v>
      </c>
      <c r="C2325" s="80">
        <v>10</v>
      </c>
      <c r="D2325" s="30" t="s">
        <v>65</v>
      </c>
      <c r="E2325" s="30" t="s">
        <v>38</v>
      </c>
      <c r="F2325" s="30" t="s">
        <v>55</v>
      </c>
      <c r="G2325" s="33">
        <v>5.4122399999999997</v>
      </c>
      <c r="H2325" s="83" t="s">
        <v>88</v>
      </c>
    </row>
    <row r="2326" spans="1:8" ht="16.5" customHeight="1" x14ac:dyDescent="0.25">
      <c r="A2326" s="27">
        <v>45936</v>
      </c>
      <c r="B2326" s="80">
        <v>2025</v>
      </c>
      <c r="C2326" s="80">
        <v>10</v>
      </c>
      <c r="D2326" s="30" t="s">
        <v>65</v>
      </c>
      <c r="E2326" s="30" t="s">
        <v>42</v>
      </c>
      <c r="F2326" s="30" t="s">
        <v>43</v>
      </c>
      <c r="G2326" s="33">
        <v>1.096228</v>
      </c>
      <c r="H2326" s="83" t="s">
        <v>88</v>
      </c>
    </row>
    <row r="2327" spans="1:8" ht="16.5" customHeight="1" x14ac:dyDescent="0.25">
      <c r="A2327" s="27">
        <v>45936</v>
      </c>
      <c r="B2327" s="80">
        <v>2025</v>
      </c>
      <c r="C2327" s="80">
        <v>10</v>
      </c>
      <c r="D2327" s="30" t="s">
        <v>65</v>
      </c>
      <c r="E2327" s="30" t="s">
        <v>42</v>
      </c>
      <c r="F2327" s="30" t="s">
        <v>55</v>
      </c>
      <c r="G2327" s="33">
        <v>0.2646</v>
      </c>
      <c r="H2327" s="83" t="s">
        <v>88</v>
      </c>
    </row>
    <row r="2328" spans="1:8" ht="16.5" customHeight="1" x14ac:dyDescent="0.25">
      <c r="A2328" s="27">
        <v>45936</v>
      </c>
      <c r="B2328" s="80">
        <v>2025</v>
      </c>
      <c r="C2328" s="80">
        <v>10</v>
      </c>
      <c r="D2328" s="30" t="s">
        <v>65</v>
      </c>
      <c r="E2328" s="30" t="s">
        <v>46</v>
      </c>
      <c r="F2328" s="30" t="s">
        <v>43</v>
      </c>
      <c r="G2328" s="33">
        <v>0.74769943999999999</v>
      </c>
      <c r="H2328" s="83" t="s">
        <v>88</v>
      </c>
    </row>
    <row r="2329" spans="1:8" ht="16.5" customHeight="1" x14ac:dyDescent="0.25">
      <c r="A2329" s="27">
        <v>45936</v>
      </c>
      <c r="B2329" s="80">
        <v>2025</v>
      </c>
      <c r="C2329" s="80">
        <v>10</v>
      </c>
      <c r="D2329" s="30" t="s">
        <v>65</v>
      </c>
      <c r="E2329" s="30" t="s">
        <v>46</v>
      </c>
      <c r="F2329" s="30" t="s">
        <v>58</v>
      </c>
      <c r="G2329" s="33">
        <v>1.0738446399999999</v>
      </c>
      <c r="H2329" s="83" t="s">
        <v>88</v>
      </c>
    </row>
    <row r="2330" spans="1:8" ht="16.5" customHeight="1" x14ac:dyDescent="0.25">
      <c r="A2330" s="27">
        <v>45936</v>
      </c>
      <c r="B2330" s="80">
        <v>2025</v>
      </c>
      <c r="C2330" s="80">
        <v>10</v>
      </c>
      <c r="D2330" s="30" t="s">
        <v>65</v>
      </c>
      <c r="E2330" s="30" t="s">
        <v>50</v>
      </c>
      <c r="F2330" s="30" t="s">
        <v>43</v>
      </c>
      <c r="G2330" s="33">
        <v>18.675416999999999</v>
      </c>
      <c r="H2330" s="83" t="s">
        <v>88</v>
      </c>
    </row>
    <row r="2331" spans="1:8" ht="16.5" customHeight="1" x14ac:dyDescent="0.25">
      <c r="A2331" s="27">
        <v>45936</v>
      </c>
      <c r="B2331" s="80">
        <v>2025</v>
      </c>
      <c r="C2331" s="80">
        <v>10</v>
      </c>
      <c r="D2331" s="30" t="s">
        <v>65</v>
      </c>
      <c r="E2331" s="30" t="s">
        <v>50</v>
      </c>
      <c r="F2331" s="30" t="s">
        <v>47</v>
      </c>
      <c r="G2331" s="33">
        <v>0.76185000000000003</v>
      </c>
      <c r="H2331" s="83" t="s">
        <v>88</v>
      </c>
    </row>
    <row r="2332" spans="1:8" ht="16.5" customHeight="1" x14ac:dyDescent="0.25">
      <c r="A2332" s="27">
        <v>45936</v>
      </c>
      <c r="B2332" s="80">
        <v>2025</v>
      </c>
      <c r="C2332" s="80">
        <v>10</v>
      </c>
      <c r="D2332" s="30" t="s">
        <v>65</v>
      </c>
      <c r="E2332" s="30" t="s">
        <v>50</v>
      </c>
      <c r="F2332" s="30" t="s">
        <v>51</v>
      </c>
      <c r="G2332" s="33">
        <v>0.38250000000000001</v>
      </c>
      <c r="H2332" s="83" t="s">
        <v>88</v>
      </c>
    </row>
    <row r="2333" spans="1:8" ht="16.5" customHeight="1" x14ac:dyDescent="0.25">
      <c r="A2333" s="27">
        <v>45936</v>
      </c>
      <c r="B2333" s="80">
        <v>2025</v>
      </c>
      <c r="C2333" s="80">
        <v>10</v>
      </c>
      <c r="D2333" s="30" t="s">
        <v>65</v>
      </c>
      <c r="E2333" s="30" t="s">
        <v>50</v>
      </c>
      <c r="F2333" s="30" t="s">
        <v>58</v>
      </c>
      <c r="G2333" s="33">
        <v>2.2308840000000001</v>
      </c>
      <c r="H2333" s="83" t="s">
        <v>88</v>
      </c>
    </row>
    <row r="2334" spans="1:8" ht="16.5" customHeight="1" x14ac:dyDescent="0.25">
      <c r="A2334" s="27">
        <v>45936</v>
      </c>
      <c r="B2334" s="80">
        <v>2025</v>
      </c>
      <c r="C2334" s="80">
        <v>10</v>
      </c>
      <c r="D2334" s="30" t="s">
        <v>65</v>
      </c>
      <c r="E2334" s="30" t="s">
        <v>64</v>
      </c>
      <c r="F2334" s="30" t="s">
        <v>43</v>
      </c>
      <c r="G2334" s="33">
        <v>10.365</v>
      </c>
      <c r="H2334" s="83" t="s">
        <v>89</v>
      </c>
    </row>
    <row r="2335" spans="1:8" ht="16.5" customHeight="1" x14ac:dyDescent="0.25">
      <c r="A2335" s="27">
        <v>45936</v>
      </c>
      <c r="B2335" s="80">
        <v>2025</v>
      </c>
      <c r="C2335" s="80">
        <v>10</v>
      </c>
      <c r="D2335" s="30" t="s">
        <v>65</v>
      </c>
      <c r="E2335" s="30" t="s">
        <v>66</v>
      </c>
      <c r="F2335" s="30" t="s">
        <v>43</v>
      </c>
      <c r="G2335" s="33">
        <v>0.51</v>
      </c>
      <c r="H2335" s="83" t="s">
        <v>89</v>
      </c>
    </row>
    <row r="2336" spans="1:8" ht="16.5" customHeight="1" x14ac:dyDescent="0.25">
      <c r="A2336" s="27">
        <v>45936</v>
      </c>
      <c r="B2336" s="80">
        <v>2025</v>
      </c>
      <c r="C2336" s="80">
        <v>10</v>
      </c>
      <c r="D2336" s="30" t="s">
        <v>65</v>
      </c>
      <c r="E2336" s="30" t="s">
        <v>68</v>
      </c>
      <c r="F2336" s="30" t="s">
        <v>43</v>
      </c>
      <c r="G2336" s="33">
        <v>0.45500000000000002</v>
      </c>
      <c r="H2336" s="83" t="s">
        <v>89</v>
      </c>
    </row>
    <row r="2337" spans="1:8" ht="16.5" customHeight="1" x14ac:dyDescent="0.25">
      <c r="A2337" s="27">
        <v>45936</v>
      </c>
      <c r="B2337" s="80">
        <v>2025</v>
      </c>
      <c r="C2337" s="80">
        <v>10</v>
      </c>
      <c r="D2337" s="30" t="s">
        <v>65</v>
      </c>
      <c r="E2337" s="30" t="s">
        <v>71</v>
      </c>
      <c r="F2337" s="30" t="s">
        <v>43</v>
      </c>
      <c r="G2337" s="33">
        <v>26.44</v>
      </c>
      <c r="H2337" s="83" t="s">
        <v>89</v>
      </c>
    </row>
    <row r="2338" spans="1:8" ht="16.5" customHeight="1" x14ac:dyDescent="0.25">
      <c r="A2338" s="27">
        <v>45936</v>
      </c>
      <c r="B2338" s="80">
        <v>2025</v>
      </c>
      <c r="C2338" s="80">
        <v>10</v>
      </c>
      <c r="D2338" s="30" t="s">
        <v>65</v>
      </c>
      <c r="E2338" s="30" t="s">
        <v>71</v>
      </c>
      <c r="F2338" s="30" t="s">
        <v>51</v>
      </c>
      <c r="G2338" s="33">
        <v>2.7719999999999998</v>
      </c>
      <c r="H2338" s="83" t="s">
        <v>89</v>
      </c>
    </row>
    <row r="2339" spans="1:8" ht="16.5" customHeight="1" x14ac:dyDescent="0.25">
      <c r="A2339" s="27">
        <v>45937</v>
      </c>
      <c r="B2339" s="80">
        <v>2025</v>
      </c>
      <c r="C2339" s="80">
        <v>10</v>
      </c>
      <c r="D2339" s="30" t="s">
        <v>65</v>
      </c>
      <c r="E2339" s="30" t="s">
        <v>38</v>
      </c>
      <c r="F2339" s="30" t="s">
        <v>43</v>
      </c>
      <c r="G2339" s="33">
        <v>10.30875</v>
      </c>
      <c r="H2339" s="83" t="s">
        <v>88</v>
      </c>
    </row>
    <row r="2340" spans="1:8" ht="16.5" customHeight="1" x14ac:dyDescent="0.25">
      <c r="A2340" s="27">
        <v>45937</v>
      </c>
      <c r="B2340" s="80">
        <v>2025</v>
      </c>
      <c r="C2340" s="80">
        <v>10</v>
      </c>
      <c r="D2340" s="30" t="s">
        <v>65</v>
      </c>
      <c r="E2340" s="30" t="s">
        <v>42</v>
      </c>
      <c r="F2340" s="30" t="s">
        <v>43</v>
      </c>
      <c r="G2340" s="33">
        <v>4.2378280000000004</v>
      </c>
      <c r="H2340" s="83" t="s">
        <v>88</v>
      </c>
    </row>
    <row r="2341" spans="1:8" ht="16.5" customHeight="1" x14ac:dyDescent="0.25">
      <c r="A2341" s="27">
        <v>45937</v>
      </c>
      <c r="B2341" s="80">
        <v>2025</v>
      </c>
      <c r="C2341" s="80">
        <v>10</v>
      </c>
      <c r="D2341" s="30" t="s">
        <v>65</v>
      </c>
      <c r="E2341" s="30" t="s">
        <v>46</v>
      </c>
      <c r="F2341" s="30" t="s">
        <v>43</v>
      </c>
      <c r="G2341" s="33">
        <v>12.605399200000001</v>
      </c>
      <c r="H2341" s="83" t="s">
        <v>88</v>
      </c>
    </row>
    <row r="2342" spans="1:8" ht="16.5" customHeight="1" x14ac:dyDescent="0.25">
      <c r="A2342" s="27">
        <v>45937</v>
      </c>
      <c r="B2342" s="80">
        <v>2025</v>
      </c>
      <c r="C2342" s="80">
        <v>10</v>
      </c>
      <c r="D2342" s="30" t="s">
        <v>65</v>
      </c>
      <c r="E2342" s="30" t="s">
        <v>46</v>
      </c>
      <c r="F2342" s="30" t="s">
        <v>58</v>
      </c>
      <c r="G2342" s="33">
        <v>0.53446768</v>
      </c>
      <c r="H2342" s="83" t="s">
        <v>88</v>
      </c>
    </row>
    <row r="2343" spans="1:8" ht="16.5" customHeight="1" x14ac:dyDescent="0.25">
      <c r="A2343" s="27">
        <v>45937</v>
      </c>
      <c r="B2343" s="80">
        <v>2025</v>
      </c>
      <c r="C2343" s="80">
        <v>10</v>
      </c>
      <c r="D2343" s="30" t="s">
        <v>65</v>
      </c>
      <c r="E2343" s="30" t="s">
        <v>50</v>
      </c>
      <c r="F2343" s="30" t="s">
        <v>43</v>
      </c>
      <c r="G2343" s="33">
        <v>5.1703256</v>
      </c>
      <c r="H2343" s="83" t="s">
        <v>88</v>
      </c>
    </row>
    <row r="2344" spans="1:8" ht="16.5" customHeight="1" x14ac:dyDescent="0.25">
      <c r="A2344" s="27">
        <v>45937</v>
      </c>
      <c r="B2344" s="80">
        <v>2025</v>
      </c>
      <c r="C2344" s="80">
        <v>10</v>
      </c>
      <c r="D2344" s="30" t="s">
        <v>65</v>
      </c>
      <c r="E2344" s="30" t="s">
        <v>50</v>
      </c>
      <c r="F2344" s="30" t="s">
        <v>47</v>
      </c>
      <c r="G2344" s="33">
        <v>1.2432000000000001</v>
      </c>
      <c r="H2344" s="83" t="s">
        <v>88</v>
      </c>
    </row>
    <row r="2345" spans="1:8" ht="16.5" customHeight="1" x14ac:dyDescent="0.25">
      <c r="A2345" s="27">
        <v>45937</v>
      </c>
      <c r="B2345" s="80">
        <v>2025</v>
      </c>
      <c r="C2345" s="80">
        <v>10</v>
      </c>
      <c r="D2345" s="30" t="s">
        <v>65</v>
      </c>
      <c r="E2345" s="30" t="s">
        <v>54</v>
      </c>
      <c r="F2345" s="30" t="s">
        <v>43</v>
      </c>
      <c r="G2345" s="33">
        <v>0.84499999999999997</v>
      </c>
      <c r="H2345" s="83" t="s">
        <v>88</v>
      </c>
    </row>
    <row r="2346" spans="1:8" ht="16.5" customHeight="1" x14ac:dyDescent="0.25">
      <c r="A2346" s="27">
        <v>45937</v>
      </c>
      <c r="B2346" s="80">
        <v>2025</v>
      </c>
      <c r="C2346" s="80">
        <v>10</v>
      </c>
      <c r="D2346" s="30" t="s">
        <v>65</v>
      </c>
      <c r="E2346" s="30" t="s">
        <v>66</v>
      </c>
      <c r="F2346" s="30" t="s">
        <v>43</v>
      </c>
      <c r="G2346" s="33">
        <v>68.4221</v>
      </c>
      <c r="H2346" s="83" t="s">
        <v>89</v>
      </c>
    </row>
    <row r="2347" spans="1:8" ht="16.5" customHeight="1" x14ac:dyDescent="0.25">
      <c r="A2347" s="27">
        <v>45937</v>
      </c>
      <c r="B2347" s="80">
        <v>2025</v>
      </c>
      <c r="C2347" s="80">
        <v>10</v>
      </c>
      <c r="D2347" s="30" t="s">
        <v>65</v>
      </c>
      <c r="E2347" s="30" t="s">
        <v>71</v>
      </c>
      <c r="F2347" s="30" t="s">
        <v>43</v>
      </c>
      <c r="G2347" s="33">
        <v>1.131</v>
      </c>
      <c r="H2347" s="83" t="s">
        <v>89</v>
      </c>
    </row>
    <row r="2348" spans="1:8" ht="16.5" customHeight="1" x14ac:dyDescent="0.25">
      <c r="A2348" s="27">
        <v>45937</v>
      </c>
      <c r="B2348" s="80">
        <v>2025</v>
      </c>
      <c r="C2348" s="80">
        <v>10</v>
      </c>
      <c r="D2348" s="30" t="s">
        <v>65</v>
      </c>
      <c r="E2348" s="30" t="s">
        <v>75</v>
      </c>
      <c r="F2348" s="30" t="s">
        <v>43</v>
      </c>
      <c r="G2348" s="33">
        <v>2.9048750000000001</v>
      </c>
      <c r="H2348" s="83" t="s">
        <v>48</v>
      </c>
    </row>
    <row r="2349" spans="1:8" ht="16.5" customHeight="1" x14ac:dyDescent="0.25">
      <c r="A2349" s="27">
        <v>45938</v>
      </c>
      <c r="B2349" s="80">
        <v>2025</v>
      </c>
      <c r="C2349" s="80">
        <v>10</v>
      </c>
      <c r="D2349" s="30" t="s">
        <v>65</v>
      </c>
      <c r="E2349" s="30" t="s">
        <v>38</v>
      </c>
      <c r="F2349" s="30" t="s">
        <v>43</v>
      </c>
      <c r="G2349" s="33">
        <v>1.62487</v>
      </c>
      <c r="H2349" s="83" t="s">
        <v>88</v>
      </c>
    </row>
    <row r="2350" spans="1:8" ht="16.5" customHeight="1" x14ac:dyDescent="0.25">
      <c r="A2350" s="27">
        <v>45938</v>
      </c>
      <c r="B2350" s="80">
        <v>2025</v>
      </c>
      <c r="C2350" s="80">
        <v>10</v>
      </c>
      <c r="D2350" s="30" t="s">
        <v>65</v>
      </c>
      <c r="E2350" s="30" t="s">
        <v>42</v>
      </c>
      <c r="F2350" s="30" t="s">
        <v>43</v>
      </c>
      <c r="G2350" s="33">
        <v>3.178728</v>
      </c>
      <c r="H2350" s="83" t="s">
        <v>88</v>
      </c>
    </row>
    <row r="2351" spans="1:8" ht="16.5" customHeight="1" x14ac:dyDescent="0.25">
      <c r="A2351" s="27">
        <v>45938</v>
      </c>
      <c r="B2351" s="80">
        <v>2025</v>
      </c>
      <c r="C2351" s="80">
        <v>10</v>
      </c>
      <c r="D2351" s="30" t="s">
        <v>65</v>
      </c>
      <c r="E2351" s="30" t="s">
        <v>46</v>
      </c>
      <c r="F2351" s="30" t="s">
        <v>43</v>
      </c>
      <c r="G2351" s="33">
        <v>4.5525000000000002</v>
      </c>
      <c r="H2351" s="83" t="s">
        <v>88</v>
      </c>
    </row>
    <row r="2352" spans="1:8" ht="16.5" customHeight="1" x14ac:dyDescent="0.25">
      <c r="A2352" s="27">
        <v>45938</v>
      </c>
      <c r="B2352" s="80">
        <v>2025</v>
      </c>
      <c r="C2352" s="80">
        <v>10</v>
      </c>
      <c r="D2352" s="30" t="s">
        <v>65</v>
      </c>
      <c r="E2352" s="30" t="s">
        <v>46</v>
      </c>
      <c r="F2352" s="30" t="s">
        <v>47</v>
      </c>
      <c r="G2352" s="33">
        <v>0.34246799999999999</v>
      </c>
      <c r="H2352" s="83" t="s">
        <v>88</v>
      </c>
    </row>
    <row r="2353" spans="1:8" ht="16.5" customHeight="1" x14ac:dyDescent="0.25">
      <c r="A2353" s="27">
        <v>45938</v>
      </c>
      <c r="B2353" s="80">
        <v>2025</v>
      </c>
      <c r="C2353" s="80">
        <v>10</v>
      </c>
      <c r="D2353" s="30" t="s">
        <v>65</v>
      </c>
      <c r="E2353" s="30" t="s">
        <v>50</v>
      </c>
      <c r="F2353" s="30" t="s">
        <v>43</v>
      </c>
      <c r="G2353" s="33">
        <v>2.2486705499999999</v>
      </c>
      <c r="H2353" s="83" t="s">
        <v>88</v>
      </c>
    </row>
    <row r="2354" spans="1:8" ht="16.5" customHeight="1" x14ac:dyDescent="0.25">
      <c r="A2354" s="27">
        <v>45938</v>
      </c>
      <c r="B2354" s="80">
        <v>2025</v>
      </c>
      <c r="C2354" s="80">
        <v>10</v>
      </c>
      <c r="D2354" s="30" t="s">
        <v>65</v>
      </c>
      <c r="E2354" s="30" t="s">
        <v>50</v>
      </c>
      <c r="F2354" s="30" t="s">
        <v>47</v>
      </c>
      <c r="G2354" s="33">
        <v>0.93240000000000001</v>
      </c>
      <c r="H2354" s="83" t="s">
        <v>88</v>
      </c>
    </row>
    <row r="2355" spans="1:8" ht="16.5" customHeight="1" x14ac:dyDescent="0.25">
      <c r="A2355" s="27">
        <v>45938</v>
      </c>
      <c r="B2355" s="80">
        <v>2025</v>
      </c>
      <c r="C2355" s="80">
        <v>10</v>
      </c>
      <c r="D2355" s="30" t="s">
        <v>65</v>
      </c>
      <c r="E2355" s="30" t="s">
        <v>64</v>
      </c>
      <c r="F2355" s="30" t="s">
        <v>43</v>
      </c>
      <c r="G2355" s="33">
        <v>5.5E-2</v>
      </c>
      <c r="H2355" s="83" t="s">
        <v>89</v>
      </c>
    </row>
    <row r="2356" spans="1:8" ht="16.5" customHeight="1" x14ac:dyDescent="0.25">
      <c r="A2356" s="27">
        <v>45938</v>
      </c>
      <c r="B2356" s="80">
        <v>2025</v>
      </c>
      <c r="C2356" s="80">
        <v>10</v>
      </c>
      <c r="D2356" s="30" t="s">
        <v>65</v>
      </c>
      <c r="E2356" s="30" t="s">
        <v>66</v>
      </c>
      <c r="F2356" s="30" t="s">
        <v>43</v>
      </c>
      <c r="G2356" s="33">
        <v>12.287000000000001</v>
      </c>
      <c r="H2356" s="83" t="s">
        <v>89</v>
      </c>
    </row>
    <row r="2357" spans="1:8" ht="16.5" customHeight="1" x14ac:dyDescent="0.25">
      <c r="A2357" s="27">
        <v>45938</v>
      </c>
      <c r="B2357" s="80">
        <v>2025</v>
      </c>
      <c r="C2357" s="80">
        <v>10</v>
      </c>
      <c r="D2357" s="30" t="s">
        <v>65</v>
      </c>
      <c r="E2357" s="30" t="s">
        <v>68</v>
      </c>
      <c r="F2357" s="30" t="s">
        <v>43</v>
      </c>
      <c r="G2357" s="33">
        <v>4.75</v>
      </c>
      <c r="H2357" s="83" t="s">
        <v>89</v>
      </c>
    </row>
    <row r="2358" spans="1:8" ht="16.5" customHeight="1" x14ac:dyDescent="0.25">
      <c r="A2358" s="27">
        <v>45938</v>
      </c>
      <c r="B2358" s="80">
        <v>2025</v>
      </c>
      <c r="C2358" s="80">
        <v>10</v>
      </c>
      <c r="D2358" s="30" t="s">
        <v>65</v>
      </c>
      <c r="E2358" s="30" t="s">
        <v>71</v>
      </c>
      <c r="F2358" s="30" t="s">
        <v>51</v>
      </c>
      <c r="G2358" s="33">
        <v>1.8</v>
      </c>
      <c r="H2358" s="83" t="s">
        <v>89</v>
      </c>
    </row>
    <row r="2359" spans="1:8" ht="16.5" customHeight="1" x14ac:dyDescent="0.25">
      <c r="A2359" s="27">
        <v>45938</v>
      </c>
      <c r="B2359" s="80">
        <v>2025</v>
      </c>
      <c r="C2359" s="80">
        <v>10</v>
      </c>
      <c r="D2359" s="30" t="s">
        <v>65</v>
      </c>
      <c r="E2359" s="30" t="s">
        <v>73</v>
      </c>
      <c r="F2359" s="30" t="s">
        <v>39</v>
      </c>
      <c r="G2359" s="33">
        <v>13.8565</v>
      </c>
      <c r="H2359" s="83" t="s">
        <v>89</v>
      </c>
    </row>
    <row r="2360" spans="1:8" ht="16.5" customHeight="1" x14ac:dyDescent="0.25">
      <c r="A2360" s="27">
        <v>45938</v>
      </c>
      <c r="B2360" s="80">
        <v>2025</v>
      </c>
      <c r="C2360" s="80">
        <v>10</v>
      </c>
      <c r="D2360" s="30" t="s">
        <v>65</v>
      </c>
      <c r="E2360" s="30" t="s">
        <v>73</v>
      </c>
      <c r="F2360" s="30" t="s">
        <v>43</v>
      </c>
      <c r="G2360" s="33">
        <v>4.907</v>
      </c>
      <c r="H2360" s="83" t="s">
        <v>89</v>
      </c>
    </row>
    <row r="2361" spans="1:8" ht="16.5" customHeight="1" x14ac:dyDescent="0.25">
      <c r="A2361" s="27">
        <v>45938</v>
      </c>
      <c r="B2361" s="80">
        <v>2025</v>
      </c>
      <c r="C2361" s="80">
        <v>10</v>
      </c>
      <c r="D2361" s="30" t="s">
        <v>65</v>
      </c>
      <c r="E2361" s="30" t="s">
        <v>76</v>
      </c>
      <c r="F2361" s="30" t="s">
        <v>39</v>
      </c>
      <c r="G2361" s="33">
        <v>6.7671000000000001</v>
      </c>
      <c r="H2361" s="83" t="s">
        <v>48</v>
      </c>
    </row>
    <row r="2362" spans="1:8" ht="16.5" customHeight="1" x14ac:dyDescent="0.25">
      <c r="A2362" s="27">
        <v>45939</v>
      </c>
      <c r="B2362" s="80">
        <v>2025</v>
      </c>
      <c r="C2362" s="80">
        <v>10</v>
      </c>
      <c r="D2362" s="30" t="s">
        <v>65</v>
      </c>
      <c r="E2362" s="30" t="s">
        <v>38</v>
      </c>
      <c r="F2362" s="30" t="s">
        <v>43</v>
      </c>
      <c r="G2362" s="33">
        <v>6.8010000000000002</v>
      </c>
      <c r="H2362" s="83" t="s">
        <v>88</v>
      </c>
    </row>
    <row r="2363" spans="1:8" ht="16.5" customHeight="1" x14ac:dyDescent="0.25">
      <c r="A2363" s="27">
        <v>45939</v>
      </c>
      <c r="B2363" s="80">
        <v>2025</v>
      </c>
      <c r="C2363" s="80">
        <v>10</v>
      </c>
      <c r="D2363" s="30" t="s">
        <v>65</v>
      </c>
      <c r="E2363" s="30" t="s">
        <v>42</v>
      </c>
      <c r="F2363" s="30" t="s">
        <v>43</v>
      </c>
      <c r="G2363" s="33">
        <v>2.4858699999999998</v>
      </c>
      <c r="H2363" s="83" t="s">
        <v>88</v>
      </c>
    </row>
    <row r="2364" spans="1:8" ht="16.5" customHeight="1" x14ac:dyDescent="0.25">
      <c r="A2364" s="27">
        <v>45939</v>
      </c>
      <c r="B2364" s="80">
        <v>2025</v>
      </c>
      <c r="C2364" s="80">
        <v>10</v>
      </c>
      <c r="D2364" s="30" t="s">
        <v>65</v>
      </c>
      <c r="E2364" s="30" t="s">
        <v>42</v>
      </c>
      <c r="F2364" s="30" t="s">
        <v>47</v>
      </c>
      <c r="G2364" s="33">
        <v>0.97450000000000003</v>
      </c>
      <c r="H2364" s="83" t="s">
        <v>88</v>
      </c>
    </row>
    <row r="2365" spans="1:8" ht="16.5" customHeight="1" x14ac:dyDescent="0.25">
      <c r="A2365" s="27">
        <v>45939</v>
      </c>
      <c r="B2365" s="80">
        <v>2025</v>
      </c>
      <c r="C2365" s="80">
        <v>10</v>
      </c>
      <c r="D2365" s="30" t="s">
        <v>65</v>
      </c>
      <c r="E2365" s="30" t="s">
        <v>46</v>
      </c>
      <c r="F2365" s="30" t="s">
        <v>55</v>
      </c>
      <c r="G2365" s="33">
        <v>1.2</v>
      </c>
      <c r="H2365" s="83" t="s">
        <v>88</v>
      </c>
    </row>
    <row r="2366" spans="1:8" ht="16.5" customHeight="1" x14ac:dyDescent="0.25">
      <c r="A2366" s="27">
        <v>45939</v>
      </c>
      <c r="B2366" s="80">
        <v>2025</v>
      </c>
      <c r="C2366" s="80">
        <v>10</v>
      </c>
      <c r="D2366" s="30" t="s">
        <v>65</v>
      </c>
      <c r="E2366" s="30" t="s">
        <v>50</v>
      </c>
      <c r="F2366" s="30" t="s">
        <v>43</v>
      </c>
      <c r="G2366" s="33">
        <v>9.8594360000000005</v>
      </c>
      <c r="H2366" s="83" t="s">
        <v>88</v>
      </c>
    </row>
    <row r="2367" spans="1:8" ht="16.5" customHeight="1" x14ac:dyDescent="0.25">
      <c r="A2367" s="27">
        <v>45939</v>
      </c>
      <c r="B2367" s="80">
        <v>2025</v>
      </c>
      <c r="C2367" s="80">
        <v>10</v>
      </c>
      <c r="D2367" s="30" t="s">
        <v>65</v>
      </c>
      <c r="E2367" s="30" t="s">
        <v>50</v>
      </c>
      <c r="F2367" s="30" t="s">
        <v>58</v>
      </c>
      <c r="G2367" s="33">
        <v>5.9509165599999996</v>
      </c>
      <c r="H2367" s="83" t="s">
        <v>88</v>
      </c>
    </row>
    <row r="2368" spans="1:8" ht="16.5" customHeight="1" x14ac:dyDescent="0.25">
      <c r="A2368" s="27">
        <v>45939</v>
      </c>
      <c r="B2368" s="80">
        <v>2025</v>
      </c>
      <c r="C2368" s="80">
        <v>10</v>
      </c>
      <c r="D2368" s="30" t="s">
        <v>65</v>
      </c>
      <c r="E2368" s="30" t="s">
        <v>54</v>
      </c>
      <c r="F2368" s="30" t="s">
        <v>43</v>
      </c>
      <c r="G2368" s="33">
        <v>35.596899999999998</v>
      </c>
      <c r="H2368" s="83" t="s">
        <v>88</v>
      </c>
    </row>
    <row r="2369" spans="1:8" ht="16.5" customHeight="1" x14ac:dyDescent="0.25">
      <c r="A2369" s="27">
        <v>45939</v>
      </c>
      <c r="B2369" s="80">
        <v>2025</v>
      </c>
      <c r="C2369" s="80">
        <v>10</v>
      </c>
      <c r="D2369" s="30" t="s">
        <v>65</v>
      </c>
      <c r="E2369" s="30" t="s">
        <v>64</v>
      </c>
      <c r="F2369" s="30" t="s">
        <v>43</v>
      </c>
      <c r="G2369" s="33">
        <v>2.5789</v>
      </c>
      <c r="H2369" s="83" t="s">
        <v>89</v>
      </c>
    </row>
    <row r="2370" spans="1:8" ht="16.5" customHeight="1" x14ac:dyDescent="0.25">
      <c r="A2370" s="27">
        <v>45939</v>
      </c>
      <c r="B2370" s="80">
        <v>2025</v>
      </c>
      <c r="C2370" s="80">
        <v>10</v>
      </c>
      <c r="D2370" s="30" t="s">
        <v>65</v>
      </c>
      <c r="E2370" s="30" t="s">
        <v>66</v>
      </c>
      <c r="F2370" s="30" t="s">
        <v>43</v>
      </c>
      <c r="G2370" s="33">
        <v>8.8987499999999997</v>
      </c>
      <c r="H2370" s="83" t="s">
        <v>89</v>
      </c>
    </row>
    <row r="2371" spans="1:8" ht="16.5" customHeight="1" x14ac:dyDescent="0.25">
      <c r="A2371" s="27">
        <v>45939</v>
      </c>
      <c r="B2371" s="80">
        <v>2025</v>
      </c>
      <c r="C2371" s="80">
        <v>10</v>
      </c>
      <c r="D2371" s="30" t="s">
        <v>65</v>
      </c>
      <c r="E2371" s="30" t="s">
        <v>71</v>
      </c>
      <c r="F2371" s="30" t="s">
        <v>47</v>
      </c>
      <c r="G2371" s="33">
        <v>39.9</v>
      </c>
      <c r="H2371" s="83" t="s">
        <v>89</v>
      </c>
    </row>
    <row r="2372" spans="1:8" ht="16.5" customHeight="1" x14ac:dyDescent="0.25">
      <c r="A2372" s="27">
        <v>45939</v>
      </c>
      <c r="B2372" s="80">
        <v>2025</v>
      </c>
      <c r="C2372" s="80">
        <v>10</v>
      </c>
      <c r="D2372" s="30" t="s">
        <v>65</v>
      </c>
      <c r="E2372" s="30" t="s">
        <v>73</v>
      </c>
      <c r="F2372" s="30" t="s">
        <v>39</v>
      </c>
      <c r="G2372" s="33">
        <v>9.5253599999999992</v>
      </c>
      <c r="H2372" s="83" t="s">
        <v>89</v>
      </c>
    </row>
    <row r="2373" spans="1:8" ht="16.5" customHeight="1" x14ac:dyDescent="0.25">
      <c r="A2373" s="27">
        <v>45939</v>
      </c>
      <c r="B2373" s="80">
        <v>2025</v>
      </c>
      <c r="C2373" s="80">
        <v>10</v>
      </c>
      <c r="D2373" s="30" t="s">
        <v>65</v>
      </c>
      <c r="E2373" s="30" t="s">
        <v>74</v>
      </c>
      <c r="F2373" s="30" t="s">
        <v>43</v>
      </c>
      <c r="G2373" s="33">
        <v>15.794230000000001</v>
      </c>
      <c r="H2373" s="83" t="s">
        <v>89</v>
      </c>
    </row>
    <row r="2374" spans="1:8" ht="16.5" customHeight="1" x14ac:dyDescent="0.25">
      <c r="A2374" s="27">
        <v>45939</v>
      </c>
      <c r="B2374" s="80">
        <v>2025</v>
      </c>
      <c r="C2374" s="80">
        <v>10</v>
      </c>
      <c r="D2374" s="30" t="s">
        <v>65</v>
      </c>
      <c r="E2374" s="30" t="s">
        <v>75</v>
      </c>
      <c r="F2374" s="30" t="s">
        <v>43</v>
      </c>
      <c r="G2374" s="33">
        <v>2.6371037500000001</v>
      </c>
      <c r="H2374" s="83" t="s">
        <v>48</v>
      </c>
    </row>
    <row r="2375" spans="1:8" ht="16.5" customHeight="1" x14ac:dyDescent="0.25">
      <c r="A2375" s="27">
        <v>45940</v>
      </c>
      <c r="B2375" s="80">
        <v>2025</v>
      </c>
      <c r="C2375" s="80">
        <v>10</v>
      </c>
      <c r="D2375" s="30" t="s">
        <v>65</v>
      </c>
      <c r="E2375" s="30" t="s">
        <v>38</v>
      </c>
      <c r="F2375" s="30" t="s">
        <v>43</v>
      </c>
      <c r="G2375" s="33">
        <v>1.258</v>
      </c>
      <c r="H2375" s="83" t="s">
        <v>88</v>
      </c>
    </row>
    <row r="2376" spans="1:8" ht="16.5" customHeight="1" x14ac:dyDescent="0.25">
      <c r="A2376" s="27">
        <v>45940</v>
      </c>
      <c r="B2376" s="80">
        <v>2025</v>
      </c>
      <c r="C2376" s="80">
        <v>10</v>
      </c>
      <c r="D2376" s="30" t="s">
        <v>65</v>
      </c>
      <c r="E2376" s="30" t="s">
        <v>38</v>
      </c>
      <c r="F2376" s="30" t="s">
        <v>55</v>
      </c>
      <c r="G2376" s="33">
        <v>0.28999999999999998</v>
      </c>
      <c r="H2376" s="83" t="s">
        <v>88</v>
      </c>
    </row>
    <row r="2377" spans="1:8" ht="16.5" customHeight="1" x14ac:dyDescent="0.25">
      <c r="A2377" s="27">
        <v>45940</v>
      </c>
      <c r="B2377" s="80">
        <v>2025</v>
      </c>
      <c r="C2377" s="80">
        <v>10</v>
      </c>
      <c r="D2377" s="30" t="s">
        <v>65</v>
      </c>
      <c r="E2377" s="30" t="s">
        <v>46</v>
      </c>
      <c r="F2377" s="30" t="s">
        <v>43</v>
      </c>
      <c r="G2377" s="33">
        <v>1.232021</v>
      </c>
      <c r="H2377" s="83" t="s">
        <v>88</v>
      </c>
    </row>
    <row r="2378" spans="1:8" ht="16.5" customHeight="1" x14ac:dyDescent="0.25">
      <c r="A2378" s="27">
        <v>45940</v>
      </c>
      <c r="B2378" s="80">
        <v>2025</v>
      </c>
      <c r="C2378" s="80">
        <v>10</v>
      </c>
      <c r="D2378" s="30" t="s">
        <v>65</v>
      </c>
      <c r="E2378" s="30" t="s">
        <v>50</v>
      </c>
      <c r="F2378" s="30" t="s">
        <v>43</v>
      </c>
      <c r="G2378" s="33">
        <v>42.957858999999999</v>
      </c>
      <c r="H2378" s="83" t="s">
        <v>88</v>
      </c>
    </row>
    <row r="2379" spans="1:8" ht="16.5" customHeight="1" x14ac:dyDescent="0.25">
      <c r="A2379" s="27">
        <v>45940</v>
      </c>
      <c r="B2379" s="80">
        <v>2025</v>
      </c>
      <c r="C2379" s="80">
        <v>10</v>
      </c>
      <c r="D2379" s="30" t="s">
        <v>65</v>
      </c>
      <c r="E2379" s="30" t="s">
        <v>50</v>
      </c>
      <c r="F2379" s="30" t="s">
        <v>51</v>
      </c>
      <c r="G2379" s="33">
        <v>0.25074999999999997</v>
      </c>
      <c r="H2379" s="83" t="s">
        <v>88</v>
      </c>
    </row>
    <row r="2380" spans="1:8" ht="16.5" customHeight="1" x14ac:dyDescent="0.25">
      <c r="A2380" s="27">
        <v>45940</v>
      </c>
      <c r="B2380" s="80">
        <v>2025</v>
      </c>
      <c r="C2380" s="80">
        <v>10</v>
      </c>
      <c r="D2380" s="30" t="s">
        <v>65</v>
      </c>
      <c r="E2380" s="30" t="s">
        <v>50</v>
      </c>
      <c r="F2380" s="30" t="s">
        <v>58</v>
      </c>
      <c r="G2380" s="33">
        <v>1.7469914</v>
      </c>
      <c r="H2380" s="83" t="s">
        <v>88</v>
      </c>
    </row>
    <row r="2381" spans="1:8" ht="16.5" customHeight="1" x14ac:dyDescent="0.25">
      <c r="A2381" s="27">
        <v>45940</v>
      </c>
      <c r="B2381" s="80">
        <v>2025</v>
      </c>
      <c r="C2381" s="80">
        <v>10</v>
      </c>
      <c r="D2381" s="30" t="s">
        <v>65</v>
      </c>
      <c r="E2381" s="30" t="s">
        <v>54</v>
      </c>
      <c r="F2381" s="30" t="s">
        <v>43</v>
      </c>
      <c r="G2381" s="33">
        <v>4.7452500000000004</v>
      </c>
      <c r="H2381" s="83" t="s">
        <v>88</v>
      </c>
    </row>
    <row r="2382" spans="1:8" ht="16.5" customHeight="1" x14ac:dyDescent="0.25">
      <c r="A2382" s="27">
        <v>45940</v>
      </c>
      <c r="B2382" s="80">
        <v>2025</v>
      </c>
      <c r="C2382" s="80">
        <v>10</v>
      </c>
      <c r="D2382" s="30" t="s">
        <v>65</v>
      </c>
      <c r="E2382" s="30" t="s">
        <v>66</v>
      </c>
      <c r="F2382" s="30" t="s">
        <v>43</v>
      </c>
      <c r="G2382" s="33">
        <v>1.6695</v>
      </c>
      <c r="H2382" s="83" t="s">
        <v>89</v>
      </c>
    </row>
    <row r="2383" spans="1:8" ht="16.5" customHeight="1" x14ac:dyDescent="0.25">
      <c r="A2383" s="27">
        <v>45940</v>
      </c>
      <c r="B2383" s="80">
        <v>2025</v>
      </c>
      <c r="C2383" s="80">
        <v>10</v>
      </c>
      <c r="D2383" s="30" t="s">
        <v>65</v>
      </c>
      <c r="E2383" s="30" t="s">
        <v>68</v>
      </c>
      <c r="F2383" s="30" t="s">
        <v>43</v>
      </c>
      <c r="G2383" s="33">
        <v>9.1920000000000002</v>
      </c>
      <c r="H2383" s="83" t="s">
        <v>89</v>
      </c>
    </row>
    <row r="2384" spans="1:8" ht="16.5" customHeight="1" x14ac:dyDescent="0.25">
      <c r="A2384" s="27">
        <v>45940</v>
      </c>
      <c r="B2384" s="80">
        <v>2025</v>
      </c>
      <c r="C2384" s="80">
        <v>10</v>
      </c>
      <c r="D2384" s="30" t="s">
        <v>65</v>
      </c>
      <c r="E2384" s="30" t="s">
        <v>74</v>
      </c>
      <c r="F2384" s="30" t="s">
        <v>39</v>
      </c>
      <c r="G2384" s="33">
        <v>13.4125</v>
      </c>
      <c r="H2384" s="83" t="s">
        <v>89</v>
      </c>
    </row>
    <row r="2385" spans="1:8" ht="16.5" customHeight="1" x14ac:dyDescent="0.25">
      <c r="A2385" s="27">
        <v>45943</v>
      </c>
      <c r="B2385" s="80">
        <v>2025</v>
      </c>
      <c r="C2385" s="80">
        <v>10</v>
      </c>
      <c r="D2385" s="30" t="s">
        <v>65</v>
      </c>
      <c r="E2385" s="30" t="s">
        <v>38</v>
      </c>
      <c r="F2385" s="30" t="s">
        <v>43</v>
      </c>
      <c r="G2385" s="33">
        <v>3.2737500000000002</v>
      </c>
      <c r="H2385" s="83" t="s">
        <v>88</v>
      </c>
    </row>
    <row r="2386" spans="1:8" ht="16.5" customHeight="1" x14ac:dyDescent="0.25">
      <c r="A2386" s="27">
        <v>45943</v>
      </c>
      <c r="B2386" s="80">
        <v>2025</v>
      </c>
      <c r="C2386" s="80">
        <v>10</v>
      </c>
      <c r="D2386" s="30" t="s">
        <v>65</v>
      </c>
      <c r="E2386" s="30" t="s">
        <v>38</v>
      </c>
      <c r="F2386" s="30" t="s">
        <v>55</v>
      </c>
      <c r="G2386" s="33">
        <v>0.51</v>
      </c>
      <c r="H2386" s="83" t="s">
        <v>88</v>
      </c>
    </row>
    <row r="2387" spans="1:8" ht="16.5" customHeight="1" x14ac:dyDescent="0.25">
      <c r="A2387" s="27">
        <v>45943</v>
      </c>
      <c r="B2387" s="80">
        <v>2025</v>
      </c>
      <c r="C2387" s="80">
        <v>10</v>
      </c>
      <c r="D2387" s="30" t="s">
        <v>65</v>
      </c>
      <c r="E2387" s="30" t="s">
        <v>42</v>
      </c>
      <c r="F2387" s="30" t="s">
        <v>43</v>
      </c>
      <c r="G2387" s="33">
        <v>14.4795</v>
      </c>
      <c r="H2387" s="83" t="s">
        <v>88</v>
      </c>
    </row>
    <row r="2388" spans="1:8" ht="16.5" customHeight="1" x14ac:dyDescent="0.25">
      <c r="A2388" s="27">
        <v>45943</v>
      </c>
      <c r="B2388" s="80">
        <v>2025</v>
      </c>
      <c r="C2388" s="80">
        <v>10</v>
      </c>
      <c r="D2388" s="30" t="s">
        <v>65</v>
      </c>
      <c r="E2388" s="30" t="s">
        <v>46</v>
      </c>
      <c r="F2388" s="30" t="s">
        <v>43</v>
      </c>
      <c r="G2388" s="33">
        <v>1.0637648</v>
      </c>
      <c r="H2388" s="83" t="s">
        <v>88</v>
      </c>
    </row>
    <row r="2389" spans="1:8" ht="16.5" customHeight="1" x14ac:dyDescent="0.25">
      <c r="A2389" s="27">
        <v>45943</v>
      </c>
      <c r="B2389" s="80">
        <v>2025</v>
      </c>
      <c r="C2389" s="80">
        <v>10</v>
      </c>
      <c r="D2389" s="30" t="s">
        <v>65</v>
      </c>
      <c r="E2389" s="30" t="s">
        <v>46</v>
      </c>
      <c r="F2389" s="30" t="s">
        <v>51</v>
      </c>
      <c r="G2389" s="33">
        <v>0.72319999999999995</v>
      </c>
      <c r="H2389" s="83" t="s">
        <v>88</v>
      </c>
    </row>
    <row r="2390" spans="1:8" ht="16.5" customHeight="1" x14ac:dyDescent="0.25">
      <c r="A2390" s="27">
        <v>45943</v>
      </c>
      <c r="B2390" s="80">
        <v>2025</v>
      </c>
      <c r="C2390" s="80">
        <v>10</v>
      </c>
      <c r="D2390" s="30" t="s">
        <v>65</v>
      </c>
      <c r="E2390" s="30" t="s">
        <v>50</v>
      </c>
      <c r="F2390" s="30" t="s">
        <v>43</v>
      </c>
      <c r="G2390" s="33">
        <v>95.482977959999999</v>
      </c>
      <c r="H2390" s="83" t="s">
        <v>88</v>
      </c>
    </row>
    <row r="2391" spans="1:8" ht="16.5" customHeight="1" x14ac:dyDescent="0.25">
      <c r="A2391" s="27">
        <v>45943</v>
      </c>
      <c r="B2391" s="80">
        <v>2025</v>
      </c>
      <c r="C2391" s="80">
        <v>10</v>
      </c>
      <c r="D2391" s="30" t="s">
        <v>65</v>
      </c>
      <c r="E2391" s="30" t="s">
        <v>50</v>
      </c>
      <c r="F2391" s="30" t="s">
        <v>47</v>
      </c>
      <c r="G2391" s="33">
        <v>1.8345</v>
      </c>
      <c r="H2391" s="83" t="s">
        <v>88</v>
      </c>
    </row>
    <row r="2392" spans="1:8" ht="16.5" customHeight="1" x14ac:dyDescent="0.25">
      <c r="A2392" s="27">
        <v>45943</v>
      </c>
      <c r="B2392" s="80">
        <v>2025</v>
      </c>
      <c r="C2392" s="80">
        <v>10</v>
      </c>
      <c r="D2392" s="30" t="s">
        <v>65</v>
      </c>
      <c r="E2392" s="30" t="s">
        <v>50</v>
      </c>
      <c r="F2392" s="30" t="s">
        <v>51</v>
      </c>
      <c r="G2392" s="33">
        <v>0.50149999999999995</v>
      </c>
      <c r="H2392" s="83" t="s">
        <v>88</v>
      </c>
    </row>
    <row r="2393" spans="1:8" ht="16.5" customHeight="1" x14ac:dyDescent="0.25">
      <c r="A2393" s="27">
        <v>45943</v>
      </c>
      <c r="B2393" s="80">
        <v>2025</v>
      </c>
      <c r="C2393" s="80">
        <v>10</v>
      </c>
      <c r="D2393" s="30" t="s">
        <v>65</v>
      </c>
      <c r="E2393" s="30" t="s">
        <v>50</v>
      </c>
      <c r="F2393" s="30" t="s">
        <v>55</v>
      </c>
      <c r="G2393" s="33">
        <v>0.17849999999999999</v>
      </c>
      <c r="H2393" s="83" t="s">
        <v>88</v>
      </c>
    </row>
    <row r="2394" spans="1:8" ht="16.5" customHeight="1" x14ac:dyDescent="0.25">
      <c r="A2394" s="27">
        <v>45943</v>
      </c>
      <c r="B2394" s="80">
        <v>2025</v>
      </c>
      <c r="C2394" s="80">
        <v>10</v>
      </c>
      <c r="D2394" s="30" t="s">
        <v>65</v>
      </c>
      <c r="E2394" s="30" t="s">
        <v>50</v>
      </c>
      <c r="F2394" s="30" t="s">
        <v>58</v>
      </c>
      <c r="G2394" s="33">
        <v>1.0858749999999999</v>
      </c>
      <c r="H2394" s="83" t="s">
        <v>88</v>
      </c>
    </row>
    <row r="2395" spans="1:8" ht="16.5" customHeight="1" x14ac:dyDescent="0.25">
      <c r="A2395" s="27">
        <v>45943</v>
      </c>
      <c r="B2395" s="80">
        <v>2025</v>
      </c>
      <c r="C2395" s="80">
        <v>10</v>
      </c>
      <c r="D2395" s="30" t="s">
        <v>65</v>
      </c>
      <c r="E2395" s="30" t="s">
        <v>54</v>
      </c>
      <c r="F2395" s="30" t="s">
        <v>43</v>
      </c>
      <c r="G2395" s="33">
        <v>5.3029999999999999</v>
      </c>
      <c r="H2395" s="83" t="s">
        <v>88</v>
      </c>
    </row>
    <row r="2396" spans="1:8" ht="16.5" customHeight="1" x14ac:dyDescent="0.25">
      <c r="A2396" s="27">
        <v>45943</v>
      </c>
      <c r="B2396" s="80">
        <v>2025</v>
      </c>
      <c r="C2396" s="80">
        <v>10</v>
      </c>
      <c r="D2396" s="30" t="s">
        <v>65</v>
      </c>
      <c r="E2396" s="30" t="s">
        <v>61</v>
      </c>
      <c r="F2396" s="30" t="s">
        <v>43</v>
      </c>
      <c r="G2396" s="33">
        <v>5.2</v>
      </c>
      <c r="H2396" s="83" t="s">
        <v>89</v>
      </c>
    </row>
    <row r="2397" spans="1:8" ht="16.5" customHeight="1" x14ac:dyDescent="0.25">
      <c r="A2397" s="27">
        <v>45943</v>
      </c>
      <c r="B2397" s="80">
        <v>2025</v>
      </c>
      <c r="C2397" s="80">
        <v>10</v>
      </c>
      <c r="D2397" s="30" t="s">
        <v>65</v>
      </c>
      <c r="E2397" s="30" t="s">
        <v>68</v>
      </c>
      <c r="F2397" s="30" t="s">
        <v>47</v>
      </c>
      <c r="G2397" s="33">
        <v>3.8555999999999999</v>
      </c>
      <c r="H2397" s="83" t="s">
        <v>89</v>
      </c>
    </row>
    <row r="2398" spans="1:8" ht="16.5" customHeight="1" x14ac:dyDescent="0.25">
      <c r="A2398" s="27">
        <v>45943</v>
      </c>
      <c r="B2398" s="80">
        <v>2025</v>
      </c>
      <c r="C2398" s="80">
        <v>10</v>
      </c>
      <c r="D2398" s="30" t="s">
        <v>65</v>
      </c>
      <c r="E2398" s="30" t="s">
        <v>68</v>
      </c>
      <c r="F2398" s="30" t="s">
        <v>51</v>
      </c>
      <c r="G2398" s="33">
        <v>1.0449999999999999</v>
      </c>
      <c r="H2398" s="83" t="s">
        <v>89</v>
      </c>
    </row>
    <row r="2399" spans="1:8" ht="16.5" customHeight="1" x14ac:dyDescent="0.25">
      <c r="A2399" s="27">
        <v>45943</v>
      </c>
      <c r="B2399" s="80">
        <v>2025</v>
      </c>
      <c r="C2399" s="80">
        <v>10</v>
      </c>
      <c r="D2399" s="30" t="s">
        <v>65</v>
      </c>
      <c r="E2399" s="30" t="s">
        <v>76</v>
      </c>
      <c r="F2399" s="30" t="s">
        <v>39</v>
      </c>
      <c r="G2399" s="33">
        <v>1.31325</v>
      </c>
      <c r="H2399" s="83" t="s">
        <v>48</v>
      </c>
    </row>
    <row r="2400" spans="1:8" ht="16.5" customHeight="1" x14ac:dyDescent="0.25">
      <c r="A2400" s="27">
        <v>45944</v>
      </c>
      <c r="B2400" s="80">
        <v>2025</v>
      </c>
      <c r="C2400" s="80">
        <v>10</v>
      </c>
      <c r="D2400" s="30" t="s">
        <v>65</v>
      </c>
      <c r="E2400" s="30" t="s">
        <v>38</v>
      </c>
      <c r="F2400" s="30" t="s">
        <v>43</v>
      </c>
      <c r="G2400" s="33">
        <v>21.711175999999998</v>
      </c>
      <c r="H2400" s="83" t="s">
        <v>88</v>
      </c>
    </row>
    <row r="2401" spans="1:8" ht="16.5" customHeight="1" x14ac:dyDescent="0.25">
      <c r="A2401" s="27">
        <v>45944</v>
      </c>
      <c r="B2401" s="80">
        <v>2025</v>
      </c>
      <c r="C2401" s="80">
        <v>10</v>
      </c>
      <c r="D2401" s="30" t="s">
        <v>65</v>
      </c>
      <c r="E2401" s="30" t="s">
        <v>46</v>
      </c>
      <c r="F2401" s="30" t="s">
        <v>43</v>
      </c>
      <c r="G2401" s="33">
        <v>3.7308759</v>
      </c>
      <c r="H2401" s="83" t="s">
        <v>88</v>
      </c>
    </row>
    <row r="2402" spans="1:8" ht="16.5" customHeight="1" x14ac:dyDescent="0.25">
      <c r="A2402" s="27">
        <v>45944</v>
      </c>
      <c r="B2402" s="80">
        <v>2025</v>
      </c>
      <c r="C2402" s="80">
        <v>10</v>
      </c>
      <c r="D2402" s="30" t="s">
        <v>65</v>
      </c>
      <c r="E2402" s="30" t="s">
        <v>46</v>
      </c>
      <c r="F2402" s="30" t="s">
        <v>58</v>
      </c>
      <c r="G2402" s="33">
        <v>1.60147152</v>
      </c>
      <c r="H2402" s="83" t="s">
        <v>88</v>
      </c>
    </row>
    <row r="2403" spans="1:8" ht="16.5" customHeight="1" x14ac:dyDescent="0.25">
      <c r="A2403" s="27">
        <v>45944</v>
      </c>
      <c r="B2403" s="80">
        <v>2025</v>
      </c>
      <c r="C2403" s="80">
        <v>10</v>
      </c>
      <c r="D2403" s="30" t="s">
        <v>65</v>
      </c>
      <c r="E2403" s="30" t="s">
        <v>50</v>
      </c>
      <c r="F2403" s="30" t="s">
        <v>43</v>
      </c>
      <c r="G2403" s="33">
        <v>10.546287375</v>
      </c>
      <c r="H2403" s="83" t="s">
        <v>88</v>
      </c>
    </row>
    <row r="2404" spans="1:8" ht="16.5" customHeight="1" x14ac:dyDescent="0.25">
      <c r="A2404" s="27">
        <v>45944</v>
      </c>
      <c r="B2404" s="80">
        <v>2025</v>
      </c>
      <c r="C2404" s="80">
        <v>10</v>
      </c>
      <c r="D2404" s="30" t="s">
        <v>65</v>
      </c>
      <c r="E2404" s="30" t="s">
        <v>50</v>
      </c>
      <c r="F2404" s="30" t="s">
        <v>55</v>
      </c>
      <c r="G2404" s="33">
        <v>0.95748</v>
      </c>
      <c r="H2404" s="83" t="s">
        <v>88</v>
      </c>
    </row>
    <row r="2405" spans="1:8" ht="16.5" customHeight="1" x14ac:dyDescent="0.25">
      <c r="A2405" s="27">
        <v>45944</v>
      </c>
      <c r="B2405" s="80">
        <v>2025</v>
      </c>
      <c r="C2405" s="80">
        <v>10</v>
      </c>
      <c r="D2405" s="30" t="s">
        <v>65</v>
      </c>
      <c r="E2405" s="30" t="s">
        <v>50</v>
      </c>
      <c r="F2405" s="30" t="s">
        <v>58</v>
      </c>
      <c r="G2405" s="33">
        <v>1.5693097199999999</v>
      </c>
      <c r="H2405" s="83" t="s">
        <v>88</v>
      </c>
    </row>
    <row r="2406" spans="1:8" ht="16.5" customHeight="1" x14ac:dyDescent="0.25">
      <c r="A2406" s="27">
        <v>45944</v>
      </c>
      <c r="B2406" s="80">
        <v>2025</v>
      </c>
      <c r="C2406" s="80">
        <v>10</v>
      </c>
      <c r="D2406" s="30" t="s">
        <v>65</v>
      </c>
      <c r="E2406" s="30" t="s">
        <v>54</v>
      </c>
      <c r="F2406" s="30" t="s">
        <v>43</v>
      </c>
      <c r="G2406" s="33">
        <v>4.4634</v>
      </c>
      <c r="H2406" s="83" t="s">
        <v>88</v>
      </c>
    </row>
    <row r="2407" spans="1:8" ht="16.5" customHeight="1" x14ac:dyDescent="0.25">
      <c r="A2407" s="27">
        <v>45944</v>
      </c>
      <c r="B2407" s="80">
        <v>2025</v>
      </c>
      <c r="C2407" s="80">
        <v>10</v>
      </c>
      <c r="D2407" s="30" t="s">
        <v>65</v>
      </c>
      <c r="E2407" s="30" t="s">
        <v>57</v>
      </c>
      <c r="F2407" s="30" t="s">
        <v>43</v>
      </c>
      <c r="G2407" s="33">
        <v>8.2962000000000007</v>
      </c>
      <c r="H2407" s="83" t="s">
        <v>89</v>
      </c>
    </row>
    <row r="2408" spans="1:8" ht="16.5" customHeight="1" x14ac:dyDescent="0.25">
      <c r="A2408" s="27">
        <v>45944</v>
      </c>
      <c r="B2408" s="80">
        <v>2025</v>
      </c>
      <c r="C2408" s="80">
        <v>10</v>
      </c>
      <c r="D2408" s="30" t="s">
        <v>65</v>
      </c>
      <c r="E2408" s="30" t="s">
        <v>57</v>
      </c>
      <c r="F2408" s="30" t="s">
        <v>55</v>
      </c>
      <c r="G2408" s="33">
        <v>2.2080000000000002</v>
      </c>
      <c r="H2408" s="83" t="s">
        <v>89</v>
      </c>
    </row>
    <row r="2409" spans="1:8" ht="16.5" customHeight="1" x14ac:dyDescent="0.25">
      <c r="A2409" s="27">
        <v>45944</v>
      </c>
      <c r="B2409" s="80">
        <v>2025</v>
      </c>
      <c r="C2409" s="80">
        <v>10</v>
      </c>
      <c r="D2409" s="30" t="s">
        <v>65</v>
      </c>
      <c r="E2409" s="30" t="s">
        <v>61</v>
      </c>
      <c r="F2409" s="30" t="s">
        <v>43</v>
      </c>
      <c r="G2409" s="33">
        <v>2.04</v>
      </c>
      <c r="H2409" s="83" t="s">
        <v>89</v>
      </c>
    </row>
    <row r="2410" spans="1:8" ht="16.5" customHeight="1" x14ac:dyDescent="0.25">
      <c r="A2410" s="27">
        <v>45944</v>
      </c>
      <c r="B2410" s="80">
        <v>2025</v>
      </c>
      <c r="C2410" s="80">
        <v>10</v>
      </c>
      <c r="D2410" s="30" t="s">
        <v>65</v>
      </c>
      <c r="E2410" s="30" t="s">
        <v>66</v>
      </c>
      <c r="F2410" s="30" t="s">
        <v>43</v>
      </c>
      <c r="G2410" s="33">
        <v>1.425</v>
      </c>
      <c r="H2410" s="83" t="s">
        <v>89</v>
      </c>
    </row>
    <row r="2411" spans="1:8" ht="16.5" customHeight="1" x14ac:dyDescent="0.25">
      <c r="A2411" s="27">
        <v>45944</v>
      </c>
      <c r="B2411" s="80">
        <v>2025</v>
      </c>
      <c r="C2411" s="80">
        <v>10</v>
      </c>
      <c r="D2411" s="30" t="s">
        <v>65</v>
      </c>
      <c r="E2411" s="30" t="s">
        <v>68</v>
      </c>
      <c r="F2411" s="30" t="s">
        <v>51</v>
      </c>
      <c r="G2411" s="33">
        <v>1.1297600000000001</v>
      </c>
      <c r="H2411" s="83" t="s">
        <v>89</v>
      </c>
    </row>
    <row r="2412" spans="1:8" ht="16.5" customHeight="1" x14ac:dyDescent="0.25">
      <c r="A2412" s="27">
        <v>45944</v>
      </c>
      <c r="B2412" s="80">
        <v>2025</v>
      </c>
      <c r="C2412" s="80">
        <v>10</v>
      </c>
      <c r="D2412" s="30" t="s">
        <v>65</v>
      </c>
      <c r="E2412" s="30" t="s">
        <v>71</v>
      </c>
      <c r="F2412" s="30" t="s">
        <v>43</v>
      </c>
      <c r="G2412" s="33">
        <v>12.41</v>
      </c>
      <c r="H2412" s="83" t="s">
        <v>89</v>
      </c>
    </row>
    <row r="2413" spans="1:8" ht="16.5" customHeight="1" x14ac:dyDescent="0.25">
      <c r="A2413" s="27">
        <v>45945</v>
      </c>
      <c r="B2413" s="80">
        <v>2025</v>
      </c>
      <c r="C2413" s="80">
        <v>10</v>
      </c>
      <c r="D2413" s="30" t="s">
        <v>65</v>
      </c>
      <c r="E2413" s="30" t="s">
        <v>38</v>
      </c>
      <c r="F2413" s="30" t="s">
        <v>43</v>
      </c>
      <c r="G2413" s="33">
        <v>6.3644559999999997</v>
      </c>
      <c r="H2413" s="83" t="s">
        <v>88</v>
      </c>
    </row>
    <row r="2414" spans="1:8" ht="16.5" customHeight="1" x14ac:dyDescent="0.25">
      <c r="A2414" s="27">
        <v>45945</v>
      </c>
      <c r="B2414" s="80">
        <v>2025</v>
      </c>
      <c r="C2414" s="80">
        <v>10</v>
      </c>
      <c r="D2414" s="30" t="s">
        <v>65</v>
      </c>
      <c r="E2414" s="30" t="s">
        <v>42</v>
      </c>
      <c r="F2414" s="30" t="s">
        <v>43</v>
      </c>
      <c r="G2414" s="33">
        <v>9.2171280000000007</v>
      </c>
      <c r="H2414" s="83" t="s">
        <v>88</v>
      </c>
    </row>
    <row r="2415" spans="1:8" ht="16.5" customHeight="1" x14ac:dyDescent="0.25">
      <c r="A2415" s="27">
        <v>45945</v>
      </c>
      <c r="B2415" s="80">
        <v>2025</v>
      </c>
      <c r="C2415" s="80">
        <v>10</v>
      </c>
      <c r="D2415" s="30" t="s">
        <v>65</v>
      </c>
      <c r="E2415" s="30" t="s">
        <v>50</v>
      </c>
      <c r="F2415" s="30" t="s">
        <v>43</v>
      </c>
      <c r="G2415" s="33">
        <v>13.084250000000001</v>
      </c>
      <c r="H2415" s="83" t="s">
        <v>88</v>
      </c>
    </row>
    <row r="2416" spans="1:8" ht="16.5" customHeight="1" x14ac:dyDescent="0.25">
      <c r="A2416" s="27">
        <v>45945</v>
      </c>
      <c r="B2416" s="80">
        <v>2025</v>
      </c>
      <c r="C2416" s="80">
        <v>10</v>
      </c>
      <c r="D2416" s="30" t="s">
        <v>65</v>
      </c>
      <c r="E2416" s="30" t="s">
        <v>50</v>
      </c>
      <c r="F2416" s="30" t="s">
        <v>58</v>
      </c>
      <c r="G2416" s="33">
        <v>0.21154545999999999</v>
      </c>
      <c r="H2416" s="83" t="s">
        <v>88</v>
      </c>
    </row>
    <row r="2417" spans="1:8" ht="16.5" customHeight="1" x14ac:dyDescent="0.25">
      <c r="A2417" s="27">
        <v>45945</v>
      </c>
      <c r="B2417" s="80">
        <v>2025</v>
      </c>
      <c r="C2417" s="80">
        <v>10</v>
      </c>
      <c r="D2417" s="30" t="s">
        <v>65</v>
      </c>
      <c r="E2417" s="30" t="s">
        <v>54</v>
      </c>
      <c r="F2417" s="30" t="s">
        <v>43</v>
      </c>
      <c r="G2417" s="33">
        <v>5.5754999999999999</v>
      </c>
      <c r="H2417" s="83" t="s">
        <v>88</v>
      </c>
    </row>
    <row r="2418" spans="1:8" ht="16.5" customHeight="1" x14ac:dyDescent="0.25">
      <c r="A2418" s="27">
        <v>45945</v>
      </c>
      <c r="B2418" s="80">
        <v>2025</v>
      </c>
      <c r="C2418" s="80">
        <v>10</v>
      </c>
      <c r="D2418" s="30" t="s">
        <v>65</v>
      </c>
      <c r="E2418" s="30" t="s">
        <v>57</v>
      </c>
      <c r="F2418" s="30" t="s">
        <v>51</v>
      </c>
      <c r="G2418" s="33">
        <v>0.58799999999999997</v>
      </c>
      <c r="H2418" s="83" t="s">
        <v>89</v>
      </c>
    </row>
    <row r="2419" spans="1:8" ht="16.5" customHeight="1" x14ac:dyDescent="0.25">
      <c r="A2419" s="27">
        <v>45945</v>
      </c>
      <c r="B2419" s="80">
        <v>2025</v>
      </c>
      <c r="C2419" s="80">
        <v>10</v>
      </c>
      <c r="D2419" s="30" t="s">
        <v>65</v>
      </c>
      <c r="E2419" s="30" t="s">
        <v>66</v>
      </c>
      <c r="F2419" s="30" t="s">
        <v>43</v>
      </c>
      <c r="G2419" s="33">
        <v>2.3633999999999999</v>
      </c>
      <c r="H2419" s="83" t="s">
        <v>89</v>
      </c>
    </row>
    <row r="2420" spans="1:8" ht="16.5" customHeight="1" x14ac:dyDescent="0.25">
      <c r="A2420" s="27">
        <v>45945</v>
      </c>
      <c r="B2420" s="80">
        <v>2025</v>
      </c>
      <c r="C2420" s="80">
        <v>10</v>
      </c>
      <c r="D2420" s="30" t="s">
        <v>65</v>
      </c>
      <c r="E2420" s="30" t="s">
        <v>68</v>
      </c>
      <c r="F2420" s="30" t="s">
        <v>43</v>
      </c>
      <c r="G2420" s="33">
        <v>2.59</v>
      </c>
      <c r="H2420" s="83" t="s">
        <v>89</v>
      </c>
    </row>
    <row r="2421" spans="1:8" ht="16.5" customHeight="1" x14ac:dyDescent="0.25">
      <c r="A2421" s="27">
        <v>45945</v>
      </c>
      <c r="B2421" s="80">
        <v>2025</v>
      </c>
      <c r="C2421" s="80">
        <v>10</v>
      </c>
      <c r="D2421" s="30" t="s">
        <v>65</v>
      </c>
      <c r="E2421" s="30" t="s">
        <v>75</v>
      </c>
      <c r="F2421" s="30" t="s">
        <v>43</v>
      </c>
      <c r="G2421" s="33">
        <v>5.1532447499999998</v>
      </c>
      <c r="H2421" s="83" t="s">
        <v>48</v>
      </c>
    </row>
    <row r="2422" spans="1:8" ht="16.5" customHeight="1" x14ac:dyDescent="0.25">
      <c r="A2422" s="27">
        <v>45945</v>
      </c>
      <c r="B2422" s="80">
        <v>2025</v>
      </c>
      <c r="C2422" s="80">
        <v>10</v>
      </c>
      <c r="D2422" s="30" t="s">
        <v>65</v>
      </c>
      <c r="E2422" s="30" t="s">
        <v>76</v>
      </c>
      <c r="F2422" s="30" t="s">
        <v>39</v>
      </c>
      <c r="G2422" s="33">
        <v>62.4159595</v>
      </c>
      <c r="H2422" s="83" t="s">
        <v>48</v>
      </c>
    </row>
    <row r="2423" spans="1:8" ht="16.5" customHeight="1" x14ac:dyDescent="0.25">
      <c r="A2423" s="27">
        <v>45946</v>
      </c>
      <c r="B2423" s="80">
        <v>2025</v>
      </c>
      <c r="C2423" s="80">
        <v>10</v>
      </c>
      <c r="D2423" s="30" t="s">
        <v>65</v>
      </c>
      <c r="E2423" s="30" t="s">
        <v>38</v>
      </c>
      <c r="F2423" s="30" t="s">
        <v>43</v>
      </c>
      <c r="G2423" s="33">
        <v>24.888000000000002</v>
      </c>
      <c r="H2423" s="83" t="s">
        <v>88</v>
      </c>
    </row>
    <row r="2424" spans="1:8" ht="16.5" customHeight="1" x14ac:dyDescent="0.25">
      <c r="A2424" s="27">
        <v>45946</v>
      </c>
      <c r="B2424" s="80">
        <v>2025</v>
      </c>
      <c r="C2424" s="80">
        <v>10</v>
      </c>
      <c r="D2424" s="30" t="s">
        <v>65</v>
      </c>
      <c r="E2424" s="30" t="s">
        <v>42</v>
      </c>
      <c r="F2424" s="30" t="s">
        <v>43</v>
      </c>
      <c r="G2424" s="33">
        <v>6.5032500000000004</v>
      </c>
      <c r="H2424" s="83" t="s">
        <v>88</v>
      </c>
    </row>
    <row r="2425" spans="1:8" ht="16.5" customHeight="1" x14ac:dyDescent="0.25">
      <c r="A2425" s="27">
        <v>45946</v>
      </c>
      <c r="B2425" s="80">
        <v>2025</v>
      </c>
      <c r="C2425" s="80">
        <v>10</v>
      </c>
      <c r="D2425" s="30" t="s">
        <v>65</v>
      </c>
      <c r="E2425" s="30" t="s">
        <v>42</v>
      </c>
      <c r="F2425" s="30" t="s">
        <v>47</v>
      </c>
      <c r="G2425" s="33">
        <v>6.7680000000000004E-2</v>
      </c>
      <c r="H2425" s="83" t="s">
        <v>88</v>
      </c>
    </row>
    <row r="2426" spans="1:8" ht="16.5" customHeight="1" x14ac:dyDescent="0.25">
      <c r="A2426" s="27">
        <v>45946</v>
      </c>
      <c r="B2426" s="80">
        <v>2025</v>
      </c>
      <c r="C2426" s="80">
        <v>10</v>
      </c>
      <c r="D2426" s="30" t="s">
        <v>65</v>
      </c>
      <c r="E2426" s="30" t="s">
        <v>42</v>
      </c>
      <c r="F2426" s="30" t="s">
        <v>51</v>
      </c>
      <c r="G2426" s="33">
        <v>0.2</v>
      </c>
      <c r="H2426" s="83" t="s">
        <v>88</v>
      </c>
    </row>
    <row r="2427" spans="1:8" ht="16.5" customHeight="1" x14ac:dyDescent="0.25">
      <c r="A2427" s="27">
        <v>45946</v>
      </c>
      <c r="B2427" s="80">
        <v>2025</v>
      </c>
      <c r="C2427" s="80">
        <v>10</v>
      </c>
      <c r="D2427" s="30" t="s">
        <v>65</v>
      </c>
      <c r="E2427" s="30" t="s">
        <v>46</v>
      </c>
      <c r="F2427" s="30" t="s">
        <v>43</v>
      </c>
      <c r="G2427" s="33">
        <v>2.3059162500000001</v>
      </c>
      <c r="H2427" s="83" t="s">
        <v>88</v>
      </c>
    </row>
    <row r="2428" spans="1:8" ht="16.5" customHeight="1" x14ac:dyDescent="0.25">
      <c r="A2428" s="27">
        <v>45946</v>
      </c>
      <c r="B2428" s="80">
        <v>2025</v>
      </c>
      <c r="C2428" s="80">
        <v>10</v>
      </c>
      <c r="D2428" s="30" t="s">
        <v>65</v>
      </c>
      <c r="E2428" s="30" t="s">
        <v>46</v>
      </c>
      <c r="F2428" s="30" t="s">
        <v>47</v>
      </c>
      <c r="G2428" s="33">
        <v>0.20924799999999999</v>
      </c>
      <c r="H2428" s="83" t="s">
        <v>88</v>
      </c>
    </row>
    <row r="2429" spans="1:8" ht="16.5" customHeight="1" x14ac:dyDescent="0.25">
      <c r="A2429" s="27">
        <v>45946</v>
      </c>
      <c r="B2429" s="80">
        <v>2025</v>
      </c>
      <c r="C2429" s="80">
        <v>10</v>
      </c>
      <c r="D2429" s="30" t="s">
        <v>65</v>
      </c>
      <c r="E2429" s="30" t="s">
        <v>46</v>
      </c>
      <c r="F2429" s="30" t="s">
        <v>55</v>
      </c>
      <c r="G2429" s="33">
        <v>1.082368</v>
      </c>
      <c r="H2429" s="83" t="s">
        <v>88</v>
      </c>
    </row>
    <row r="2430" spans="1:8" ht="16.5" customHeight="1" x14ac:dyDescent="0.25">
      <c r="A2430" s="27">
        <v>45946</v>
      </c>
      <c r="B2430" s="80">
        <v>2025</v>
      </c>
      <c r="C2430" s="80">
        <v>10</v>
      </c>
      <c r="D2430" s="30" t="s">
        <v>65</v>
      </c>
      <c r="E2430" s="30" t="s">
        <v>46</v>
      </c>
      <c r="F2430" s="30" t="s">
        <v>58</v>
      </c>
      <c r="G2430" s="33">
        <v>0.33043929999999999</v>
      </c>
      <c r="H2430" s="83" t="s">
        <v>88</v>
      </c>
    </row>
    <row r="2431" spans="1:8" ht="16.5" customHeight="1" x14ac:dyDescent="0.25">
      <c r="A2431" s="27">
        <v>45946</v>
      </c>
      <c r="B2431" s="80">
        <v>2025</v>
      </c>
      <c r="C2431" s="80">
        <v>10</v>
      </c>
      <c r="D2431" s="30" t="s">
        <v>65</v>
      </c>
      <c r="E2431" s="30" t="s">
        <v>50</v>
      </c>
      <c r="F2431" s="30" t="s">
        <v>43</v>
      </c>
      <c r="G2431" s="33">
        <v>9.8387840000000004</v>
      </c>
      <c r="H2431" s="83" t="s">
        <v>88</v>
      </c>
    </row>
    <row r="2432" spans="1:8" ht="16.5" customHeight="1" x14ac:dyDescent="0.25">
      <c r="A2432" s="27">
        <v>45946</v>
      </c>
      <c r="B2432" s="80">
        <v>2025</v>
      </c>
      <c r="C2432" s="80">
        <v>10</v>
      </c>
      <c r="D2432" s="30" t="s">
        <v>65</v>
      </c>
      <c r="E2432" s="30" t="s">
        <v>50</v>
      </c>
      <c r="F2432" s="30" t="s">
        <v>47</v>
      </c>
      <c r="G2432" s="33">
        <v>0.62160000000000004</v>
      </c>
      <c r="H2432" s="83" t="s">
        <v>88</v>
      </c>
    </row>
    <row r="2433" spans="1:8" ht="16.5" customHeight="1" x14ac:dyDescent="0.25">
      <c r="A2433" s="27">
        <v>45946</v>
      </c>
      <c r="B2433" s="80">
        <v>2025</v>
      </c>
      <c r="C2433" s="80">
        <v>10</v>
      </c>
      <c r="D2433" s="30" t="s">
        <v>65</v>
      </c>
      <c r="E2433" s="30" t="s">
        <v>50</v>
      </c>
      <c r="F2433" s="30" t="s">
        <v>58</v>
      </c>
      <c r="G2433" s="33">
        <v>0.46919652000000001</v>
      </c>
      <c r="H2433" s="83" t="s">
        <v>88</v>
      </c>
    </row>
    <row r="2434" spans="1:8" ht="16.5" customHeight="1" x14ac:dyDescent="0.25">
      <c r="A2434" s="27">
        <v>45946</v>
      </c>
      <c r="B2434" s="80">
        <v>2025</v>
      </c>
      <c r="C2434" s="80">
        <v>10</v>
      </c>
      <c r="D2434" s="30" t="s">
        <v>65</v>
      </c>
      <c r="E2434" s="30" t="s">
        <v>57</v>
      </c>
      <c r="F2434" s="30" t="s">
        <v>43</v>
      </c>
      <c r="G2434" s="33">
        <v>14.058</v>
      </c>
      <c r="H2434" s="83" t="s">
        <v>89</v>
      </c>
    </row>
    <row r="2435" spans="1:8" ht="16.5" customHeight="1" x14ac:dyDescent="0.25">
      <c r="A2435" s="27">
        <v>45946</v>
      </c>
      <c r="B2435" s="80">
        <v>2025</v>
      </c>
      <c r="C2435" s="80">
        <v>10</v>
      </c>
      <c r="D2435" s="30" t="s">
        <v>65</v>
      </c>
      <c r="E2435" s="30" t="s">
        <v>66</v>
      </c>
      <c r="F2435" s="30" t="s">
        <v>43</v>
      </c>
      <c r="G2435" s="33">
        <v>7.92</v>
      </c>
      <c r="H2435" s="83" t="s">
        <v>89</v>
      </c>
    </row>
    <row r="2436" spans="1:8" ht="16.5" customHeight="1" x14ac:dyDescent="0.25">
      <c r="A2436" s="27">
        <v>45946</v>
      </c>
      <c r="B2436" s="80">
        <v>2025</v>
      </c>
      <c r="C2436" s="80">
        <v>10</v>
      </c>
      <c r="D2436" s="30" t="s">
        <v>65</v>
      </c>
      <c r="E2436" s="30" t="s">
        <v>71</v>
      </c>
      <c r="F2436" s="30" t="s">
        <v>43</v>
      </c>
      <c r="G2436" s="33">
        <v>2.173</v>
      </c>
      <c r="H2436" s="83" t="s">
        <v>89</v>
      </c>
    </row>
    <row r="2437" spans="1:8" ht="16.5" customHeight="1" x14ac:dyDescent="0.25">
      <c r="A2437" s="27">
        <v>45946</v>
      </c>
      <c r="B2437" s="80">
        <v>2025</v>
      </c>
      <c r="C2437" s="80">
        <v>10</v>
      </c>
      <c r="D2437" s="30" t="s">
        <v>65</v>
      </c>
      <c r="E2437" s="30" t="s">
        <v>74</v>
      </c>
      <c r="F2437" s="30" t="s">
        <v>43</v>
      </c>
      <c r="G2437" s="33">
        <v>11.242000000000001</v>
      </c>
      <c r="H2437" s="83" t="s">
        <v>89</v>
      </c>
    </row>
    <row r="2438" spans="1:8" ht="16.5" customHeight="1" x14ac:dyDescent="0.25">
      <c r="A2438" s="27">
        <v>45947</v>
      </c>
      <c r="B2438" s="80">
        <v>2025</v>
      </c>
      <c r="C2438" s="80">
        <v>10</v>
      </c>
      <c r="D2438" s="30" t="s">
        <v>65</v>
      </c>
      <c r="E2438" s="30" t="s">
        <v>38</v>
      </c>
      <c r="F2438" s="30" t="s">
        <v>43</v>
      </c>
      <c r="G2438" s="33">
        <v>87.652000000000001</v>
      </c>
      <c r="H2438" s="83" t="s">
        <v>88</v>
      </c>
    </row>
    <row r="2439" spans="1:8" ht="16.5" customHeight="1" x14ac:dyDescent="0.25">
      <c r="A2439" s="27">
        <v>45947</v>
      </c>
      <c r="B2439" s="80">
        <v>2025</v>
      </c>
      <c r="C2439" s="80">
        <v>10</v>
      </c>
      <c r="D2439" s="30" t="s">
        <v>65</v>
      </c>
      <c r="E2439" s="30" t="s">
        <v>42</v>
      </c>
      <c r="F2439" s="30" t="s">
        <v>43</v>
      </c>
      <c r="G2439" s="33">
        <v>5.2640000000000002</v>
      </c>
      <c r="H2439" s="83" t="s">
        <v>88</v>
      </c>
    </row>
    <row r="2440" spans="1:8" ht="16.5" customHeight="1" x14ac:dyDescent="0.25">
      <c r="A2440" s="27">
        <v>45947</v>
      </c>
      <c r="B2440" s="80">
        <v>2025</v>
      </c>
      <c r="C2440" s="80">
        <v>10</v>
      </c>
      <c r="D2440" s="30" t="s">
        <v>65</v>
      </c>
      <c r="E2440" s="30" t="s">
        <v>42</v>
      </c>
      <c r="F2440" s="30" t="s">
        <v>55</v>
      </c>
      <c r="G2440" s="33">
        <v>0.95</v>
      </c>
      <c r="H2440" s="83" t="s">
        <v>88</v>
      </c>
    </row>
    <row r="2441" spans="1:8" ht="16.5" customHeight="1" x14ac:dyDescent="0.25">
      <c r="A2441" s="27">
        <v>45947</v>
      </c>
      <c r="B2441" s="80">
        <v>2025</v>
      </c>
      <c r="C2441" s="80">
        <v>10</v>
      </c>
      <c r="D2441" s="30" t="s">
        <v>65</v>
      </c>
      <c r="E2441" s="30" t="s">
        <v>46</v>
      </c>
      <c r="F2441" s="30" t="s">
        <v>58</v>
      </c>
      <c r="G2441" s="33">
        <v>2.869475</v>
      </c>
      <c r="H2441" s="83" t="s">
        <v>88</v>
      </c>
    </row>
    <row r="2442" spans="1:8" ht="16.5" customHeight="1" x14ac:dyDescent="0.25">
      <c r="A2442" s="27">
        <v>45947</v>
      </c>
      <c r="B2442" s="80">
        <v>2025</v>
      </c>
      <c r="C2442" s="80">
        <v>10</v>
      </c>
      <c r="D2442" s="30" t="s">
        <v>65</v>
      </c>
      <c r="E2442" s="30" t="s">
        <v>50</v>
      </c>
      <c r="F2442" s="30" t="s">
        <v>58</v>
      </c>
      <c r="G2442" s="33">
        <v>0.857375055</v>
      </c>
      <c r="H2442" s="83" t="s">
        <v>88</v>
      </c>
    </row>
    <row r="2443" spans="1:8" ht="16.5" customHeight="1" x14ac:dyDescent="0.25">
      <c r="A2443" s="27">
        <v>45947</v>
      </c>
      <c r="B2443" s="80">
        <v>2025</v>
      </c>
      <c r="C2443" s="80">
        <v>10</v>
      </c>
      <c r="D2443" s="30" t="s">
        <v>65</v>
      </c>
      <c r="E2443" s="30" t="s">
        <v>54</v>
      </c>
      <c r="F2443" s="30" t="s">
        <v>43</v>
      </c>
      <c r="G2443" s="33">
        <v>7.5491000000000001</v>
      </c>
      <c r="H2443" s="83" t="s">
        <v>88</v>
      </c>
    </row>
    <row r="2444" spans="1:8" ht="16.5" customHeight="1" x14ac:dyDescent="0.25">
      <c r="A2444" s="27">
        <v>45947</v>
      </c>
      <c r="B2444" s="80">
        <v>2025</v>
      </c>
      <c r="C2444" s="80">
        <v>10</v>
      </c>
      <c r="D2444" s="30" t="s">
        <v>65</v>
      </c>
      <c r="E2444" s="30" t="s">
        <v>54</v>
      </c>
      <c r="F2444" s="30" t="s">
        <v>47</v>
      </c>
      <c r="G2444" s="33">
        <v>0.06</v>
      </c>
      <c r="H2444" s="83" t="s">
        <v>88</v>
      </c>
    </row>
    <row r="2445" spans="1:8" ht="16.5" customHeight="1" x14ac:dyDescent="0.25">
      <c r="A2445" s="27">
        <v>45947</v>
      </c>
      <c r="B2445" s="80">
        <v>2025</v>
      </c>
      <c r="C2445" s="80">
        <v>10</v>
      </c>
      <c r="D2445" s="30" t="s">
        <v>65</v>
      </c>
      <c r="E2445" s="30" t="s">
        <v>57</v>
      </c>
      <c r="F2445" s="30" t="s">
        <v>43</v>
      </c>
      <c r="G2445" s="33">
        <v>29.55735</v>
      </c>
      <c r="H2445" s="83" t="s">
        <v>89</v>
      </c>
    </row>
    <row r="2446" spans="1:8" ht="16.5" customHeight="1" x14ac:dyDescent="0.25">
      <c r="A2446" s="27">
        <v>45947</v>
      </c>
      <c r="B2446" s="80">
        <v>2025</v>
      </c>
      <c r="C2446" s="80">
        <v>10</v>
      </c>
      <c r="D2446" s="30" t="s">
        <v>65</v>
      </c>
      <c r="E2446" s="30" t="s">
        <v>61</v>
      </c>
      <c r="F2446" s="30" t="s">
        <v>43</v>
      </c>
      <c r="G2446" s="33">
        <v>29.725000000000001</v>
      </c>
      <c r="H2446" s="83" t="s">
        <v>89</v>
      </c>
    </row>
    <row r="2447" spans="1:8" ht="16.5" customHeight="1" x14ac:dyDescent="0.25">
      <c r="A2447" s="27">
        <v>45947</v>
      </c>
      <c r="B2447" s="80">
        <v>2025</v>
      </c>
      <c r="C2447" s="80">
        <v>10</v>
      </c>
      <c r="D2447" s="30" t="s">
        <v>65</v>
      </c>
      <c r="E2447" s="30" t="s">
        <v>68</v>
      </c>
      <c r="F2447" s="30" t="s">
        <v>43</v>
      </c>
      <c r="G2447" s="33">
        <v>0.42</v>
      </c>
      <c r="H2447" s="83" t="s">
        <v>89</v>
      </c>
    </row>
    <row r="2448" spans="1:8" ht="16.5" customHeight="1" x14ac:dyDescent="0.25">
      <c r="A2448" s="27">
        <v>45947</v>
      </c>
      <c r="B2448" s="80">
        <v>2025</v>
      </c>
      <c r="C2448" s="80">
        <v>10</v>
      </c>
      <c r="D2448" s="30" t="s">
        <v>65</v>
      </c>
      <c r="E2448" s="30" t="s">
        <v>68</v>
      </c>
      <c r="F2448" s="30" t="s">
        <v>47</v>
      </c>
      <c r="G2448" s="33">
        <v>0.56999999999999995</v>
      </c>
      <c r="H2448" s="83" t="s">
        <v>89</v>
      </c>
    </row>
    <row r="2449" spans="1:8" ht="16.5" customHeight="1" x14ac:dyDescent="0.25">
      <c r="A2449" s="27">
        <v>45947</v>
      </c>
      <c r="B2449" s="80">
        <v>2025</v>
      </c>
      <c r="C2449" s="80">
        <v>10</v>
      </c>
      <c r="D2449" s="30" t="s">
        <v>65</v>
      </c>
      <c r="E2449" s="30" t="s">
        <v>75</v>
      </c>
      <c r="F2449" s="30" t="s">
        <v>43</v>
      </c>
      <c r="G2449" s="33">
        <v>15.282077749999999</v>
      </c>
      <c r="H2449" s="83" t="s">
        <v>48</v>
      </c>
    </row>
    <row r="2450" spans="1:8" ht="16.5" customHeight="1" x14ac:dyDescent="0.25">
      <c r="A2450" s="27">
        <v>45947</v>
      </c>
      <c r="B2450" s="80">
        <v>2025</v>
      </c>
      <c r="C2450" s="80">
        <v>10</v>
      </c>
      <c r="D2450" s="30" t="s">
        <v>65</v>
      </c>
      <c r="E2450" s="30" t="s">
        <v>76</v>
      </c>
      <c r="F2450" s="30" t="s">
        <v>39</v>
      </c>
      <c r="G2450" s="33">
        <v>147.75389200000001</v>
      </c>
      <c r="H2450" s="83" t="s">
        <v>48</v>
      </c>
    </row>
    <row r="2451" spans="1:8" ht="16.5" customHeight="1" x14ac:dyDescent="0.25">
      <c r="A2451" s="27">
        <v>45950</v>
      </c>
      <c r="B2451" s="80">
        <v>2025</v>
      </c>
      <c r="C2451" s="80">
        <v>10</v>
      </c>
      <c r="D2451" s="30" t="s">
        <v>65</v>
      </c>
      <c r="E2451" s="30" t="s">
        <v>38</v>
      </c>
      <c r="F2451" s="30" t="s">
        <v>43</v>
      </c>
      <c r="G2451" s="33">
        <v>9.657</v>
      </c>
      <c r="H2451" s="83" t="s">
        <v>88</v>
      </c>
    </row>
    <row r="2452" spans="1:8" ht="16.5" customHeight="1" x14ac:dyDescent="0.25">
      <c r="A2452" s="27">
        <v>45950</v>
      </c>
      <c r="B2452" s="80">
        <v>2025</v>
      </c>
      <c r="C2452" s="80">
        <v>10</v>
      </c>
      <c r="D2452" s="30" t="s">
        <v>65</v>
      </c>
      <c r="E2452" s="30" t="s">
        <v>38</v>
      </c>
      <c r="F2452" s="30" t="s">
        <v>55</v>
      </c>
      <c r="G2452" s="33">
        <v>0.84</v>
      </c>
      <c r="H2452" s="83" t="s">
        <v>88</v>
      </c>
    </row>
    <row r="2453" spans="1:8" ht="16.5" customHeight="1" x14ac:dyDescent="0.25">
      <c r="A2453" s="27">
        <v>45950</v>
      </c>
      <c r="B2453" s="80">
        <v>2025</v>
      </c>
      <c r="C2453" s="80">
        <v>10</v>
      </c>
      <c r="D2453" s="30" t="s">
        <v>65</v>
      </c>
      <c r="E2453" s="30" t="s">
        <v>38</v>
      </c>
      <c r="F2453" s="30" t="s">
        <v>58</v>
      </c>
      <c r="G2453" s="33">
        <v>0.29275000000000001</v>
      </c>
      <c r="H2453" s="83" t="s">
        <v>88</v>
      </c>
    </row>
    <row r="2454" spans="1:8" ht="16.5" customHeight="1" x14ac:dyDescent="0.25">
      <c r="A2454" s="27">
        <v>45950</v>
      </c>
      <c r="B2454" s="80">
        <v>2025</v>
      </c>
      <c r="C2454" s="80">
        <v>10</v>
      </c>
      <c r="D2454" s="30" t="s">
        <v>65</v>
      </c>
      <c r="E2454" s="30" t="s">
        <v>42</v>
      </c>
      <c r="F2454" s="30" t="s">
        <v>43</v>
      </c>
      <c r="G2454" s="33">
        <v>5.5735760000000001</v>
      </c>
      <c r="H2454" s="83" t="s">
        <v>88</v>
      </c>
    </row>
    <row r="2455" spans="1:8" ht="16.5" customHeight="1" x14ac:dyDescent="0.25">
      <c r="A2455" s="27">
        <v>45950</v>
      </c>
      <c r="B2455" s="80">
        <v>2025</v>
      </c>
      <c r="C2455" s="80">
        <v>10</v>
      </c>
      <c r="D2455" s="30" t="s">
        <v>65</v>
      </c>
      <c r="E2455" s="30" t="s">
        <v>46</v>
      </c>
      <c r="F2455" s="30" t="s">
        <v>43</v>
      </c>
      <c r="G2455" s="33">
        <v>13.1371954</v>
      </c>
      <c r="H2455" s="83" t="s">
        <v>88</v>
      </c>
    </row>
    <row r="2456" spans="1:8" ht="16.5" customHeight="1" x14ac:dyDescent="0.25">
      <c r="A2456" s="27">
        <v>45950</v>
      </c>
      <c r="B2456" s="80">
        <v>2025</v>
      </c>
      <c r="C2456" s="80">
        <v>10</v>
      </c>
      <c r="D2456" s="30" t="s">
        <v>65</v>
      </c>
      <c r="E2456" s="30" t="s">
        <v>46</v>
      </c>
      <c r="F2456" s="30" t="s">
        <v>58</v>
      </c>
      <c r="G2456" s="33">
        <v>7.0500480000000003</v>
      </c>
      <c r="H2456" s="83" t="s">
        <v>88</v>
      </c>
    </row>
    <row r="2457" spans="1:8" ht="16.5" customHeight="1" x14ac:dyDescent="0.25">
      <c r="A2457" s="27">
        <v>45950</v>
      </c>
      <c r="B2457" s="80">
        <v>2025</v>
      </c>
      <c r="C2457" s="80">
        <v>10</v>
      </c>
      <c r="D2457" s="30" t="s">
        <v>65</v>
      </c>
      <c r="E2457" s="30" t="s">
        <v>50</v>
      </c>
      <c r="F2457" s="30" t="s">
        <v>43</v>
      </c>
      <c r="G2457" s="33">
        <v>12.0103127</v>
      </c>
      <c r="H2457" s="83" t="s">
        <v>88</v>
      </c>
    </row>
    <row r="2458" spans="1:8" ht="16.5" customHeight="1" x14ac:dyDescent="0.25">
      <c r="A2458" s="27">
        <v>45950</v>
      </c>
      <c r="B2458" s="80">
        <v>2025</v>
      </c>
      <c r="C2458" s="80">
        <v>10</v>
      </c>
      <c r="D2458" s="30" t="s">
        <v>65</v>
      </c>
      <c r="E2458" s="30" t="s">
        <v>50</v>
      </c>
      <c r="F2458" s="30" t="s">
        <v>47</v>
      </c>
      <c r="G2458" s="33">
        <v>0.76185000000000003</v>
      </c>
      <c r="H2458" s="83" t="s">
        <v>88</v>
      </c>
    </row>
    <row r="2459" spans="1:8" ht="16.5" customHeight="1" x14ac:dyDescent="0.25">
      <c r="A2459" s="27">
        <v>45950</v>
      </c>
      <c r="B2459" s="80">
        <v>2025</v>
      </c>
      <c r="C2459" s="80">
        <v>10</v>
      </c>
      <c r="D2459" s="30" t="s">
        <v>65</v>
      </c>
      <c r="E2459" s="30" t="s">
        <v>50</v>
      </c>
      <c r="F2459" s="30" t="s">
        <v>55</v>
      </c>
      <c r="G2459" s="33">
        <v>5.1656399999999998</v>
      </c>
      <c r="H2459" s="83" t="s">
        <v>88</v>
      </c>
    </row>
    <row r="2460" spans="1:8" ht="16.5" customHeight="1" x14ac:dyDescent="0.25">
      <c r="A2460" s="27">
        <v>45950</v>
      </c>
      <c r="B2460" s="80">
        <v>2025</v>
      </c>
      <c r="C2460" s="80">
        <v>10</v>
      </c>
      <c r="D2460" s="30" t="s">
        <v>65</v>
      </c>
      <c r="E2460" s="30" t="s">
        <v>50</v>
      </c>
      <c r="F2460" s="30" t="s">
        <v>58</v>
      </c>
      <c r="G2460" s="33">
        <v>3.5515574999999999</v>
      </c>
      <c r="H2460" s="83" t="s">
        <v>88</v>
      </c>
    </row>
    <row r="2461" spans="1:8" ht="16.5" customHeight="1" x14ac:dyDescent="0.25">
      <c r="A2461" s="27">
        <v>45950</v>
      </c>
      <c r="B2461" s="80">
        <v>2025</v>
      </c>
      <c r="C2461" s="80">
        <v>10</v>
      </c>
      <c r="D2461" s="30" t="s">
        <v>65</v>
      </c>
      <c r="E2461" s="30" t="s">
        <v>54</v>
      </c>
      <c r="F2461" s="30" t="s">
        <v>43</v>
      </c>
      <c r="G2461" s="33">
        <v>2.83</v>
      </c>
      <c r="H2461" s="83" t="s">
        <v>88</v>
      </c>
    </row>
    <row r="2462" spans="1:8" ht="16.5" customHeight="1" x14ac:dyDescent="0.25">
      <c r="A2462" s="27">
        <v>45950</v>
      </c>
      <c r="B2462" s="80">
        <v>2025</v>
      </c>
      <c r="C2462" s="80">
        <v>10</v>
      </c>
      <c r="D2462" s="30" t="s">
        <v>65</v>
      </c>
      <c r="E2462" s="30" t="s">
        <v>66</v>
      </c>
      <c r="F2462" s="30" t="s">
        <v>43</v>
      </c>
      <c r="G2462" s="33">
        <v>1.2087000000000001</v>
      </c>
      <c r="H2462" s="83" t="s">
        <v>89</v>
      </c>
    </row>
    <row r="2463" spans="1:8" ht="16.5" customHeight="1" x14ac:dyDescent="0.25">
      <c r="A2463" s="27">
        <v>45950</v>
      </c>
      <c r="B2463" s="80">
        <v>2025</v>
      </c>
      <c r="C2463" s="80">
        <v>10</v>
      </c>
      <c r="D2463" s="30" t="s">
        <v>65</v>
      </c>
      <c r="E2463" s="30" t="s">
        <v>68</v>
      </c>
      <c r="F2463" s="30" t="s">
        <v>43</v>
      </c>
      <c r="G2463" s="33">
        <v>3.1274999999999999</v>
      </c>
      <c r="H2463" s="83" t="s">
        <v>89</v>
      </c>
    </row>
    <row r="2464" spans="1:8" ht="16.5" customHeight="1" x14ac:dyDescent="0.25">
      <c r="A2464" s="27">
        <v>45950</v>
      </c>
      <c r="B2464" s="80">
        <v>2025</v>
      </c>
      <c r="C2464" s="80">
        <v>10</v>
      </c>
      <c r="D2464" s="30" t="s">
        <v>65</v>
      </c>
      <c r="E2464" s="30" t="s">
        <v>75</v>
      </c>
      <c r="F2464" s="30" t="s">
        <v>43</v>
      </c>
      <c r="G2464" s="33">
        <v>6.3038074999999996</v>
      </c>
      <c r="H2464" s="83" t="s">
        <v>48</v>
      </c>
    </row>
    <row r="2465" spans="1:8" ht="16.5" customHeight="1" x14ac:dyDescent="0.25">
      <c r="A2465" s="27">
        <v>45950</v>
      </c>
      <c r="B2465" s="80">
        <v>2025</v>
      </c>
      <c r="C2465" s="80">
        <v>10</v>
      </c>
      <c r="D2465" s="30" t="s">
        <v>65</v>
      </c>
      <c r="E2465" s="30" t="s">
        <v>75</v>
      </c>
      <c r="F2465" s="30" t="s">
        <v>51</v>
      </c>
      <c r="G2465" s="33">
        <v>8.8779999999999998E-2</v>
      </c>
      <c r="H2465" s="83" t="s">
        <v>48</v>
      </c>
    </row>
    <row r="2466" spans="1:8" ht="16.5" customHeight="1" x14ac:dyDescent="0.25">
      <c r="A2466" s="27">
        <v>45951</v>
      </c>
      <c r="B2466" s="80">
        <v>2025</v>
      </c>
      <c r="C2466" s="80">
        <v>10</v>
      </c>
      <c r="D2466" s="30" t="s">
        <v>65</v>
      </c>
      <c r="E2466" s="30" t="s">
        <v>38</v>
      </c>
      <c r="F2466" s="30" t="s">
        <v>43</v>
      </c>
      <c r="G2466" s="33">
        <v>9.6560000000000006</v>
      </c>
      <c r="H2466" s="83" t="s">
        <v>88</v>
      </c>
    </row>
    <row r="2467" spans="1:8" ht="16.5" customHeight="1" x14ac:dyDescent="0.25">
      <c r="A2467" s="27">
        <v>45951</v>
      </c>
      <c r="B2467" s="80">
        <v>2025</v>
      </c>
      <c r="C2467" s="80">
        <v>10</v>
      </c>
      <c r="D2467" s="30" t="s">
        <v>65</v>
      </c>
      <c r="E2467" s="30" t="s">
        <v>42</v>
      </c>
      <c r="F2467" s="30" t="s">
        <v>43</v>
      </c>
      <c r="G2467" s="33">
        <v>5.7119999999999997</v>
      </c>
      <c r="H2467" s="83" t="s">
        <v>88</v>
      </c>
    </row>
    <row r="2468" spans="1:8" ht="16.5" customHeight="1" x14ac:dyDescent="0.25">
      <c r="A2468" s="27">
        <v>45951</v>
      </c>
      <c r="B2468" s="80">
        <v>2025</v>
      </c>
      <c r="C2468" s="80">
        <v>10</v>
      </c>
      <c r="D2468" s="30" t="s">
        <v>65</v>
      </c>
      <c r="E2468" s="30" t="s">
        <v>42</v>
      </c>
      <c r="F2468" s="30" t="s">
        <v>58</v>
      </c>
      <c r="G2468" s="33">
        <v>0.90122999999999998</v>
      </c>
      <c r="H2468" s="83" t="s">
        <v>88</v>
      </c>
    </row>
    <row r="2469" spans="1:8" ht="16.5" customHeight="1" x14ac:dyDescent="0.25">
      <c r="A2469" s="27">
        <v>45951</v>
      </c>
      <c r="B2469" s="80">
        <v>2025</v>
      </c>
      <c r="C2469" s="80">
        <v>10</v>
      </c>
      <c r="D2469" s="30" t="s">
        <v>65</v>
      </c>
      <c r="E2469" s="30" t="s">
        <v>50</v>
      </c>
      <c r="F2469" s="30" t="s">
        <v>39</v>
      </c>
      <c r="G2469" s="33">
        <v>1.8596250000000001</v>
      </c>
      <c r="H2469" s="83" t="s">
        <v>88</v>
      </c>
    </row>
    <row r="2470" spans="1:8" ht="16.5" customHeight="1" x14ac:dyDescent="0.25">
      <c r="A2470" s="27">
        <v>45951</v>
      </c>
      <c r="B2470" s="80">
        <v>2025</v>
      </c>
      <c r="C2470" s="80">
        <v>10</v>
      </c>
      <c r="D2470" s="30" t="s">
        <v>65</v>
      </c>
      <c r="E2470" s="30" t="s">
        <v>50</v>
      </c>
      <c r="F2470" s="30" t="s">
        <v>43</v>
      </c>
      <c r="G2470" s="33">
        <v>8.0592699999999997</v>
      </c>
      <c r="H2470" s="83" t="s">
        <v>88</v>
      </c>
    </row>
    <row r="2471" spans="1:8" ht="16.5" customHeight="1" x14ac:dyDescent="0.25">
      <c r="A2471" s="27">
        <v>45951</v>
      </c>
      <c r="B2471" s="80">
        <v>2025</v>
      </c>
      <c r="C2471" s="80">
        <v>10</v>
      </c>
      <c r="D2471" s="30" t="s">
        <v>65</v>
      </c>
      <c r="E2471" s="30" t="s">
        <v>50</v>
      </c>
      <c r="F2471" s="30" t="s">
        <v>47</v>
      </c>
      <c r="G2471" s="33">
        <v>0.62160000000000004</v>
      </c>
      <c r="H2471" s="83" t="s">
        <v>88</v>
      </c>
    </row>
    <row r="2472" spans="1:8" ht="16.5" customHeight="1" x14ac:dyDescent="0.25">
      <c r="A2472" s="27">
        <v>45951</v>
      </c>
      <c r="B2472" s="80">
        <v>2025</v>
      </c>
      <c r="C2472" s="80">
        <v>10</v>
      </c>
      <c r="D2472" s="30" t="s">
        <v>65</v>
      </c>
      <c r="E2472" s="30" t="s">
        <v>50</v>
      </c>
      <c r="F2472" s="30" t="s">
        <v>55</v>
      </c>
      <c r="G2472" s="33">
        <v>1.3068</v>
      </c>
      <c r="H2472" s="83" t="s">
        <v>88</v>
      </c>
    </row>
    <row r="2473" spans="1:8" ht="16.5" customHeight="1" x14ac:dyDescent="0.25">
      <c r="A2473" s="27">
        <v>45951</v>
      </c>
      <c r="B2473" s="80">
        <v>2025</v>
      </c>
      <c r="C2473" s="80">
        <v>10</v>
      </c>
      <c r="D2473" s="30" t="s">
        <v>65</v>
      </c>
      <c r="E2473" s="30" t="s">
        <v>54</v>
      </c>
      <c r="F2473" s="30" t="s">
        <v>43</v>
      </c>
      <c r="G2473" s="33">
        <v>2.4977499999999999</v>
      </c>
      <c r="H2473" s="83" t="s">
        <v>88</v>
      </c>
    </row>
    <row r="2474" spans="1:8" ht="16.5" customHeight="1" x14ac:dyDescent="0.25">
      <c r="A2474" s="27">
        <v>45951</v>
      </c>
      <c r="B2474" s="80">
        <v>2025</v>
      </c>
      <c r="C2474" s="80">
        <v>10</v>
      </c>
      <c r="D2474" s="30" t="s">
        <v>65</v>
      </c>
      <c r="E2474" s="30" t="s">
        <v>54</v>
      </c>
      <c r="F2474" s="30" t="s">
        <v>47</v>
      </c>
      <c r="G2474" s="33">
        <v>0.44772000000000001</v>
      </c>
      <c r="H2474" s="83" t="s">
        <v>88</v>
      </c>
    </row>
    <row r="2475" spans="1:8" ht="16.5" customHeight="1" x14ac:dyDescent="0.25">
      <c r="A2475" s="27">
        <v>45951</v>
      </c>
      <c r="B2475" s="80">
        <v>2025</v>
      </c>
      <c r="C2475" s="80">
        <v>10</v>
      </c>
      <c r="D2475" s="30" t="s">
        <v>65</v>
      </c>
      <c r="E2475" s="30" t="s">
        <v>66</v>
      </c>
      <c r="F2475" s="30" t="s">
        <v>43</v>
      </c>
      <c r="G2475" s="33">
        <v>3.86375</v>
      </c>
      <c r="H2475" s="83" t="s">
        <v>89</v>
      </c>
    </row>
    <row r="2476" spans="1:8" ht="16.5" customHeight="1" x14ac:dyDescent="0.25">
      <c r="A2476" s="27">
        <v>45951</v>
      </c>
      <c r="B2476" s="80">
        <v>2025</v>
      </c>
      <c r="C2476" s="80">
        <v>10</v>
      </c>
      <c r="D2476" s="30" t="s">
        <v>65</v>
      </c>
      <c r="E2476" s="30" t="s">
        <v>66</v>
      </c>
      <c r="F2476" s="30" t="s">
        <v>55</v>
      </c>
      <c r="G2476" s="33">
        <v>0.92</v>
      </c>
      <c r="H2476" s="83" t="s">
        <v>89</v>
      </c>
    </row>
    <row r="2477" spans="1:8" ht="16.5" customHeight="1" x14ac:dyDescent="0.25">
      <c r="A2477" s="27">
        <v>45951</v>
      </c>
      <c r="B2477" s="80">
        <v>2025</v>
      </c>
      <c r="C2477" s="80">
        <v>10</v>
      </c>
      <c r="D2477" s="30" t="s">
        <v>65</v>
      </c>
      <c r="E2477" s="30" t="s">
        <v>68</v>
      </c>
      <c r="F2477" s="30" t="s">
        <v>43</v>
      </c>
      <c r="G2477" s="33">
        <v>2.1150000000000002</v>
      </c>
      <c r="H2477" s="83" t="s">
        <v>89</v>
      </c>
    </row>
    <row r="2478" spans="1:8" ht="16.5" customHeight="1" x14ac:dyDescent="0.25">
      <c r="A2478" s="27">
        <v>45951</v>
      </c>
      <c r="B2478" s="80">
        <v>2025</v>
      </c>
      <c r="C2478" s="80">
        <v>10</v>
      </c>
      <c r="D2478" s="30" t="s">
        <v>65</v>
      </c>
      <c r="E2478" s="30" t="s">
        <v>75</v>
      </c>
      <c r="F2478" s="30" t="s">
        <v>43</v>
      </c>
      <c r="G2478" s="33">
        <v>11.237952</v>
      </c>
      <c r="H2478" s="83" t="s">
        <v>48</v>
      </c>
    </row>
    <row r="2479" spans="1:8" ht="16.5" customHeight="1" x14ac:dyDescent="0.25">
      <c r="A2479" s="27">
        <v>45952</v>
      </c>
      <c r="B2479" s="80">
        <v>2025</v>
      </c>
      <c r="C2479" s="80">
        <v>10</v>
      </c>
      <c r="D2479" s="30" t="s">
        <v>65</v>
      </c>
      <c r="E2479" s="30" t="s">
        <v>38</v>
      </c>
      <c r="F2479" s="30" t="s">
        <v>43</v>
      </c>
      <c r="G2479" s="33">
        <v>8.1259999999999994</v>
      </c>
      <c r="H2479" s="83" t="s">
        <v>88</v>
      </c>
    </row>
    <row r="2480" spans="1:8" ht="16.5" customHeight="1" x14ac:dyDescent="0.25">
      <c r="A2480" s="27">
        <v>45952</v>
      </c>
      <c r="B2480" s="80">
        <v>2025</v>
      </c>
      <c r="C2480" s="80">
        <v>10</v>
      </c>
      <c r="D2480" s="30" t="s">
        <v>65</v>
      </c>
      <c r="E2480" s="30" t="s">
        <v>42</v>
      </c>
      <c r="F2480" s="30" t="s">
        <v>43</v>
      </c>
      <c r="G2480" s="33">
        <v>7.16</v>
      </c>
      <c r="H2480" s="83" t="s">
        <v>88</v>
      </c>
    </row>
    <row r="2481" spans="1:8" ht="16.5" customHeight="1" x14ac:dyDescent="0.25">
      <c r="A2481" s="27">
        <v>45952</v>
      </c>
      <c r="B2481" s="80">
        <v>2025</v>
      </c>
      <c r="C2481" s="80">
        <v>10</v>
      </c>
      <c r="D2481" s="30" t="s">
        <v>65</v>
      </c>
      <c r="E2481" s="30" t="s">
        <v>46</v>
      </c>
      <c r="F2481" s="30" t="s">
        <v>43</v>
      </c>
      <c r="G2481" s="33">
        <v>2.3507099999999999</v>
      </c>
      <c r="H2481" s="83" t="s">
        <v>88</v>
      </c>
    </row>
    <row r="2482" spans="1:8" ht="16.5" customHeight="1" x14ac:dyDescent="0.25">
      <c r="A2482" s="27">
        <v>45952</v>
      </c>
      <c r="B2482" s="80">
        <v>2025</v>
      </c>
      <c r="C2482" s="80">
        <v>10</v>
      </c>
      <c r="D2482" s="30" t="s">
        <v>65</v>
      </c>
      <c r="E2482" s="30" t="s">
        <v>46</v>
      </c>
      <c r="F2482" s="30" t="s">
        <v>47</v>
      </c>
      <c r="G2482" s="33">
        <v>0.22148000000000001</v>
      </c>
      <c r="H2482" s="83" t="s">
        <v>88</v>
      </c>
    </row>
    <row r="2483" spans="1:8" ht="16.5" customHeight="1" x14ac:dyDescent="0.25">
      <c r="A2483" s="27">
        <v>45952</v>
      </c>
      <c r="B2483" s="80">
        <v>2025</v>
      </c>
      <c r="C2483" s="80">
        <v>10</v>
      </c>
      <c r="D2483" s="30" t="s">
        <v>65</v>
      </c>
      <c r="E2483" s="30" t="s">
        <v>46</v>
      </c>
      <c r="F2483" s="30" t="s">
        <v>51</v>
      </c>
      <c r="G2483" s="33">
        <v>0.30736000000000002</v>
      </c>
      <c r="H2483" s="83" t="s">
        <v>88</v>
      </c>
    </row>
    <row r="2484" spans="1:8" ht="16.5" customHeight="1" x14ac:dyDescent="0.25">
      <c r="A2484" s="27">
        <v>45952</v>
      </c>
      <c r="B2484" s="80">
        <v>2025</v>
      </c>
      <c r="C2484" s="80">
        <v>10</v>
      </c>
      <c r="D2484" s="30" t="s">
        <v>65</v>
      </c>
      <c r="E2484" s="30" t="s">
        <v>46</v>
      </c>
      <c r="F2484" s="30" t="s">
        <v>55</v>
      </c>
      <c r="G2484" s="33">
        <v>0.74</v>
      </c>
      <c r="H2484" s="83" t="s">
        <v>88</v>
      </c>
    </row>
    <row r="2485" spans="1:8" ht="16.5" customHeight="1" x14ac:dyDescent="0.25">
      <c r="A2485" s="27">
        <v>45952</v>
      </c>
      <c r="B2485" s="80">
        <v>2025</v>
      </c>
      <c r="C2485" s="80">
        <v>10</v>
      </c>
      <c r="D2485" s="30" t="s">
        <v>65</v>
      </c>
      <c r="E2485" s="30" t="s">
        <v>46</v>
      </c>
      <c r="F2485" s="30" t="s">
        <v>58</v>
      </c>
      <c r="G2485" s="33">
        <v>2.9326911999999998</v>
      </c>
      <c r="H2485" s="83" t="s">
        <v>88</v>
      </c>
    </row>
    <row r="2486" spans="1:8" ht="16.5" customHeight="1" x14ac:dyDescent="0.25">
      <c r="A2486" s="27">
        <v>45952</v>
      </c>
      <c r="B2486" s="80">
        <v>2025</v>
      </c>
      <c r="C2486" s="80">
        <v>10</v>
      </c>
      <c r="D2486" s="30" t="s">
        <v>65</v>
      </c>
      <c r="E2486" s="30" t="s">
        <v>50</v>
      </c>
      <c r="F2486" s="30" t="s">
        <v>43</v>
      </c>
      <c r="G2486" s="33">
        <v>4.30713875</v>
      </c>
      <c r="H2486" s="83" t="s">
        <v>88</v>
      </c>
    </row>
    <row r="2487" spans="1:8" ht="16.5" customHeight="1" x14ac:dyDescent="0.25">
      <c r="A2487" s="27">
        <v>45952</v>
      </c>
      <c r="B2487" s="80">
        <v>2025</v>
      </c>
      <c r="C2487" s="80">
        <v>10</v>
      </c>
      <c r="D2487" s="30" t="s">
        <v>65</v>
      </c>
      <c r="E2487" s="30" t="s">
        <v>50</v>
      </c>
      <c r="F2487" s="30" t="s">
        <v>47</v>
      </c>
      <c r="G2487" s="33">
        <v>1.8648</v>
      </c>
      <c r="H2487" s="83" t="s">
        <v>88</v>
      </c>
    </row>
    <row r="2488" spans="1:8" ht="16.5" customHeight="1" x14ac:dyDescent="0.25">
      <c r="A2488" s="27">
        <v>45952</v>
      </c>
      <c r="B2488" s="80">
        <v>2025</v>
      </c>
      <c r="C2488" s="80">
        <v>10</v>
      </c>
      <c r="D2488" s="30" t="s">
        <v>65</v>
      </c>
      <c r="E2488" s="30" t="s">
        <v>50</v>
      </c>
      <c r="F2488" s="30" t="s">
        <v>51</v>
      </c>
      <c r="G2488" s="33">
        <v>1.0029999999999999</v>
      </c>
      <c r="H2488" s="83" t="s">
        <v>88</v>
      </c>
    </row>
    <row r="2489" spans="1:8" ht="16.5" customHeight="1" x14ac:dyDescent="0.25">
      <c r="A2489" s="27">
        <v>45952</v>
      </c>
      <c r="B2489" s="80">
        <v>2025</v>
      </c>
      <c r="C2489" s="80">
        <v>10</v>
      </c>
      <c r="D2489" s="30" t="s">
        <v>65</v>
      </c>
      <c r="E2489" s="30" t="s">
        <v>50</v>
      </c>
      <c r="F2489" s="30" t="s">
        <v>58</v>
      </c>
      <c r="G2489" s="33">
        <v>0.66459659999999998</v>
      </c>
      <c r="H2489" s="83" t="s">
        <v>88</v>
      </c>
    </row>
    <row r="2490" spans="1:8" ht="16.5" customHeight="1" x14ac:dyDescent="0.25">
      <c r="A2490" s="27">
        <v>45952</v>
      </c>
      <c r="B2490" s="80">
        <v>2025</v>
      </c>
      <c r="C2490" s="80">
        <v>10</v>
      </c>
      <c r="D2490" s="30" t="s">
        <v>65</v>
      </c>
      <c r="E2490" s="30" t="s">
        <v>54</v>
      </c>
      <c r="F2490" s="30" t="s">
        <v>43</v>
      </c>
      <c r="G2490" s="33">
        <v>1.5502499999999999</v>
      </c>
      <c r="H2490" s="83" t="s">
        <v>88</v>
      </c>
    </row>
    <row r="2491" spans="1:8" ht="16.5" customHeight="1" x14ac:dyDescent="0.25">
      <c r="A2491" s="27">
        <v>45952</v>
      </c>
      <c r="B2491" s="80">
        <v>2025</v>
      </c>
      <c r="C2491" s="80">
        <v>10</v>
      </c>
      <c r="D2491" s="30" t="s">
        <v>65</v>
      </c>
      <c r="E2491" s="30" t="s">
        <v>66</v>
      </c>
      <c r="F2491" s="30" t="s">
        <v>43</v>
      </c>
      <c r="G2491" s="33">
        <v>1.075</v>
      </c>
      <c r="H2491" s="83" t="s">
        <v>89</v>
      </c>
    </row>
    <row r="2492" spans="1:8" ht="16.5" customHeight="1" x14ac:dyDescent="0.25">
      <c r="A2492" s="27">
        <v>45952</v>
      </c>
      <c r="B2492" s="80">
        <v>2025</v>
      </c>
      <c r="C2492" s="80">
        <v>10</v>
      </c>
      <c r="D2492" s="30" t="s">
        <v>65</v>
      </c>
      <c r="E2492" s="30" t="s">
        <v>68</v>
      </c>
      <c r="F2492" s="30" t="s">
        <v>43</v>
      </c>
      <c r="G2492" s="33">
        <v>0.48499999999999999</v>
      </c>
      <c r="H2492" s="83" t="s">
        <v>89</v>
      </c>
    </row>
    <row r="2493" spans="1:8" ht="16.5" customHeight="1" x14ac:dyDescent="0.25">
      <c r="A2493" s="27">
        <v>45952</v>
      </c>
      <c r="B2493" s="80">
        <v>2025</v>
      </c>
      <c r="C2493" s="80">
        <v>10</v>
      </c>
      <c r="D2493" s="30" t="s">
        <v>65</v>
      </c>
      <c r="E2493" s="30" t="s">
        <v>73</v>
      </c>
      <c r="F2493" s="30" t="s">
        <v>43</v>
      </c>
      <c r="G2493" s="33">
        <v>31.98</v>
      </c>
      <c r="H2493" s="83" t="s">
        <v>89</v>
      </c>
    </row>
    <row r="2494" spans="1:8" ht="16.5" customHeight="1" x14ac:dyDescent="0.25">
      <c r="A2494" s="27">
        <v>45952</v>
      </c>
      <c r="B2494" s="80">
        <v>2025</v>
      </c>
      <c r="C2494" s="80">
        <v>10</v>
      </c>
      <c r="D2494" s="30" t="s">
        <v>65</v>
      </c>
      <c r="E2494" s="30" t="s">
        <v>75</v>
      </c>
      <c r="F2494" s="30" t="s">
        <v>43</v>
      </c>
      <c r="G2494" s="33">
        <v>27.080396749999998</v>
      </c>
      <c r="H2494" s="83" t="s">
        <v>48</v>
      </c>
    </row>
    <row r="2495" spans="1:8" ht="16.5" customHeight="1" x14ac:dyDescent="0.25">
      <c r="A2495" s="27">
        <v>45953</v>
      </c>
      <c r="B2495" s="80">
        <v>2025</v>
      </c>
      <c r="C2495" s="80">
        <v>10</v>
      </c>
      <c r="D2495" s="30" t="s">
        <v>65</v>
      </c>
      <c r="E2495" s="30" t="s">
        <v>42</v>
      </c>
      <c r="F2495" s="30" t="s">
        <v>43</v>
      </c>
      <c r="G2495" s="33">
        <v>17.788799999999998</v>
      </c>
      <c r="H2495" s="83" t="s">
        <v>88</v>
      </c>
    </row>
    <row r="2496" spans="1:8" ht="16.5" customHeight="1" x14ac:dyDescent="0.25">
      <c r="A2496" s="27">
        <v>45953</v>
      </c>
      <c r="B2496" s="80">
        <v>2025</v>
      </c>
      <c r="C2496" s="80">
        <v>10</v>
      </c>
      <c r="D2496" s="30" t="s">
        <v>65</v>
      </c>
      <c r="E2496" s="30" t="s">
        <v>46</v>
      </c>
      <c r="F2496" s="30" t="s">
        <v>43</v>
      </c>
      <c r="G2496" s="33">
        <v>6.4037742</v>
      </c>
      <c r="H2496" s="83" t="s">
        <v>88</v>
      </c>
    </row>
    <row r="2497" spans="1:8" ht="16.5" customHeight="1" x14ac:dyDescent="0.25">
      <c r="A2497" s="27">
        <v>45953</v>
      </c>
      <c r="B2497" s="80">
        <v>2025</v>
      </c>
      <c r="C2497" s="80">
        <v>10</v>
      </c>
      <c r="D2497" s="30" t="s">
        <v>65</v>
      </c>
      <c r="E2497" s="30" t="s">
        <v>46</v>
      </c>
      <c r="F2497" s="30" t="s">
        <v>58</v>
      </c>
      <c r="G2497" s="33">
        <v>0.43849527999999999</v>
      </c>
      <c r="H2497" s="83" t="s">
        <v>88</v>
      </c>
    </row>
    <row r="2498" spans="1:8" ht="16.5" customHeight="1" x14ac:dyDescent="0.25">
      <c r="A2498" s="27">
        <v>45953</v>
      </c>
      <c r="B2498" s="80">
        <v>2025</v>
      </c>
      <c r="C2498" s="80">
        <v>10</v>
      </c>
      <c r="D2498" s="30" t="s">
        <v>65</v>
      </c>
      <c r="E2498" s="30" t="s">
        <v>50</v>
      </c>
      <c r="F2498" s="30" t="s">
        <v>43</v>
      </c>
      <c r="G2498" s="33">
        <v>50.437214400000002</v>
      </c>
      <c r="H2498" s="83" t="s">
        <v>88</v>
      </c>
    </row>
    <row r="2499" spans="1:8" ht="16.5" customHeight="1" x14ac:dyDescent="0.25">
      <c r="A2499" s="27">
        <v>45953</v>
      </c>
      <c r="B2499" s="80">
        <v>2025</v>
      </c>
      <c r="C2499" s="80">
        <v>10</v>
      </c>
      <c r="D2499" s="30" t="s">
        <v>65</v>
      </c>
      <c r="E2499" s="30" t="s">
        <v>50</v>
      </c>
      <c r="F2499" s="30" t="s">
        <v>47</v>
      </c>
      <c r="G2499" s="33">
        <v>0.62160000000000004</v>
      </c>
      <c r="H2499" s="83" t="s">
        <v>88</v>
      </c>
    </row>
    <row r="2500" spans="1:8" ht="16.5" customHeight="1" x14ac:dyDescent="0.25">
      <c r="A2500" s="27">
        <v>45953</v>
      </c>
      <c r="B2500" s="80">
        <v>2025</v>
      </c>
      <c r="C2500" s="80">
        <v>10</v>
      </c>
      <c r="D2500" s="30" t="s">
        <v>65</v>
      </c>
      <c r="E2500" s="30" t="s">
        <v>50</v>
      </c>
      <c r="F2500" s="30" t="s">
        <v>51</v>
      </c>
      <c r="G2500" s="33">
        <v>0.374</v>
      </c>
      <c r="H2500" s="83" t="s">
        <v>88</v>
      </c>
    </row>
    <row r="2501" spans="1:8" ht="16.5" customHeight="1" x14ac:dyDescent="0.25">
      <c r="A2501" s="27">
        <v>45953</v>
      </c>
      <c r="B2501" s="80">
        <v>2025</v>
      </c>
      <c r="C2501" s="80">
        <v>10</v>
      </c>
      <c r="D2501" s="30" t="s">
        <v>65</v>
      </c>
      <c r="E2501" s="30" t="s">
        <v>50</v>
      </c>
      <c r="F2501" s="30" t="s">
        <v>55</v>
      </c>
      <c r="G2501" s="33">
        <v>3.442116</v>
      </c>
      <c r="H2501" s="83" t="s">
        <v>88</v>
      </c>
    </row>
    <row r="2502" spans="1:8" ht="16.5" customHeight="1" x14ac:dyDescent="0.25">
      <c r="A2502" s="27">
        <v>45953</v>
      </c>
      <c r="B2502" s="80">
        <v>2025</v>
      </c>
      <c r="C2502" s="80">
        <v>10</v>
      </c>
      <c r="D2502" s="30" t="s">
        <v>65</v>
      </c>
      <c r="E2502" s="30" t="s">
        <v>50</v>
      </c>
      <c r="F2502" s="30" t="s">
        <v>58</v>
      </c>
      <c r="G2502" s="33">
        <v>18.716896815999998</v>
      </c>
      <c r="H2502" s="83" t="s">
        <v>88</v>
      </c>
    </row>
    <row r="2503" spans="1:8" ht="16.5" customHeight="1" x14ac:dyDescent="0.25">
      <c r="A2503" s="27">
        <v>45953</v>
      </c>
      <c r="B2503" s="80">
        <v>2025</v>
      </c>
      <c r="C2503" s="80">
        <v>10</v>
      </c>
      <c r="D2503" s="30" t="s">
        <v>65</v>
      </c>
      <c r="E2503" s="30" t="s">
        <v>54</v>
      </c>
      <c r="F2503" s="30" t="s">
        <v>43</v>
      </c>
      <c r="G2503" s="33">
        <v>4.6856499999999999</v>
      </c>
      <c r="H2503" s="83" t="s">
        <v>88</v>
      </c>
    </row>
    <row r="2504" spans="1:8" ht="16.5" customHeight="1" x14ac:dyDescent="0.25">
      <c r="A2504" s="27">
        <v>45953</v>
      </c>
      <c r="B2504" s="80">
        <v>2025</v>
      </c>
      <c r="C2504" s="80">
        <v>10</v>
      </c>
      <c r="D2504" s="30" t="s">
        <v>65</v>
      </c>
      <c r="E2504" s="30" t="s">
        <v>66</v>
      </c>
      <c r="F2504" s="30" t="s">
        <v>43</v>
      </c>
      <c r="G2504" s="33">
        <v>5.0802500000000004</v>
      </c>
      <c r="H2504" s="83" t="s">
        <v>89</v>
      </c>
    </row>
    <row r="2505" spans="1:8" ht="16.5" customHeight="1" x14ac:dyDescent="0.25">
      <c r="A2505" s="27">
        <v>45953</v>
      </c>
      <c r="B2505" s="80">
        <v>2025</v>
      </c>
      <c r="C2505" s="80">
        <v>10</v>
      </c>
      <c r="D2505" s="30" t="s">
        <v>65</v>
      </c>
      <c r="E2505" s="30" t="s">
        <v>71</v>
      </c>
      <c r="F2505" s="30" t="s">
        <v>43</v>
      </c>
      <c r="G2505" s="33">
        <v>49.252249999999997</v>
      </c>
      <c r="H2505" s="83" t="s">
        <v>89</v>
      </c>
    </row>
    <row r="2506" spans="1:8" ht="16.5" customHeight="1" x14ac:dyDescent="0.25">
      <c r="A2506" s="27">
        <v>45953</v>
      </c>
      <c r="B2506" s="80">
        <v>2025</v>
      </c>
      <c r="C2506" s="80">
        <v>10</v>
      </c>
      <c r="D2506" s="30" t="s">
        <v>65</v>
      </c>
      <c r="E2506" s="30" t="s">
        <v>71</v>
      </c>
      <c r="F2506" s="30" t="s">
        <v>55</v>
      </c>
      <c r="G2506" s="33">
        <v>1.23</v>
      </c>
      <c r="H2506" s="83" t="s">
        <v>89</v>
      </c>
    </row>
    <row r="2507" spans="1:8" ht="16.5" customHeight="1" x14ac:dyDescent="0.25">
      <c r="A2507" s="27">
        <v>45953</v>
      </c>
      <c r="B2507" s="80">
        <v>2025</v>
      </c>
      <c r="C2507" s="80">
        <v>10</v>
      </c>
      <c r="D2507" s="30" t="s">
        <v>65</v>
      </c>
      <c r="E2507" s="30" t="s">
        <v>73</v>
      </c>
      <c r="F2507" s="30" t="s">
        <v>39</v>
      </c>
      <c r="G2507" s="33">
        <v>5.1536099999999996</v>
      </c>
      <c r="H2507" s="83" t="s">
        <v>89</v>
      </c>
    </row>
    <row r="2508" spans="1:8" ht="16.5" customHeight="1" x14ac:dyDescent="0.25">
      <c r="A2508" s="27">
        <v>45953</v>
      </c>
      <c r="B2508" s="80">
        <v>2025</v>
      </c>
      <c r="C2508" s="80">
        <v>10</v>
      </c>
      <c r="D2508" s="30" t="s">
        <v>65</v>
      </c>
      <c r="E2508" s="30" t="s">
        <v>75</v>
      </c>
      <c r="F2508" s="30" t="s">
        <v>43</v>
      </c>
      <c r="G2508" s="33">
        <v>0.50662499999999999</v>
      </c>
      <c r="H2508" s="83" t="s">
        <v>48</v>
      </c>
    </row>
    <row r="2509" spans="1:8" ht="16.5" customHeight="1" x14ac:dyDescent="0.25">
      <c r="A2509" s="27">
        <v>45954</v>
      </c>
      <c r="B2509" s="80">
        <v>2025</v>
      </c>
      <c r="C2509" s="80">
        <v>10</v>
      </c>
      <c r="D2509" s="30" t="s">
        <v>65</v>
      </c>
      <c r="E2509" s="30" t="s">
        <v>38</v>
      </c>
      <c r="F2509" s="30" t="s">
        <v>43</v>
      </c>
      <c r="G2509" s="33">
        <v>7.5184499999999996</v>
      </c>
      <c r="H2509" s="83" t="s">
        <v>88</v>
      </c>
    </row>
    <row r="2510" spans="1:8" ht="16.5" customHeight="1" x14ac:dyDescent="0.25">
      <c r="A2510" s="27">
        <v>45954</v>
      </c>
      <c r="B2510" s="80">
        <v>2025</v>
      </c>
      <c r="C2510" s="80">
        <v>10</v>
      </c>
      <c r="D2510" s="30" t="s">
        <v>65</v>
      </c>
      <c r="E2510" s="30" t="s">
        <v>38</v>
      </c>
      <c r="F2510" s="30" t="s">
        <v>58</v>
      </c>
      <c r="G2510" s="33">
        <v>0.85944039999999999</v>
      </c>
      <c r="H2510" s="83" t="s">
        <v>88</v>
      </c>
    </row>
    <row r="2511" spans="1:8" ht="16.5" customHeight="1" x14ac:dyDescent="0.25">
      <c r="A2511" s="27">
        <v>45954</v>
      </c>
      <c r="B2511" s="80">
        <v>2025</v>
      </c>
      <c r="C2511" s="80">
        <v>10</v>
      </c>
      <c r="D2511" s="30" t="s">
        <v>65</v>
      </c>
      <c r="E2511" s="30" t="s">
        <v>42</v>
      </c>
      <c r="F2511" s="30" t="s">
        <v>43</v>
      </c>
      <c r="G2511" s="33">
        <v>1.1594</v>
      </c>
      <c r="H2511" s="83" t="s">
        <v>88</v>
      </c>
    </row>
    <row r="2512" spans="1:8" ht="16.5" customHeight="1" x14ac:dyDescent="0.25">
      <c r="A2512" s="27">
        <v>45954</v>
      </c>
      <c r="B2512" s="80">
        <v>2025</v>
      </c>
      <c r="C2512" s="80">
        <v>10</v>
      </c>
      <c r="D2512" s="30" t="s">
        <v>65</v>
      </c>
      <c r="E2512" s="30" t="s">
        <v>46</v>
      </c>
      <c r="F2512" s="30" t="s">
        <v>58</v>
      </c>
      <c r="G2512" s="33">
        <v>0.48122102999999999</v>
      </c>
      <c r="H2512" s="83" t="s">
        <v>88</v>
      </c>
    </row>
    <row r="2513" spans="1:8" ht="16.5" customHeight="1" x14ac:dyDescent="0.25">
      <c r="A2513" s="27">
        <v>45954</v>
      </c>
      <c r="B2513" s="80">
        <v>2025</v>
      </c>
      <c r="C2513" s="80">
        <v>10</v>
      </c>
      <c r="D2513" s="30" t="s">
        <v>65</v>
      </c>
      <c r="E2513" s="30" t="s">
        <v>50</v>
      </c>
      <c r="F2513" s="30" t="s">
        <v>43</v>
      </c>
      <c r="G2513" s="33">
        <v>3.85</v>
      </c>
      <c r="H2513" s="83" t="s">
        <v>88</v>
      </c>
    </row>
    <row r="2514" spans="1:8" ht="16.5" customHeight="1" x14ac:dyDescent="0.25">
      <c r="A2514" s="27">
        <v>45954</v>
      </c>
      <c r="B2514" s="80">
        <v>2025</v>
      </c>
      <c r="C2514" s="80">
        <v>10</v>
      </c>
      <c r="D2514" s="30" t="s">
        <v>65</v>
      </c>
      <c r="E2514" s="30" t="s">
        <v>50</v>
      </c>
      <c r="F2514" s="30" t="s">
        <v>47</v>
      </c>
      <c r="G2514" s="33">
        <v>0.62160000000000004</v>
      </c>
      <c r="H2514" s="83" t="s">
        <v>88</v>
      </c>
    </row>
    <row r="2515" spans="1:8" ht="16.5" customHeight="1" x14ac:dyDescent="0.25">
      <c r="A2515" s="27">
        <v>45954</v>
      </c>
      <c r="B2515" s="80">
        <v>2025</v>
      </c>
      <c r="C2515" s="80">
        <v>10</v>
      </c>
      <c r="D2515" s="30" t="s">
        <v>65</v>
      </c>
      <c r="E2515" s="30" t="s">
        <v>50</v>
      </c>
      <c r="F2515" s="30" t="s">
        <v>58</v>
      </c>
      <c r="G2515" s="33">
        <v>2.6832320890000001</v>
      </c>
      <c r="H2515" s="83" t="s">
        <v>88</v>
      </c>
    </row>
    <row r="2516" spans="1:8" ht="16.5" customHeight="1" x14ac:dyDescent="0.25">
      <c r="A2516" s="27">
        <v>45954</v>
      </c>
      <c r="B2516" s="80">
        <v>2025</v>
      </c>
      <c r="C2516" s="80">
        <v>10</v>
      </c>
      <c r="D2516" s="30" t="s">
        <v>65</v>
      </c>
      <c r="E2516" s="30" t="s">
        <v>54</v>
      </c>
      <c r="F2516" s="30" t="s">
        <v>43</v>
      </c>
      <c r="G2516" s="33">
        <v>9.2850000000000001</v>
      </c>
      <c r="H2516" s="83" t="s">
        <v>88</v>
      </c>
    </row>
    <row r="2517" spans="1:8" ht="16.5" customHeight="1" x14ac:dyDescent="0.25">
      <c r="A2517" s="27">
        <v>45954</v>
      </c>
      <c r="B2517" s="80">
        <v>2025</v>
      </c>
      <c r="C2517" s="80">
        <v>10</v>
      </c>
      <c r="D2517" s="30" t="s">
        <v>65</v>
      </c>
      <c r="E2517" s="30" t="s">
        <v>57</v>
      </c>
      <c r="F2517" s="30" t="s">
        <v>43</v>
      </c>
      <c r="G2517" s="33">
        <v>0.89100000000000001</v>
      </c>
      <c r="H2517" s="83" t="s">
        <v>89</v>
      </c>
    </row>
    <row r="2518" spans="1:8" ht="16.5" customHeight="1" x14ac:dyDescent="0.25">
      <c r="A2518" s="27">
        <v>45954</v>
      </c>
      <c r="B2518" s="80">
        <v>2025</v>
      </c>
      <c r="C2518" s="80">
        <v>10</v>
      </c>
      <c r="D2518" s="30" t="s">
        <v>65</v>
      </c>
      <c r="E2518" s="30" t="s">
        <v>64</v>
      </c>
      <c r="F2518" s="30" t="s">
        <v>43</v>
      </c>
      <c r="G2518" s="33">
        <v>5.8677000000000001</v>
      </c>
      <c r="H2518" s="83" t="s">
        <v>89</v>
      </c>
    </row>
    <row r="2519" spans="1:8" ht="16.5" customHeight="1" x14ac:dyDescent="0.25">
      <c r="A2519" s="27">
        <v>45954</v>
      </c>
      <c r="B2519" s="80">
        <v>2025</v>
      </c>
      <c r="C2519" s="80">
        <v>10</v>
      </c>
      <c r="D2519" s="30" t="s">
        <v>65</v>
      </c>
      <c r="E2519" s="30" t="s">
        <v>66</v>
      </c>
      <c r="F2519" s="30" t="s">
        <v>43</v>
      </c>
      <c r="G2519" s="33">
        <v>2.952</v>
      </c>
      <c r="H2519" s="83" t="s">
        <v>89</v>
      </c>
    </row>
    <row r="2520" spans="1:8" ht="16.5" customHeight="1" x14ac:dyDescent="0.25">
      <c r="A2520" s="27">
        <v>45954</v>
      </c>
      <c r="B2520" s="80">
        <v>2025</v>
      </c>
      <c r="C2520" s="80">
        <v>10</v>
      </c>
      <c r="D2520" s="30" t="s">
        <v>65</v>
      </c>
      <c r="E2520" s="30" t="s">
        <v>68</v>
      </c>
      <c r="F2520" s="30" t="s">
        <v>39</v>
      </c>
      <c r="G2520" s="33">
        <v>6.93</v>
      </c>
      <c r="H2520" s="83" t="s">
        <v>89</v>
      </c>
    </row>
    <row r="2521" spans="1:8" ht="16.5" customHeight="1" x14ac:dyDescent="0.25">
      <c r="A2521" s="27">
        <v>45954</v>
      </c>
      <c r="B2521" s="80">
        <v>2025</v>
      </c>
      <c r="C2521" s="80">
        <v>10</v>
      </c>
      <c r="D2521" s="30" t="s">
        <v>65</v>
      </c>
      <c r="E2521" s="30" t="s">
        <v>68</v>
      </c>
      <c r="F2521" s="30" t="s">
        <v>43</v>
      </c>
      <c r="G2521" s="33">
        <v>7.22</v>
      </c>
      <c r="H2521" s="83" t="s">
        <v>89</v>
      </c>
    </row>
    <row r="2522" spans="1:8" ht="16.5" customHeight="1" x14ac:dyDescent="0.25">
      <c r="A2522" s="27">
        <v>45954</v>
      </c>
      <c r="B2522" s="80">
        <v>2025</v>
      </c>
      <c r="C2522" s="80">
        <v>10</v>
      </c>
      <c r="D2522" s="30" t="s">
        <v>65</v>
      </c>
      <c r="E2522" s="30" t="s">
        <v>74</v>
      </c>
      <c r="F2522" s="30" t="s">
        <v>43</v>
      </c>
      <c r="G2522" s="33">
        <v>0.4098</v>
      </c>
      <c r="H2522" s="83" t="s">
        <v>89</v>
      </c>
    </row>
    <row r="2523" spans="1:8" ht="16.5" customHeight="1" x14ac:dyDescent="0.25">
      <c r="A2523" s="27">
        <v>45954</v>
      </c>
      <c r="B2523" s="80">
        <v>2025</v>
      </c>
      <c r="C2523" s="80">
        <v>10</v>
      </c>
      <c r="D2523" s="30" t="s">
        <v>65</v>
      </c>
      <c r="E2523" s="30" t="s">
        <v>75</v>
      </c>
      <c r="F2523" s="30" t="s">
        <v>43</v>
      </c>
      <c r="G2523" s="33">
        <v>2.3304749999999999</v>
      </c>
      <c r="H2523" s="83" t="s">
        <v>48</v>
      </c>
    </row>
    <row r="2524" spans="1:8" ht="16.5" customHeight="1" x14ac:dyDescent="0.25">
      <c r="A2524" s="27">
        <v>45955</v>
      </c>
      <c r="B2524" s="80">
        <v>2025</v>
      </c>
      <c r="C2524" s="80">
        <v>10</v>
      </c>
      <c r="D2524" s="30" t="s">
        <v>65</v>
      </c>
      <c r="E2524" s="30" t="s">
        <v>50</v>
      </c>
      <c r="F2524" s="30" t="s">
        <v>43</v>
      </c>
      <c r="G2524" s="33">
        <v>0.75224999999999997</v>
      </c>
      <c r="H2524" s="83" t="s">
        <v>88</v>
      </c>
    </row>
    <row r="2525" spans="1:8" ht="16.5" customHeight="1" x14ac:dyDescent="0.25">
      <c r="A2525" s="27">
        <v>45957</v>
      </c>
      <c r="B2525" s="80">
        <v>2025</v>
      </c>
      <c r="C2525" s="80">
        <v>10</v>
      </c>
      <c r="D2525" s="30" t="s">
        <v>65</v>
      </c>
      <c r="E2525" s="30" t="s">
        <v>42</v>
      </c>
      <c r="F2525" s="30" t="s">
        <v>43</v>
      </c>
      <c r="G2525" s="33">
        <v>2.3119999999999998</v>
      </c>
      <c r="H2525" s="83" t="s">
        <v>88</v>
      </c>
    </row>
    <row r="2526" spans="1:8" ht="16.5" customHeight="1" x14ac:dyDescent="0.25">
      <c r="A2526" s="27">
        <v>45957</v>
      </c>
      <c r="B2526" s="80">
        <v>2025</v>
      </c>
      <c r="C2526" s="80">
        <v>10</v>
      </c>
      <c r="D2526" s="30" t="s">
        <v>65</v>
      </c>
      <c r="E2526" s="30" t="s">
        <v>42</v>
      </c>
      <c r="F2526" s="30" t="s">
        <v>55</v>
      </c>
      <c r="G2526" s="33">
        <v>0.89700000000000002</v>
      </c>
      <c r="H2526" s="83" t="s">
        <v>88</v>
      </c>
    </row>
    <row r="2527" spans="1:8" ht="16.5" customHeight="1" x14ac:dyDescent="0.25">
      <c r="A2527" s="27">
        <v>45957</v>
      </c>
      <c r="B2527" s="80">
        <v>2025</v>
      </c>
      <c r="C2527" s="80">
        <v>10</v>
      </c>
      <c r="D2527" s="30" t="s">
        <v>65</v>
      </c>
      <c r="E2527" s="30" t="s">
        <v>46</v>
      </c>
      <c r="F2527" s="30" t="s">
        <v>58</v>
      </c>
      <c r="G2527" s="33">
        <v>1.0327900000000001</v>
      </c>
      <c r="H2527" s="83" t="s">
        <v>88</v>
      </c>
    </row>
    <row r="2528" spans="1:8" ht="16.5" customHeight="1" x14ac:dyDescent="0.25">
      <c r="A2528" s="27">
        <v>45957</v>
      </c>
      <c r="B2528" s="80">
        <v>2025</v>
      </c>
      <c r="C2528" s="80">
        <v>10</v>
      </c>
      <c r="D2528" s="30" t="s">
        <v>65</v>
      </c>
      <c r="E2528" s="30" t="s">
        <v>50</v>
      </c>
      <c r="F2528" s="30" t="s">
        <v>43</v>
      </c>
      <c r="G2528" s="33">
        <v>2.4798749999999998</v>
      </c>
      <c r="H2528" s="83" t="s">
        <v>88</v>
      </c>
    </row>
    <row r="2529" spans="1:8" ht="16.5" customHeight="1" x14ac:dyDescent="0.25">
      <c r="A2529" s="27">
        <v>45957</v>
      </c>
      <c r="B2529" s="80">
        <v>2025</v>
      </c>
      <c r="C2529" s="80">
        <v>10</v>
      </c>
      <c r="D2529" s="30" t="s">
        <v>65</v>
      </c>
      <c r="E2529" s="30" t="s">
        <v>50</v>
      </c>
      <c r="F2529" s="30" t="s">
        <v>47</v>
      </c>
      <c r="G2529" s="33">
        <v>0.76185000000000003</v>
      </c>
      <c r="H2529" s="83" t="s">
        <v>88</v>
      </c>
    </row>
    <row r="2530" spans="1:8" ht="16.5" customHeight="1" x14ac:dyDescent="0.25">
      <c r="A2530" s="27">
        <v>45957</v>
      </c>
      <c r="B2530" s="80">
        <v>2025</v>
      </c>
      <c r="C2530" s="80">
        <v>10</v>
      </c>
      <c r="D2530" s="30" t="s">
        <v>65</v>
      </c>
      <c r="E2530" s="30" t="s">
        <v>50</v>
      </c>
      <c r="F2530" s="30" t="s">
        <v>51</v>
      </c>
      <c r="G2530" s="33">
        <v>0.12325</v>
      </c>
      <c r="H2530" s="83" t="s">
        <v>88</v>
      </c>
    </row>
    <row r="2531" spans="1:8" ht="16.5" customHeight="1" x14ac:dyDescent="0.25">
      <c r="A2531" s="27">
        <v>45957</v>
      </c>
      <c r="B2531" s="80">
        <v>2025</v>
      </c>
      <c r="C2531" s="80">
        <v>10</v>
      </c>
      <c r="D2531" s="30" t="s">
        <v>65</v>
      </c>
      <c r="E2531" s="30" t="s">
        <v>50</v>
      </c>
      <c r="F2531" s="30" t="s">
        <v>55</v>
      </c>
      <c r="G2531" s="33">
        <v>0.17849999999999999</v>
      </c>
      <c r="H2531" s="83" t="s">
        <v>88</v>
      </c>
    </row>
    <row r="2532" spans="1:8" ht="16.5" customHeight="1" x14ac:dyDescent="0.25">
      <c r="A2532" s="27">
        <v>45957</v>
      </c>
      <c r="B2532" s="80">
        <v>2025</v>
      </c>
      <c r="C2532" s="80">
        <v>10</v>
      </c>
      <c r="D2532" s="30" t="s">
        <v>65</v>
      </c>
      <c r="E2532" s="30" t="s">
        <v>50</v>
      </c>
      <c r="F2532" s="30" t="s">
        <v>58</v>
      </c>
      <c r="G2532" s="33">
        <v>0.93526796999999995</v>
      </c>
      <c r="H2532" s="83" t="s">
        <v>88</v>
      </c>
    </row>
    <row r="2533" spans="1:8" ht="16.5" customHeight="1" x14ac:dyDescent="0.25">
      <c r="A2533" s="27">
        <v>45957</v>
      </c>
      <c r="B2533" s="80">
        <v>2025</v>
      </c>
      <c r="C2533" s="80">
        <v>10</v>
      </c>
      <c r="D2533" s="30" t="s">
        <v>65</v>
      </c>
      <c r="E2533" s="30" t="s">
        <v>54</v>
      </c>
      <c r="F2533" s="30" t="s">
        <v>43</v>
      </c>
      <c r="G2533" s="33">
        <v>6.4496500000000001</v>
      </c>
      <c r="H2533" s="83" t="s">
        <v>88</v>
      </c>
    </row>
    <row r="2534" spans="1:8" ht="16.5" customHeight="1" x14ac:dyDescent="0.25">
      <c r="A2534" s="27">
        <v>45957</v>
      </c>
      <c r="B2534" s="80">
        <v>2025</v>
      </c>
      <c r="C2534" s="80">
        <v>10</v>
      </c>
      <c r="D2534" s="30" t="s">
        <v>65</v>
      </c>
      <c r="E2534" s="30" t="s">
        <v>54</v>
      </c>
      <c r="F2534" s="30" t="s">
        <v>55</v>
      </c>
      <c r="G2534" s="33">
        <v>0.25</v>
      </c>
      <c r="H2534" s="83" t="s">
        <v>88</v>
      </c>
    </row>
    <row r="2535" spans="1:8" ht="16.5" customHeight="1" x14ac:dyDescent="0.25">
      <c r="A2535" s="27">
        <v>45957</v>
      </c>
      <c r="B2535" s="80">
        <v>2025</v>
      </c>
      <c r="C2535" s="80">
        <v>10</v>
      </c>
      <c r="D2535" s="30" t="s">
        <v>65</v>
      </c>
      <c r="E2535" s="30" t="s">
        <v>61</v>
      </c>
      <c r="F2535" s="30" t="s">
        <v>43</v>
      </c>
      <c r="G2535" s="33">
        <v>1.2629999999999999</v>
      </c>
      <c r="H2535" s="83" t="s">
        <v>89</v>
      </c>
    </row>
    <row r="2536" spans="1:8" ht="16.5" customHeight="1" x14ac:dyDescent="0.25">
      <c r="A2536" s="27">
        <v>45957</v>
      </c>
      <c r="B2536" s="80">
        <v>2025</v>
      </c>
      <c r="C2536" s="80">
        <v>10</v>
      </c>
      <c r="D2536" s="30" t="s">
        <v>65</v>
      </c>
      <c r="E2536" s="30" t="s">
        <v>61</v>
      </c>
      <c r="F2536" s="30" t="s">
        <v>55</v>
      </c>
      <c r="G2536" s="33">
        <v>2.2999999999999998</v>
      </c>
      <c r="H2536" s="83" t="s">
        <v>89</v>
      </c>
    </row>
    <row r="2537" spans="1:8" ht="16.5" customHeight="1" x14ac:dyDescent="0.25">
      <c r="A2537" s="27">
        <v>45957</v>
      </c>
      <c r="B2537" s="80">
        <v>2025</v>
      </c>
      <c r="C2537" s="80">
        <v>10</v>
      </c>
      <c r="D2537" s="30" t="s">
        <v>65</v>
      </c>
      <c r="E2537" s="30" t="s">
        <v>68</v>
      </c>
      <c r="F2537" s="30" t="s">
        <v>43</v>
      </c>
      <c r="G2537" s="33">
        <v>5.75</v>
      </c>
      <c r="H2537" s="83" t="s">
        <v>89</v>
      </c>
    </row>
    <row r="2538" spans="1:8" ht="16.5" customHeight="1" x14ac:dyDescent="0.25">
      <c r="A2538" s="27">
        <v>45957</v>
      </c>
      <c r="B2538" s="80">
        <v>2025</v>
      </c>
      <c r="C2538" s="80">
        <v>10</v>
      </c>
      <c r="D2538" s="30" t="s">
        <v>65</v>
      </c>
      <c r="E2538" s="30" t="s">
        <v>71</v>
      </c>
      <c r="F2538" s="30" t="s">
        <v>43</v>
      </c>
      <c r="G2538" s="33">
        <v>6.6950000000000003</v>
      </c>
      <c r="H2538" s="83" t="s">
        <v>89</v>
      </c>
    </row>
    <row r="2539" spans="1:8" ht="16.5" customHeight="1" x14ac:dyDescent="0.25">
      <c r="A2539" s="27">
        <v>45957</v>
      </c>
      <c r="B2539" s="80">
        <v>2025</v>
      </c>
      <c r="C2539" s="80">
        <v>10</v>
      </c>
      <c r="D2539" s="30" t="s">
        <v>65</v>
      </c>
      <c r="E2539" s="30" t="s">
        <v>74</v>
      </c>
      <c r="F2539" s="30" t="s">
        <v>43</v>
      </c>
      <c r="G2539" s="33">
        <v>14.994</v>
      </c>
      <c r="H2539" s="83" t="s">
        <v>89</v>
      </c>
    </row>
    <row r="2540" spans="1:8" ht="16.5" customHeight="1" x14ac:dyDescent="0.25">
      <c r="A2540" s="27">
        <v>45957</v>
      </c>
      <c r="B2540" s="80">
        <v>2025</v>
      </c>
      <c r="C2540" s="80">
        <v>10</v>
      </c>
      <c r="D2540" s="30" t="s">
        <v>65</v>
      </c>
      <c r="E2540" s="30" t="s">
        <v>75</v>
      </c>
      <c r="F2540" s="30" t="s">
        <v>43</v>
      </c>
      <c r="G2540" s="33">
        <v>13.408166250000001</v>
      </c>
      <c r="H2540" s="83" t="s">
        <v>48</v>
      </c>
    </row>
    <row r="2541" spans="1:8" ht="16.5" customHeight="1" x14ac:dyDescent="0.25">
      <c r="A2541" s="27">
        <v>45957</v>
      </c>
      <c r="B2541" s="80">
        <v>2025</v>
      </c>
      <c r="C2541" s="80">
        <v>10</v>
      </c>
      <c r="D2541" s="30" t="s">
        <v>65</v>
      </c>
      <c r="E2541" s="30" t="s">
        <v>76</v>
      </c>
      <c r="F2541" s="30" t="s">
        <v>39</v>
      </c>
      <c r="G2541" s="33">
        <v>108.02451000000001</v>
      </c>
      <c r="H2541" s="83" t="s">
        <v>48</v>
      </c>
    </row>
    <row r="2542" spans="1:8" ht="16.5" customHeight="1" x14ac:dyDescent="0.25">
      <c r="A2542" s="27">
        <v>45958</v>
      </c>
      <c r="B2542" s="80">
        <v>2025</v>
      </c>
      <c r="C2542" s="80">
        <v>10</v>
      </c>
      <c r="D2542" s="30" t="s">
        <v>65</v>
      </c>
      <c r="E2542" s="30" t="s">
        <v>38</v>
      </c>
      <c r="F2542" s="30" t="s">
        <v>43</v>
      </c>
      <c r="G2542" s="33">
        <v>49.491999999999997</v>
      </c>
      <c r="H2542" s="83" t="s">
        <v>88</v>
      </c>
    </row>
    <row r="2543" spans="1:8" ht="16.5" customHeight="1" x14ac:dyDescent="0.25">
      <c r="A2543" s="27">
        <v>45958</v>
      </c>
      <c r="B2543" s="80">
        <v>2025</v>
      </c>
      <c r="C2543" s="80">
        <v>10</v>
      </c>
      <c r="D2543" s="30" t="s">
        <v>65</v>
      </c>
      <c r="E2543" s="30" t="s">
        <v>42</v>
      </c>
      <c r="F2543" s="30" t="s">
        <v>43</v>
      </c>
      <c r="G2543" s="33">
        <v>1.673</v>
      </c>
      <c r="H2543" s="83" t="s">
        <v>88</v>
      </c>
    </row>
    <row r="2544" spans="1:8" ht="16.5" customHeight="1" x14ac:dyDescent="0.25">
      <c r="A2544" s="27">
        <v>45958</v>
      </c>
      <c r="B2544" s="80">
        <v>2025</v>
      </c>
      <c r="C2544" s="80">
        <v>10</v>
      </c>
      <c r="D2544" s="30" t="s">
        <v>65</v>
      </c>
      <c r="E2544" s="30" t="s">
        <v>50</v>
      </c>
      <c r="F2544" s="30" t="s">
        <v>43</v>
      </c>
      <c r="G2544" s="33">
        <v>48.002512400000001</v>
      </c>
      <c r="H2544" s="83" t="s">
        <v>88</v>
      </c>
    </row>
    <row r="2545" spans="1:8" ht="16.5" customHeight="1" x14ac:dyDescent="0.25">
      <c r="A2545" s="27">
        <v>45958</v>
      </c>
      <c r="B2545" s="80">
        <v>2025</v>
      </c>
      <c r="C2545" s="80">
        <v>10</v>
      </c>
      <c r="D2545" s="30" t="s">
        <v>65</v>
      </c>
      <c r="E2545" s="30" t="s">
        <v>50</v>
      </c>
      <c r="F2545" s="30" t="s">
        <v>47</v>
      </c>
      <c r="G2545" s="33">
        <v>0.62160000000000004</v>
      </c>
      <c r="H2545" s="83" t="s">
        <v>88</v>
      </c>
    </row>
    <row r="2546" spans="1:8" ht="16.5" customHeight="1" x14ac:dyDescent="0.25">
      <c r="A2546" s="27">
        <v>45958</v>
      </c>
      <c r="B2546" s="80">
        <v>2025</v>
      </c>
      <c r="C2546" s="80">
        <v>10</v>
      </c>
      <c r="D2546" s="30" t="s">
        <v>65</v>
      </c>
      <c r="E2546" s="30" t="s">
        <v>54</v>
      </c>
      <c r="F2546" s="30" t="s">
        <v>43</v>
      </c>
      <c r="G2546" s="33">
        <v>8.6867999999999999</v>
      </c>
      <c r="H2546" s="83" t="s">
        <v>88</v>
      </c>
    </row>
    <row r="2547" spans="1:8" ht="16.5" customHeight="1" x14ac:dyDescent="0.25">
      <c r="A2547" s="27">
        <v>45958</v>
      </c>
      <c r="B2547" s="80">
        <v>2025</v>
      </c>
      <c r="C2547" s="80">
        <v>10</v>
      </c>
      <c r="D2547" s="30" t="s">
        <v>65</v>
      </c>
      <c r="E2547" s="30" t="s">
        <v>57</v>
      </c>
      <c r="F2547" s="30" t="s">
        <v>43</v>
      </c>
      <c r="G2547" s="33">
        <v>2.5055999999999998</v>
      </c>
      <c r="H2547" s="83" t="s">
        <v>89</v>
      </c>
    </row>
    <row r="2548" spans="1:8" ht="16.5" customHeight="1" x14ac:dyDescent="0.25">
      <c r="A2548" s="27">
        <v>45958</v>
      </c>
      <c r="B2548" s="80">
        <v>2025</v>
      </c>
      <c r="C2548" s="80">
        <v>10</v>
      </c>
      <c r="D2548" s="30" t="s">
        <v>65</v>
      </c>
      <c r="E2548" s="30" t="s">
        <v>64</v>
      </c>
      <c r="F2548" s="30" t="s">
        <v>51</v>
      </c>
      <c r="G2548" s="33">
        <v>0.42399999999999999</v>
      </c>
      <c r="H2548" s="83" t="s">
        <v>89</v>
      </c>
    </row>
    <row r="2549" spans="1:8" ht="16.5" customHeight="1" x14ac:dyDescent="0.25">
      <c r="A2549" s="27">
        <v>45958</v>
      </c>
      <c r="B2549" s="80">
        <v>2025</v>
      </c>
      <c r="C2549" s="80">
        <v>10</v>
      </c>
      <c r="D2549" s="30" t="s">
        <v>65</v>
      </c>
      <c r="E2549" s="30" t="s">
        <v>68</v>
      </c>
      <c r="F2549" s="30" t="s">
        <v>43</v>
      </c>
      <c r="G2549" s="33">
        <v>0.42</v>
      </c>
      <c r="H2549" s="83" t="s">
        <v>89</v>
      </c>
    </row>
    <row r="2550" spans="1:8" ht="16.5" customHeight="1" x14ac:dyDescent="0.25">
      <c r="A2550" s="27">
        <v>45958</v>
      </c>
      <c r="B2550" s="80">
        <v>2025</v>
      </c>
      <c r="C2550" s="80">
        <v>10</v>
      </c>
      <c r="D2550" s="30" t="s">
        <v>65</v>
      </c>
      <c r="E2550" s="30" t="s">
        <v>71</v>
      </c>
      <c r="F2550" s="30" t="s">
        <v>43</v>
      </c>
      <c r="G2550" s="33">
        <v>19.269200000000001</v>
      </c>
      <c r="H2550" s="83" t="s">
        <v>89</v>
      </c>
    </row>
    <row r="2551" spans="1:8" ht="16.5" customHeight="1" x14ac:dyDescent="0.25">
      <c r="A2551" s="27">
        <v>45958</v>
      </c>
      <c r="B2551" s="80">
        <v>2025</v>
      </c>
      <c r="C2551" s="80">
        <v>10</v>
      </c>
      <c r="D2551" s="30" t="s">
        <v>65</v>
      </c>
      <c r="E2551" s="30" t="s">
        <v>75</v>
      </c>
      <c r="F2551" s="30" t="s">
        <v>43</v>
      </c>
      <c r="G2551" s="33">
        <v>4.5342937499999998</v>
      </c>
      <c r="H2551" s="83" t="s">
        <v>48</v>
      </c>
    </row>
    <row r="2552" spans="1:8" ht="16.5" customHeight="1" x14ac:dyDescent="0.25">
      <c r="A2552" s="27">
        <v>45959</v>
      </c>
      <c r="B2552" s="80">
        <v>2025</v>
      </c>
      <c r="C2552" s="80">
        <v>10</v>
      </c>
      <c r="D2552" s="30" t="s">
        <v>65</v>
      </c>
      <c r="E2552" s="30" t="s">
        <v>38</v>
      </c>
      <c r="F2552" s="30" t="s">
        <v>43</v>
      </c>
      <c r="G2552" s="33">
        <v>5.8049999999999997</v>
      </c>
      <c r="H2552" s="83" t="s">
        <v>88</v>
      </c>
    </row>
    <row r="2553" spans="1:8" ht="16.5" customHeight="1" x14ac:dyDescent="0.25">
      <c r="A2553" s="27">
        <v>45959</v>
      </c>
      <c r="B2553" s="80">
        <v>2025</v>
      </c>
      <c r="C2553" s="80">
        <v>10</v>
      </c>
      <c r="D2553" s="30" t="s">
        <v>65</v>
      </c>
      <c r="E2553" s="30" t="s">
        <v>42</v>
      </c>
      <c r="F2553" s="30" t="s">
        <v>43</v>
      </c>
      <c r="G2553" s="33">
        <v>6.8045999999999998</v>
      </c>
      <c r="H2553" s="83" t="s">
        <v>88</v>
      </c>
    </row>
    <row r="2554" spans="1:8" ht="16.5" customHeight="1" x14ac:dyDescent="0.25">
      <c r="A2554" s="27">
        <v>45959</v>
      </c>
      <c r="B2554" s="80">
        <v>2025</v>
      </c>
      <c r="C2554" s="80">
        <v>10</v>
      </c>
      <c r="D2554" s="30" t="s">
        <v>65</v>
      </c>
      <c r="E2554" s="30" t="s">
        <v>42</v>
      </c>
      <c r="F2554" s="30" t="s">
        <v>55</v>
      </c>
      <c r="G2554" s="33">
        <v>1.794</v>
      </c>
      <c r="H2554" s="83" t="s">
        <v>88</v>
      </c>
    </row>
    <row r="2555" spans="1:8" ht="16.5" customHeight="1" x14ac:dyDescent="0.25">
      <c r="A2555" s="27">
        <v>45959</v>
      </c>
      <c r="B2555" s="80">
        <v>2025</v>
      </c>
      <c r="C2555" s="80">
        <v>10</v>
      </c>
      <c r="D2555" s="30" t="s">
        <v>65</v>
      </c>
      <c r="E2555" s="30" t="s">
        <v>46</v>
      </c>
      <c r="F2555" s="30" t="s">
        <v>43</v>
      </c>
      <c r="G2555" s="33">
        <v>4.1491832000000004</v>
      </c>
      <c r="H2555" s="83" t="s">
        <v>88</v>
      </c>
    </row>
    <row r="2556" spans="1:8" ht="16.5" customHeight="1" x14ac:dyDescent="0.25">
      <c r="A2556" s="27">
        <v>45959</v>
      </c>
      <c r="B2556" s="80">
        <v>2025</v>
      </c>
      <c r="C2556" s="80">
        <v>10</v>
      </c>
      <c r="D2556" s="30" t="s">
        <v>65</v>
      </c>
      <c r="E2556" s="30" t="s">
        <v>50</v>
      </c>
      <c r="F2556" s="30" t="s">
        <v>43</v>
      </c>
      <c r="G2556" s="33">
        <v>51.904882800000003</v>
      </c>
      <c r="H2556" s="83" t="s">
        <v>88</v>
      </c>
    </row>
    <row r="2557" spans="1:8" ht="16.5" customHeight="1" x14ac:dyDescent="0.25">
      <c r="A2557" s="27">
        <v>45959</v>
      </c>
      <c r="B2557" s="80">
        <v>2025</v>
      </c>
      <c r="C2557" s="80">
        <v>10</v>
      </c>
      <c r="D2557" s="30" t="s">
        <v>65</v>
      </c>
      <c r="E2557" s="30" t="s">
        <v>50</v>
      </c>
      <c r="F2557" s="30" t="s">
        <v>47</v>
      </c>
      <c r="G2557" s="33">
        <v>0.1311235</v>
      </c>
      <c r="H2557" s="83" t="s">
        <v>88</v>
      </c>
    </row>
    <row r="2558" spans="1:8" ht="16.5" customHeight="1" x14ac:dyDescent="0.25">
      <c r="A2558" s="27">
        <v>45959</v>
      </c>
      <c r="B2558" s="80">
        <v>2025</v>
      </c>
      <c r="C2558" s="80">
        <v>10</v>
      </c>
      <c r="D2558" s="30" t="s">
        <v>65</v>
      </c>
      <c r="E2558" s="30" t="s">
        <v>50</v>
      </c>
      <c r="F2558" s="30" t="s">
        <v>58</v>
      </c>
      <c r="G2558" s="33">
        <v>4.9376444680000002</v>
      </c>
      <c r="H2558" s="83" t="s">
        <v>88</v>
      </c>
    </row>
    <row r="2559" spans="1:8" ht="16.5" customHeight="1" x14ac:dyDescent="0.25">
      <c r="A2559" s="27">
        <v>45959</v>
      </c>
      <c r="B2559" s="80">
        <v>2025</v>
      </c>
      <c r="C2559" s="80">
        <v>10</v>
      </c>
      <c r="D2559" s="30" t="s">
        <v>65</v>
      </c>
      <c r="E2559" s="30" t="s">
        <v>54</v>
      </c>
      <c r="F2559" s="30" t="s">
        <v>43</v>
      </c>
      <c r="G2559" s="33">
        <v>7.9340000000000002</v>
      </c>
      <c r="H2559" s="83" t="s">
        <v>88</v>
      </c>
    </row>
    <row r="2560" spans="1:8" ht="16.5" customHeight="1" x14ac:dyDescent="0.25">
      <c r="A2560" s="27">
        <v>45959</v>
      </c>
      <c r="B2560" s="80">
        <v>2025</v>
      </c>
      <c r="C2560" s="80">
        <v>10</v>
      </c>
      <c r="D2560" s="30" t="s">
        <v>65</v>
      </c>
      <c r="E2560" s="30" t="s">
        <v>54</v>
      </c>
      <c r="F2560" s="30" t="s">
        <v>47</v>
      </c>
      <c r="G2560" s="33">
        <v>0.39</v>
      </c>
      <c r="H2560" s="83" t="s">
        <v>88</v>
      </c>
    </row>
    <row r="2561" spans="1:8" ht="16.5" customHeight="1" x14ac:dyDescent="0.25">
      <c r="A2561" s="27">
        <v>45959</v>
      </c>
      <c r="B2561" s="80">
        <v>2025</v>
      </c>
      <c r="C2561" s="80">
        <v>10</v>
      </c>
      <c r="D2561" s="30" t="s">
        <v>65</v>
      </c>
      <c r="E2561" s="30" t="s">
        <v>68</v>
      </c>
      <c r="F2561" s="30" t="s">
        <v>43</v>
      </c>
      <c r="G2561" s="33">
        <v>3.8980000000000001</v>
      </c>
      <c r="H2561" s="83" t="s">
        <v>89</v>
      </c>
    </row>
    <row r="2562" spans="1:8" ht="16.5" customHeight="1" x14ac:dyDescent="0.25">
      <c r="A2562" s="27">
        <v>45959</v>
      </c>
      <c r="B2562" s="80">
        <v>2025</v>
      </c>
      <c r="C2562" s="80">
        <v>10</v>
      </c>
      <c r="D2562" s="30" t="s">
        <v>65</v>
      </c>
      <c r="E2562" s="30" t="s">
        <v>71</v>
      </c>
      <c r="F2562" s="30" t="s">
        <v>43</v>
      </c>
      <c r="G2562" s="33">
        <v>16.8</v>
      </c>
      <c r="H2562" s="83" t="s">
        <v>89</v>
      </c>
    </row>
    <row r="2563" spans="1:8" ht="16.5" customHeight="1" x14ac:dyDescent="0.25">
      <c r="A2563" s="27">
        <v>45959</v>
      </c>
      <c r="B2563" s="80">
        <v>2025</v>
      </c>
      <c r="C2563" s="80">
        <v>10</v>
      </c>
      <c r="D2563" s="30" t="s">
        <v>65</v>
      </c>
      <c r="E2563" s="30" t="s">
        <v>73</v>
      </c>
      <c r="F2563" s="30" t="s">
        <v>43</v>
      </c>
      <c r="G2563" s="33">
        <v>1.54</v>
      </c>
      <c r="H2563" s="83" t="s">
        <v>89</v>
      </c>
    </row>
    <row r="2564" spans="1:8" ht="16.5" customHeight="1" x14ac:dyDescent="0.25">
      <c r="A2564" s="27">
        <v>45959</v>
      </c>
      <c r="B2564" s="80">
        <v>2025</v>
      </c>
      <c r="C2564" s="80">
        <v>10</v>
      </c>
      <c r="D2564" s="30" t="s">
        <v>65</v>
      </c>
      <c r="E2564" s="30" t="s">
        <v>75</v>
      </c>
      <c r="F2564" s="30" t="s">
        <v>43</v>
      </c>
      <c r="G2564" s="33">
        <v>2.3820000000000001</v>
      </c>
      <c r="H2564" s="83" t="s">
        <v>48</v>
      </c>
    </row>
    <row r="2565" spans="1:8" ht="16.5" customHeight="1" x14ac:dyDescent="0.25">
      <c r="A2565" s="27">
        <v>45959</v>
      </c>
      <c r="B2565" s="80">
        <v>2025</v>
      </c>
      <c r="C2565" s="80">
        <v>10</v>
      </c>
      <c r="D2565" s="30" t="s">
        <v>65</v>
      </c>
      <c r="E2565" s="30" t="s">
        <v>76</v>
      </c>
      <c r="F2565" s="30" t="s">
        <v>43</v>
      </c>
      <c r="G2565" s="33">
        <v>1.749104</v>
      </c>
      <c r="H2565" s="83" t="s">
        <v>48</v>
      </c>
    </row>
    <row r="2566" spans="1:8" ht="16.5" customHeight="1" x14ac:dyDescent="0.25">
      <c r="A2566" s="27">
        <v>45960</v>
      </c>
      <c r="B2566" s="80">
        <v>2025</v>
      </c>
      <c r="C2566" s="80">
        <v>10</v>
      </c>
      <c r="D2566" s="30" t="s">
        <v>65</v>
      </c>
      <c r="E2566" s="30" t="s">
        <v>38</v>
      </c>
      <c r="F2566" s="30" t="s">
        <v>43</v>
      </c>
      <c r="G2566" s="33">
        <v>3.7245759999999999</v>
      </c>
      <c r="H2566" s="83" t="s">
        <v>88</v>
      </c>
    </row>
    <row r="2567" spans="1:8" ht="16.5" customHeight="1" x14ac:dyDescent="0.25">
      <c r="A2567" s="27">
        <v>45960</v>
      </c>
      <c r="B2567" s="80">
        <v>2025</v>
      </c>
      <c r="C2567" s="80">
        <v>10</v>
      </c>
      <c r="D2567" s="30" t="s">
        <v>65</v>
      </c>
      <c r="E2567" s="30" t="s">
        <v>42</v>
      </c>
      <c r="F2567" s="30" t="s">
        <v>43</v>
      </c>
      <c r="G2567" s="33">
        <v>8.9653124999999996</v>
      </c>
      <c r="H2567" s="83" t="s">
        <v>88</v>
      </c>
    </row>
    <row r="2568" spans="1:8" ht="16.5" customHeight="1" x14ac:dyDescent="0.25">
      <c r="A2568" s="27">
        <v>45960</v>
      </c>
      <c r="B2568" s="80">
        <v>2025</v>
      </c>
      <c r="C2568" s="80">
        <v>10</v>
      </c>
      <c r="D2568" s="30" t="s">
        <v>65</v>
      </c>
      <c r="E2568" s="30" t="s">
        <v>46</v>
      </c>
      <c r="F2568" s="30" t="s">
        <v>43</v>
      </c>
      <c r="G2568" s="33">
        <v>0.37423200000000001</v>
      </c>
      <c r="H2568" s="83" t="s">
        <v>88</v>
      </c>
    </row>
    <row r="2569" spans="1:8" ht="16.5" customHeight="1" x14ac:dyDescent="0.25">
      <c r="A2569" s="27">
        <v>45960</v>
      </c>
      <c r="B2569" s="80">
        <v>2025</v>
      </c>
      <c r="C2569" s="80">
        <v>10</v>
      </c>
      <c r="D2569" s="30" t="s">
        <v>65</v>
      </c>
      <c r="E2569" s="30" t="s">
        <v>46</v>
      </c>
      <c r="F2569" s="30" t="s">
        <v>55</v>
      </c>
      <c r="G2569" s="33">
        <v>0.32996799999999998</v>
      </c>
      <c r="H2569" s="83" t="s">
        <v>88</v>
      </c>
    </row>
    <row r="2570" spans="1:8" ht="16.5" customHeight="1" x14ac:dyDescent="0.25">
      <c r="A2570" s="27">
        <v>45960</v>
      </c>
      <c r="B2570" s="80">
        <v>2025</v>
      </c>
      <c r="C2570" s="80">
        <v>10</v>
      </c>
      <c r="D2570" s="30" t="s">
        <v>65</v>
      </c>
      <c r="E2570" s="30" t="s">
        <v>50</v>
      </c>
      <c r="F2570" s="30" t="s">
        <v>43</v>
      </c>
      <c r="G2570" s="33">
        <v>23.010995999999999</v>
      </c>
      <c r="H2570" s="83" t="s">
        <v>88</v>
      </c>
    </row>
    <row r="2571" spans="1:8" ht="16.5" customHeight="1" x14ac:dyDescent="0.25">
      <c r="A2571" s="27">
        <v>45960</v>
      </c>
      <c r="B2571" s="80">
        <v>2025</v>
      </c>
      <c r="C2571" s="80">
        <v>10</v>
      </c>
      <c r="D2571" s="30" t="s">
        <v>65</v>
      </c>
      <c r="E2571" s="30" t="s">
        <v>50</v>
      </c>
      <c r="F2571" s="30" t="s">
        <v>47</v>
      </c>
      <c r="G2571" s="33">
        <v>1.934064</v>
      </c>
      <c r="H2571" s="83" t="s">
        <v>88</v>
      </c>
    </row>
    <row r="2572" spans="1:8" ht="16.5" customHeight="1" x14ac:dyDescent="0.25">
      <c r="A2572" s="27">
        <v>45960</v>
      </c>
      <c r="B2572" s="80">
        <v>2025</v>
      </c>
      <c r="C2572" s="80">
        <v>10</v>
      </c>
      <c r="D2572" s="30" t="s">
        <v>65</v>
      </c>
      <c r="E2572" s="30" t="s">
        <v>50</v>
      </c>
      <c r="F2572" s="30" t="s">
        <v>51</v>
      </c>
      <c r="G2572" s="33">
        <v>0.75224999999999997</v>
      </c>
      <c r="H2572" s="83" t="s">
        <v>88</v>
      </c>
    </row>
    <row r="2573" spans="1:8" ht="16.5" customHeight="1" x14ac:dyDescent="0.25">
      <c r="A2573" s="27">
        <v>45960</v>
      </c>
      <c r="B2573" s="80">
        <v>2025</v>
      </c>
      <c r="C2573" s="80">
        <v>10</v>
      </c>
      <c r="D2573" s="30" t="s">
        <v>65</v>
      </c>
      <c r="E2573" s="30" t="s">
        <v>50</v>
      </c>
      <c r="F2573" s="30" t="s">
        <v>58</v>
      </c>
      <c r="G2573" s="33">
        <v>0.38478257999999999</v>
      </c>
      <c r="H2573" s="83" t="s">
        <v>88</v>
      </c>
    </row>
    <row r="2574" spans="1:8" ht="16.5" customHeight="1" x14ac:dyDescent="0.25">
      <c r="A2574" s="27">
        <v>45960</v>
      </c>
      <c r="B2574" s="80">
        <v>2025</v>
      </c>
      <c r="C2574" s="80">
        <v>10</v>
      </c>
      <c r="D2574" s="30" t="s">
        <v>65</v>
      </c>
      <c r="E2574" s="30" t="s">
        <v>54</v>
      </c>
      <c r="F2574" s="30" t="s">
        <v>43</v>
      </c>
      <c r="G2574" s="33">
        <v>1.6180000000000001</v>
      </c>
      <c r="H2574" s="83" t="s">
        <v>88</v>
      </c>
    </row>
    <row r="2575" spans="1:8" ht="16.5" customHeight="1" x14ac:dyDescent="0.25">
      <c r="A2575" s="27">
        <v>45960</v>
      </c>
      <c r="B2575" s="80">
        <v>2025</v>
      </c>
      <c r="C2575" s="80">
        <v>10</v>
      </c>
      <c r="D2575" s="30" t="s">
        <v>65</v>
      </c>
      <c r="E2575" s="30" t="s">
        <v>57</v>
      </c>
      <c r="F2575" s="30" t="s">
        <v>39</v>
      </c>
      <c r="G2575" s="33">
        <v>16.670200000000001</v>
      </c>
      <c r="H2575" s="83" t="s">
        <v>89</v>
      </c>
    </row>
    <row r="2576" spans="1:8" ht="16.5" customHeight="1" x14ac:dyDescent="0.25">
      <c r="A2576" s="27">
        <v>45960</v>
      </c>
      <c r="B2576" s="80">
        <v>2025</v>
      </c>
      <c r="C2576" s="80">
        <v>10</v>
      </c>
      <c r="D2576" s="30" t="s">
        <v>65</v>
      </c>
      <c r="E2576" s="30" t="s">
        <v>57</v>
      </c>
      <c r="F2576" s="30" t="s">
        <v>43</v>
      </c>
      <c r="G2576" s="33">
        <v>8.32</v>
      </c>
      <c r="H2576" s="83" t="s">
        <v>89</v>
      </c>
    </row>
    <row r="2577" spans="1:8" ht="16.5" customHeight="1" x14ac:dyDescent="0.25">
      <c r="A2577" s="27">
        <v>45960</v>
      </c>
      <c r="B2577" s="80">
        <v>2025</v>
      </c>
      <c r="C2577" s="80">
        <v>10</v>
      </c>
      <c r="D2577" s="30" t="s">
        <v>65</v>
      </c>
      <c r="E2577" s="30" t="s">
        <v>66</v>
      </c>
      <c r="F2577" s="30" t="s">
        <v>43</v>
      </c>
      <c r="G2577" s="33">
        <v>5.7149999999999999</v>
      </c>
      <c r="H2577" s="83" t="s">
        <v>89</v>
      </c>
    </row>
    <row r="2578" spans="1:8" ht="16.5" customHeight="1" x14ac:dyDescent="0.25">
      <c r="A2578" s="27">
        <v>45960</v>
      </c>
      <c r="B2578" s="80">
        <v>2025</v>
      </c>
      <c r="C2578" s="80">
        <v>10</v>
      </c>
      <c r="D2578" s="30" t="s">
        <v>65</v>
      </c>
      <c r="E2578" s="30" t="s">
        <v>71</v>
      </c>
      <c r="F2578" s="30" t="s">
        <v>43</v>
      </c>
      <c r="G2578" s="33">
        <v>6.4762500000000003</v>
      </c>
      <c r="H2578" s="83" t="s">
        <v>89</v>
      </c>
    </row>
    <row r="2579" spans="1:8" ht="16.5" customHeight="1" x14ac:dyDescent="0.25">
      <c r="A2579" s="27">
        <v>45960</v>
      </c>
      <c r="B2579" s="80">
        <v>2025</v>
      </c>
      <c r="C2579" s="80">
        <v>10</v>
      </c>
      <c r="D2579" s="30" t="s">
        <v>65</v>
      </c>
      <c r="E2579" s="30" t="s">
        <v>74</v>
      </c>
      <c r="F2579" s="30" t="s">
        <v>43</v>
      </c>
      <c r="G2579" s="33">
        <v>4.5136000000000003</v>
      </c>
      <c r="H2579" s="83" t="s">
        <v>89</v>
      </c>
    </row>
    <row r="2580" spans="1:8" ht="16.5" customHeight="1" x14ac:dyDescent="0.25">
      <c r="A2580" s="27">
        <v>45960</v>
      </c>
      <c r="B2580" s="80">
        <v>2025</v>
      </c>
      <c r="C2580" s="80">
        <v>10</v>
      </c>
      <c r="D2580" s="30" t="s">
        <v>65</v>
      </c>
      <c r="E2580" s="30" t="s">
        <v>76</v>
      </c>
      <c r="F2580" s="30" t="s">
        <v>39</v>
      </c>
      <c r="G2580" s="33">
        <v>93.007868000000002</v>
      </c>
      <c r="H2580" s="83" t="s">
        <v>48</v>
      </c>
    </row>
    <row r="2581" spans="1:8" ht="16.5" customHeight="1" x14ac:dyDescent="0.25">
      <c r="A2581" s="27">
        <v>45961</v>
      </c>
      <c r="B2581" s="80">
        <v>2025</v>
      </c>
      <c r="C2581" s="80">
        <v>10</v>
      </c>
      <c r="D2581" s="30" t="s">
        <v>65</v>
      </c>
      <c r="E2581" s="30" t="s">
        <v>42</v>
      </c>
      <c r="F2581" s="30" t="s">
        <v>43</v>
      </c>
      <c r="G2581" s="33">
        <v>5.85</v>
      </c>
      <c r="H2581" s="83" t="s">
        <v>88</v>
      </c>
    </row>
    <row r="2582" spans="1:8" ht="16.5" customHeight="1" x14ac:dyDescent="0.25">
      <c r="A2582" s="27">
        <v>45961</v>
      </c>
      <c r="B2582" s="80">
        <v>2025</v>
      </c>
      <c r="C2582" s="80">
        <v>10</v>
      </c>
      <c r="D2582" s="30" t="s">
        <v>65</v>
      </c>
      <c r="E2582" s="30" t="s">
        <v>46</v>
      </c>
      <c r="F2582" s="30" t="s">
        <v>43</v>
      </c>
      <c r="G2582" s="33">
        <v>2.180825</v>
      </c>
      <c r="H2582" s="83" t="s">
        <v>88</v>
      </c>
    </row>
    <row r="2583" spans="1:8" ht="16.5" customHeight="1" x14ac:dyDescent="0.25">
      <c r="A2583" s="27">
        <v>45961</v>
      </c>
      <c r="B2583" s="80">
        <v>2025</v>
      </c>
      <c r="C2583" s="80">
        <v>10</v>
      </c>
      <c r="D2583" s="30" t="s">
        <v>65</v>
      </c>
      <c r="E2583" s="30" t="s">
        <v>50</v>
      </c>
      <c r="F2583" s="30" t="s">
        <v>43</v>
      </c>
      <c r="G2583" s="33">
        <v>1.7930267499999999</v>
      </c>
      <c r="H2583" s="83" t="s">
        <v>88</v>
      </c>
    </row>
    <row r="2584" spans="1:8" ht="16.5" customHeight="1" x14ac:dyDescent="0.25">
      <c r="A2584" s="27">
        <v>45961</v>
      </c>
      <c r="B2584" s="80">
        <v>2025</v>
      </c>
      <c r="C2584" s="80">
        <v>10</v>
      </c>
      <c r="D2584" s="30" t="s">
        <v>65</v>
      </c>
      <c r="E2584" s="30" t="s">
        <v>50</v>
      </c>
      <c r="F2584" s="30" t="s">
        <v>47</v>
      </c>
      <c r="G2584" s="33">
        <v>1.554</v>
      </c>
      <c r="H2584" s="83" t="s">
        <v>88</v>
      </c>
    </row>
    <row r="2585" spans="1:8" ht="16.5" customHeight="1" x14ac:dyDescent="0.25">
      <c r="A2585" s="27">
        <v>45961</v>
      </c>
      <c r="B2585" s="80">
        <v>2025</v>
      </c>
      <c r="C2585" s="80">
        <v>10</v>
      </c>
      <c r="D2585" s="30" t="s">
        <v>65</v>
      </c>
      <c r="E2585" s="30" t="s">
        <v>54</v>
      </c>
      <c r="F2585" s="30" t="s">
        <v>43</v>
      </c>
      <c r="G2585" s="33">
        <v>4.5569199999999999</v>
      </c>
      <c r="H2585" s="83" t="s">
        <v>88</v>
      </c>
    </row>
    <row r="2586" spans="1:8" ht="16.5" customHeight="1" x14ac:dyDescent="0.25">
      <c r="A2586" s="27">
        <v>45961</v>
      </c>
      <c r="B2586" s="80">
        <v>2025</v>
      </c>
      <c r="C2586" s="80">
        <v>10</v>
      </c>
      <c r="D2586" s="30" t="s">
        <v>65</v>
      </c>
      <c r="E2586" s="30" t="s">
        <v>57</v>
      </c>
      <c r="F2586" s="30" t="s">
        <v>43</v>
      </c>
      <c r="G2586" s="33">
        <v>4.1489000000000003</v>
      </c>
      <c r="H2586" s="83" t="s">
        <v>89</v>
      </c>
    </row>
    <row r="2587" spans="1:8" ht="16.5" customHeight="1" x14ac:dyDescent="0.25">
      <c r="A2587" s="27">
        <v>45961</v>
      </c>
      <c r="B2587" s="80">
        <v>2025</v>
      </c>
      <c r="C2587" s="80">
        <v>10</v>
      </c>
      <c r="D2587" s="30" t="s">
        <v>65</v>
      </c>
      <c r="E2587" s="30" t="s">
        <v>61</v>
      </c>
      <c r="F2587" s="30" t="s">
        <v>55</v>
      </c>
      <c r="G2587" s="33">
        <v>1.52</v>
      </c>
      <c r="H2587" s="83" t="s">
        <v>89</v>
      </c>
    </row>
    <row r="2588" spans="1:8" ht="16.5" customHeight="1" x14ac:dyDescent="0.25">
      <c r="A2588" s="27">
        <v>45961</v>
      </c>
      <c r="B2588" s="80">
        <v>2025</v>
      </c>
      <c r="C2588" s="80">
        <v>10</v>
      </c>
      <c r="D2588" s="30" t="s">
        <v>65</v>
      </c>
      <c r="E2588" s="30" t="s">
        <v>68</v>
      </c>
      <c r="F2588" s="30" t="s">
        <v>43</v>
      </c>
      <c r="G2588" s="33">
        <v>2.1150000000000002</v>
      </c>
      <c r="H2588" s="83" t="s">
        <v>89</v>
      </c>
    </row>
    <row r="2589" spans="1:8" ht="16.5" customHeight="1" x14ac:dyDescent="0.25">
      <c r="A2589" s="27">
        <v>45961</v>
      </c>
      <c r="B2589" s="80">
        <v>2025</v>
      </c>
      <c r="C2589" s="80">
        <v>10</v>
      </c>
      <c r="D2589" s="30" t="s">
        <v>65</v>
      </c>
      <c r="E2589" s="30" t="s">
        <v>71</v>
      </c>
      <c r="F2589" s="30" t="s">
        <v>43</v>
      </c>
      <c r="G2589" s="33">
        <v>9.1259999999999994</v>
      </c>
      <c r="H2589" s="83" t="s">
        <v>89</v>
      </c>
    </row>
    <row r="2590" spans="1:8" ht="16.5" customHeight="1" x14ac:dyDescent="0.25">
      <c r="A2590" s="27">
        <v>45964</v>
      </c>
      <c r="B2590" s="80">
        <v>2025</v>
      </c>
      <c r="C2590" s="80">
        <v>11</v>
      </c>
      <c r="D2590" s="30" t="s">
        <v>67</v>
      </c>
      <c r="E2590" s="30" t="s">
        <v>38</v>
      </c>
      <c r="F2590" s="30" t="s">
        <v>43</v>
      </c>
      <c r="G2590" s="33">
        <v>5.9967639999999998</v>
      </c>
      <c r="H2590" s="83" t="s">
        <v>88</v>
      </c>
    </row>
    <row r="2591" spans="1:8" ht="16.5" customHeight="1" x14ac:dyDescent="0.25">
      <c r="A2591" s="27">
        <v>45964</v>
      </c>
      <c r="B2591" s="80">
        <v>2025</v>
      </c>
      <c r="C2591" s="80">
        <v>11</v>
      </c>
      <c r="D2591" s="30" t="s">
        <v>67</v>
      </c>
      <c r="E2591" s="30" t="s">
        <v>42</v>
      </c>
      <c r="F2591" s="30" t="s">
        <v>43</v>
      </c>
      <c r="G2591" s="33">
        <v>0.75119999999999998</v>
      </c>
      <c r="H2591" s="83" t="s">
        <v>88</v>
      </c>
    </row>
    <row r="2592" spans="1:8" ht="16.5" customHeight="1" x14ac:dyDescent="0.25">
      <c r="A2592" s="27">
        <v>45964</v>
      </c>
      <c r="B2592" s="80">
        <v>2025</v>
      </c>
      <c r="C2592" s="80">
        <v>11</v>
      </c>
      <c r="D2592" s="30" t="s">
        <v>67</v>
      </c>
      <c r="E2592" s="30" t="s">
        <v>46</v>
      </c>
      <c r="F2592" s="30" t="s">
        <v>43</v>
      </c>
      <c r="G2592" s="33">
        <v>3.6022943999999999</v>
      </c>
      <c r="H2592" s="83" t="s">
        <v>88</v>
      </c>
    </row>
    <row r="2593" spans="1:8" ht="16.5" customHeight="1" x14ac:dyDescent="0.25">
      <c r="A2593" s="27">
        <v>45964</v>
      </c>
      <c r="B2593" s="80">
        <v>2025</v>
      </c>
      <c r="C2593" s="80">
        <v>11</v>
      </c>
      <c r="D2593" s="30" t="s">
        <v>67</v>
      </c>
      <c r="E2593" s="30" t="s">
        <v>46</v>
      </c>
      <c r="F2593" s="30" t="s">
        <v>47</v>
      </c>
      <c r="G2593" s="33">
        <v>0.36422159999999998</v>
      </c>
      <c r="H2593" s="83" t="s">
        <v>88</v>
      </c>
    </row>
    <row r="2594" spans="1:8" ht="16.5" customHeight="1" x14ac:dyDescent="0.25">
      <c r="A2594" s="27">
        <v>45964</v>
      </c>
      <c r="B2594" s="80">
        <v>2025</v>
      </c>
      <c r="C2594" s="80">
        <v>11</v>
      </c>
      <c r="D2594" s="30" t="s">
        <v>67</v>
      </c>
      <c r="E2594" s="30" t="s">
        <v>50</v>
      </c>
      <c r="F2594" s="30" t="s">
        <v>43</v>
      </c>
      <c r="G2594" s="33">
        <v>3.5891250000000001</v>
      </c>
      <c r="H2594" s="83" t="s">
        <v>88</v>
      </c>
    </row>
    <row r="2595" spans="1:8" ht="16.5" customHeight="1" x14ac:dyDescent="0.25">
      <c r="A2595" s="27">
        <v>45964</v>
      </c>
      <c r="B2595" s="80">
        <v>2025</v>
      </c>
      <c r="C2595" s="80">
        <v>11</v>
      </c>
      <c r="D2595" s="30" t="s">
        <v>67</v>
      </c>
      <c r="E2595" s="30" t="s">
        <v>50</v>
      </c>
      <c r="F2595" s="30" t="s">
        <v>47</v>
      </c>
      <c r="G2595" s="33">
        <v>0.59130000000000005</v>
      </c>
      <c r="H2595" s="83" t="s">
        <v>88</v>
      </c>
    </row>
    <row r="2596" spans="1:8" ht="16.5" customHeight="1" x14ac:dyDescent="0.25">
      <c r="A2596" s="27">
        <v>45964</v>
      </c>
      <c r="B2596" s="80">
        <v>2025</v>
      </c>
      <c r="C2596" s="80">
        <v>11</v>
      </c>
      <c r="D2596" s="30" t="s">
        <v>67</v>
      </c>
      <c r="E2596" s="30" t="s">
        <v>50</v>
      </c>
      <c r="F2596" s="30" t="s">
        <v>51</v>
      </c>
      <c r="G2596" s="33">
        <v>0.255</v>
      </c>
      <c r="H2596" s="83" t="s">
        <v>88</v>
      </c>
    </row>
    <row r="2597" spans="1:8" ht="16.5" customHeight="1" x14ac:dyDescent="0.25">
      <c r="A2597" s="27">
        <v>45964</v>
      </c>
      <c r="B2597" s="80">
        <v>2025</v>
      </c>
      <c r="C2597" s="80">
        <v>11</v>
      </c>
      <c r="D2597" s="30" t="s">
        <v>67</v>
      </c>
      <c r="E2597" s="30" t="s">
        <v>50</v>
      </c>
      <c r="F2597" s="30" t="s">
        <v>55</v>
      </c>
      <c r="G2597" s="33">
        <v>0.71399999999999997</v>
      </c>
      <c r="H2597" s="83" t="s">
        <v>88</v>
      </c>
    </row>
    <row r="2598" spans="1:8" ht="16.5" customHeight="1" x14ac:dyDescent="0.25">
      <c r="A2598" s="27">
        <v>45964</v>
      </c>
      <c r="B2598" s="80">
        <v>2025</v>
      </c>
      <c r="C2598" s="80">
        <v>11</v>
      </c>
      <c r="D2598" s="30" t="s">
        <v>67</v>
      </c>
      <c r="E2598" s="30" t="s">
        <v>50</v>
      </c>
      <c r="F2598" s="30" t="s">
        <v>58</v>
      </c>
      <c r="G2598" s="33">
        <v>1.3075975</v>
      </c>
      <c r="H2598" s="83" t="s">
        <v>88</v>
      </c>
    </row>
    <row r="2599" spans="1:8" ht="16.5" customHeight="1" x14ac:dyDescent="0.25">
      <c r="A2599" s="27">
        <v>45964</v>
      </c>
      <c r="B2599" s="80">
        <v>2025</v>
      </c>
      <c r="C2599" s="80">
        <v>11</v>
      </c>
      <c r="D2599" s="30" t="s">
        <v>67</v>
      </c>
      <c r="E2599" s="30" t="s">
        <v>54</v>
      </c>
      <c r="F2599" s="30" t="s">
        <v>43</v>
      </c>
      <c r="G2599" s="33">
        <v>1.80135</v>
      </c>
      <c r="H2599" s="83" t="s">
        <v>88</v>
      </c>
    </row>
    <row r="2600" spans="1:8" ht="16.5" customHeight="1" x14ac:dyDescent="0.25">
      <c r="A2600" s="27">
        <v>45964</v>
      </c>
      <c r="B2600" s="80">
        <v>2025</v>
      </c>
      <c r="C2600" s="80">
        <v>11</v>
      </c>
      <c r="D2600" s="30" t="s">
        <v>67</v>
      </c>
      <c r="E2600" s="30" t="s">
        <v>66</v>
      </c>
      <c r="F2600" s="30" t="s">
        <v>43</v>
      </c>
      <c r="G2600" s="33">
        <v>1.462</v>
      </c>
      <c r="H2600" s="83" t="s">
        <v>89</v>
      </c>
    </row>
    <row r="2601" spans="1:8" ht="16.5" customHeight="1" x14ac:dyDescent="0.25">
      <c r="A2601" s="27">
        <v>45964</v>
      </c>
      <c r="B2601" s="80">
        <v>2025</v>
      </c>
      <c r="C2601" s="80">
        <v>11</v>
      </c>
      <c r="D2601" s="30" t="s">
        <v>67</v>
      </c>
      <c r="E2601" s="30" t="s">
        <v>75</v>
      </c>
      <c r="F2601" s="30" t="s">
        <v>43</v>
      </c>
      <c r="G2601" s="33">
        <v>1.2067325</v>
      </c>
      <c r="H2601" s="83" t="s">
        <v>48</v>
      </c>
    </row>
    <row r="2602" spans="1:8" ht="16.5" customHeight="1" x14ac:dyDescent="0.25">
      <c r="A2602" s="27">
        <v>45965</v>
      </c>
      <c r="B2602" s="80">
        <v>2025</v>
      </c>
      <c r="C2602" s="80">
        <v>11</v>
      </c>
      <c r="D2602" s="30" t="s">
        <v>67</v>
      </c>
      <c r="E2602" s="30" t="s">
        <v>38</v>
      </c>
      <c r="F2602" s="30" t="s">
        <v>43</v>
      </c>
      <c r="G2602" s="33">
        <v>10.536576</v>
      </c>
      <c r="H2602" s="83" t="s">
        <v>88</v>
      </c>
    </row>
    <row r="2603" spans="1:8" ht="16.5" customHeight="1" x14ac:dyDescent="0.25">
      <c r="A2603" s="27">
        <v>45965</v>
      </c>
      <c r="B2603" s="80">
        <v>2025</v>
      </c>
      <c r="C2603" s="80">
        <v>11</v>
      </c>
      <c r="D2603" s="30" t="s">
        <v>67</v>
      </c>
      <c r="E2603" s="30" t="s">
        <v>38</v>
      </c>
      <c r="F2603" s="30" t="s">
        <v>58</v>
      </c>
      <c r="G2603" s="33">
        <v>0.48170000000000002</v>
      </c>
      <c r="H2603" s="83" t="s">
        <v>88</v>
      </c>
    </row>
    <row r="2604" spans="1:8" ht="16.5" customHeight="1" x14ac:dyDescent="0.25">
      <c r="A2604" s="27">
        <v>45965</v>
      </c>
      <c r="B2604" s="80">
        <v>2025</v>
      </c>
      <c r="C2604" s="80">
        <v>11</v>
      </c>
      <c r="D2604" s="30" t="s">
        <v>67</v>
      </c>
      <c r="E2604" s="30" t="s">
        <v>42</v>
      </c>
      <c r="F2604" s="30" t="s">
        <v>43</v>
      </c>
      <c r="G2604" s="33">
        <v>4.0119999999999996</v>
      </c>
      <c r="H2604" s="83" t="s">
        <v>88</v>
      </c>
    </row>
    <row r="2605" spans="1:8" ht="16.5" customHeight="1" x14ac:dyDescent="0.25">
      <c r="A2605" s="27">
        <v>45965</v>
      </c>
      <c r="B2605" s="80">
        <v>2025</v>
      </c>
      <c r="C2605" s="80">
        <v>11</v>
      </c>
      <c r="D2605" s="30" t="s">
        <v>67</v>
      </c>
      <c r="E2605" s="30" t="s">
        <v>46</v>
      </c>
      <c r="F2605" s="30" t="s">
        <v>43</v>
      </c>
      <c r="G2605" s="33">
        <v>5.6637648</v>
      </c>
      <c r="H2605" s="83" t="s">
        <v>88</v>
      </c>
    </row>
    <row r="2606" spans="1:8" ht="16.5" customHeight="1" x14ac:dyDescent="0.25">
      <c r="A2606" s="27">
        <v>45965</v>
      </c>
      <c r="B2606" s="80">
        <v>2025</v>
      </c>
      <c r="C2606" s="80">
        <v>11</v>
      </c>
      <c r="D2606" s="30" t="s">
        <v>67</v>
      </c>
      <c r="E2606" s="30" t="s">
        <v>46</v>
      </c>
      <c r="F2606" s="30" t="s">
        <v>47</v>
      </c>
      <c r="G2606" s="33">
        <v>1.8211079999999999</v>
      </c>
      <c r="H2606" s="83" t="s">
        <v>88</v>
      </c>
    </row>
    <row r="2607" spans="1:8" ht="16.5" customHeight="1" x14ac:dyDescent="0.25">
      <c r="A2607" s="27">
        <v>45965</v>
      </c>
      <c r="B2607" s="80">
        <v>2025</v>
      </c>
      <c r="C2607" s="80">
        <v>11</v>
      </c>
      <c r="D2607" s="30" t="s">
        <v>67</v>
      </c>
      <c r="E2607" s="30" t="s">
        <v>46</v>
      </c>
      <c r="F2607" s="30" t="s">
        <v>51</v>
      </c>
      <c r="G2607" s="33">
        <v>0.65539999999999998</v>
      </c>
      <c r="H2607" s="83" t="s">
        <v>88</v>
      </c>
    </row>
    <row r="2608" spans="1:8" ht="16.5" customHeight="1" x14ac:dyDescent="0.25">
      <c r="A2608" s="27">
        <v>45965</v>
      </c>
      <c r="B2608" s="80">
        <v>2025</v>
      </c>
      <c r="C2608" s="80">
        <v>11</v>
      </c>
      <c r="D2608" s="30" t="s">
        <v>67</v>
      </c>
      <c r="E2608" s="30" t="s">
        <v>50</v>
      </c>
      <c r="F2608" s="30" t="s">
        <v>43</v>
      </c>
      <c r="G2608" s="33">
        <v>61.074673900000001</v>
      </c>
      <c r="H2608" s="83" t="s">
        <v>88</v>
      </c>
    </row>
    <row r="2609" spans="1:8" ht="16.5" customHeight="1" x14ac:dyDescent="0.25">
      <c r="A2609" s="27">
        <v>45965</v>
      </c>
      <c r="B2609" s="80">
        <v>2025</v>
      </c>
      <c r="C2609" s="80">
        <v>11</v>
      </c>
      <c r="D2609" s="30" t="s">
        <v>67</v>
      </c>
      <c r="E2609" s="30" t="s">
        <v>50</v>
      </c>
      <c r="F2609" s="30" t="s">
        <v>51</v>
      </c>
      <c r="G2609" s="33">
        <v>0.25074999999999997</v>
      </c>
      <c r="H2609" s="83" t="s">
        <v>88</v>
      </c>
    </row>
    <row r="2610" spans="1:8" ht="16.5" customHeight="1" x14ac:dyDescent="0.25">
      <c r="A2610" s="27">
        <v>45965</v>
      </c>
      <c r="B2610" s="80">
        <v>2025</v>
      </c>
      <c r="C2610" s="80">
        <v>11</v>
      </c>
      <c r="D2610" s="30" t="s">
        <v>67</v>
      </c>
      <c r="E2610" s="30" t="s">
        <v>50</v>
      </c>
      <c r="F2610" s="30" t="s">
        <v>58</v>
      </c>
      <c r="G2610" s="33">
        <v>16.445725339999999</v>
      </c>
      <c r="H2610" s="83" t="s">
        <v>88</v>
      </c>
    </row>
    <row r="2611" spans="1:8" ht="16.5" customHeight="1" x14ac:dyDescent="0.25">
      <c r="A2611" s="27">
        <v>45965</v>
      </c>
      <c r="B2611" s="80">
        <v>2025</v>
      </c>
      <c r="C2611" s="80">
        <v>11</v>
      </c>
      <c r="D2611" s="30" t="s">
        <v>67</v>
      </c>
      <c r="E2611" s="30" t="s">
        <v>54</v>
      </c>
      <c r="F2611" s="30" t="s">
        <v>43</v>
      </c>
      <c r="G2611" s="33">
        <v>1.9610000000000001</v>
      </c>
      <c r="H2611" s="83" t="s">
        <v>88</v>
      </c>
    </row>
    <row r="2612" spans="1:8" ht="16.5" customHeight="1" x14ac:dyDescent="0.25">
      <c r="A2612" s="27">
        <v>45965</v>
      </c>
      <c r="B2612" s="80">
        <v>2025</v>
      </c>
      <c r="C2612" s="80">
        <v>11</v>
      </c>
      <c r="D2612" s="30" t="s">
        <v>67</v>
      </c>
      <c r="E2612" s="30" t="s">
        <v>54</v>
      </c>
      <c r="F2612" s="30" t="s">
        <v>47</v>
      </c>
      <c r="G2612" s="33">
        <v>0.16</v>
      </c>
      <c r="H2612" s="83" t="s">
        <v>88</v>
      </c>
    </row>
    <row r="2613" spans="1:8" ht="16.5" customHeight="1" x14ac:dyDescent="0.25">
      <c r="A2613" s="27">
        <v>45965</v>
      </c>
      <c r="B2613" s="80">
        <v>2025</v>
      </c>
      <c r="C2613" s="80">
        <v>11</v>
      </c>
      <c r="D2613" s="30" t="s">
        <v>67</v>
      </c>
      <c r="E2613" s="30" t="s">
        <v>61</v>
      </c>
      <c r="F2613" s="30" t="s">
        <v>55</v>
      </c>
      <c r="G2613" s="33">
        <v>11.02</v>
      </c>
      <c r="H2613" s="83" t="s">
        <v>89</v>
      </c>
    </row>
    <row r="2614" spans="1:8" ht="16.5" customHeight="1" x14ac:dyDescent="0.25">
      <c r="A2614" s="27">
        <v>45965</v>
      </c>
      <c r="B2614" s="80">
        <v>2025</v>
      </c>
      <c r="C2614" s="80">
        <v>11</v>
      </c>
      <c r="D2614" s="30" t="s">
        <v>67</v>
      </c>
      <c r="E2614" s="30" t="s">
        <v>66</v>
      </c>
      <c r="F2614" s="30" t="s">
        <v>43</v>
      </c>
      <c r="G2614" s="33">
        <v>1.2925</v>
      </c>
      <c r="H2614" s="83" t="s">
        <v>89</v>
      </c>
    </row>
    <row r="2615" spans="1:8" ht="16.5" customHeight="1" x14ac:dyDescent="0.25">
      <c r="A2615" s="27">
        <v>45965</v>
      </c>
      <c r="B2615" s="80">
        <v>2025</v>
      </c>
      <c r="C2615" s="80">
        <v>11</v>
      </c>
      <c r="D2615" s="30" t="s">
        <v>67</v>
      </c>
      <c r="E2615" s="30" t="s">
        <v>68</v>
      </c>
      <c r="F2615" s="30" t="s">
        <v>43</v>
      </c>
      <c r="G2615" s="33">
        <v>1.19625</v>
      </c>
      <c r="H2615" s="83" t="s">
        <v>89</v>
      </c>
    </row>
    <row r="2616" spans="1:8" ht="16.5" customHeight="1" x14ac:dyDescent="0.25">
      <c r="A2616" s="27">
        <v>45965</v>
      </c>
      <c r="B2616" s="80">
        <v>2025</v>
      </c>
      <c r="C2616" s="80">
        <v>11</v>
      </c>
      <c r="D2616" s="30" t="s">
        <v>67</v>
      </c>
      <c r="E2616" s="30" t="s">
        <v>71</v>
      </c>
      <c r="F2616" s="30" t="s">
        <v>43</v>
      </c>
      <c r="G2616" s="33">
        <v>1.331</v>
      </c>
      <c r="H2616" s="83" t="s">
        <v>89</v>
      </c>
    </row>
    <row r="2617" spans="1:8" ht="16.5" customHeight="1" x14ac:dyDescent="0.25">
      <c r="A2617" s="27">
        <v>45965</v>
      </c>
      <c r="B2617" s="80">
        <v>2025</v>
      </c>
      <c r="C2617" s="80">
        <v>11</v>
      </c>
      <c r="D2617" s="30" t="s">
        <v>67</v>
      </c>
      <c r="E2617" s="30" t="s">
        <v>75</v>
      </c>
      <c r="F2617" s="30" t="s">
        <v>43</v>
      </c>
      <c r="G2617" s="33">
        <v>1.794</v>
      </c>
      <c r="H2617" s="83" t="s">
        <v>48</v>
      </c>
    </row>
    <row r="2618" spans="1:8" ht="16.5" customHeight="1" x14ac:dyDescent="0.25">
      <c r="A2618" s="27">
        <v>45966</v>
      </c>
      <c r="B2618" s="80">
        <v>2025</v>
      </c>
      <c r="C2618" s="80">
        <v>11</v>
      </c>
      <c r="D2618" s="30" t="s">
        <v>67</v>
      </c>
      <c r="E2618" s="30" t="s">
        <v>38</v>
      </c>
      <c r="F2618" s="30" t="s">
        <v>43</v>
      </c>
      <c r="G2618" s="33">
        <v>0.51275000000000004</v>
      </c>
      <c r="H2618" s="83" t="s">
        <v>88</v>
      </c>
    </row>
    <row r="2619" spans="1:8" ht="16.5" customHeight="1" x14ac:dyDescent="0.25">
      <c r="A2619" s="27">
        <v>45966</v>
      </c>
      <c r="B2619" s="80">
        <v>2025</v>
      </c>
      <c r="C2619" s="80">
        <v>11</v>
      </c>
      <c r="D2619" s="30" t="s">
        <v>67</v>
      </c>
      <c r="E2619" s="30" t="s">
        <v>38</v>
      </c>
      <c r="F2619" s="30" t="s">
        <v>55</v>
      </c>
      <c r="G2619" s="33">
        <v>0.82</v>
      </c>
      <c r="H2619" s="83" t="s">
        <v>88</v>
      </c>
    </row>
    <row r="2620" spans="1:8" ht="16.5" customHeight="1" x14ac:dyDescent="0.25">
      <c r="A2620" s="27">
        <v>45966</v>
      </c>
      <c r="B2620" s="80">
        <v>2025</v>
      </c>
      <c r="C2620" s="80">
        <v>11</v>
      </c>
      <c r="D2620" s="30" t="s">
        <v>67</v>
      </c>
      <c r="E2620" s="30" t="s">
        <v>42</v>
      </c>
      <c r="F2620" s="30" t="s">
        <v>43</v>
      </c>
      <c r="G2620" s="33">
        <v>4.6609999999999996</v>
      </c>
      <c r="H2620" s="83" t="s">
        <v>88</v>
      </c>
    </row>
    <row r="2621" spans="1:8" ht="16.5" customHeight="1" x14ac:dyDescent="0.25">
      <c r="A2621" s="27">
        <v>45966</v>
      </c>
      <c r="B2621" s="80">
        <v>2025</v>
      </c>
      <c r="C2621" s="80">
        <v>11</v>
      </c>
      <c r="D2621" s="30" t="s">
        <v>67</v>
      </c>
      <c r="E2621" s="30" t="s">
        <v>46</v>
      </c>
      <c r="F2621" s="30" t="s">
        <v>39</v>
      </c>
      <c r="G2621" s="33">
        <v>0.39636399999999999</v>
      </c>
      <c r="H2621" s="83" t="s">
        <v>88</v>
      </c>
    </row>
    <row r="2622" spans="1:8" ht="16.5" customHeight="1" x14ac:dyDescent="0.25">
      <c r="A2622" s="27">
        <v>45966</v>
      </c>
      <c r="B2622" s="80">
        <v>2025</v>
      </c>
      <c r="C2622" s="80">
        <v>11</v>
      </c>
      <c r="D2622" s="30" t="s">
        <v>67</v>
      </c>
      <c r="E2622" s="30" t="s">
        <v>46</v>
      </c>
      <c r="F2622" s="30" t="s">
        <v>43</v>
      </c>
      <c r="G2622" s="33">
        <v>2.4124287999999998</v>
      </c>
      <c r="H2622" s="83" t="s">
        <v>88</v>
      </c>
    </row>
    <row r="2623" spans="1:8" ht="16.5" customHeight="1" x14ac:dyDescent="0.25">
      <c r="A2623" s="27">
        <v>45966</v>
      </c>
      <c r="B2623" s="80">
        <v>2025</v>
      </c>
      <c r="C2623" s="80">
        <v>11</v>
      </c>
      <c r="D2623" s="30" t="s">
        <v>67</v>
      </c>
      <c r="E2623" s="30" t="s">
        <v>46</v>
      </c>
      <c r="F2623" s="30" t="s">
        <v>47</v>
      </c>
      <c r="G2623" s="33">
        <v>0.36422159999999998</v>
      </c>
      <c r="H2623" s="83" t="s">
        <v>88</v>
      </c>
    </row>
    <row r="2624" spans="1:8" ht="16.5" customHeight="1" x14ac:dyDescent="0.25">
      <c r="A2624" s="27">
        <v>45966</v>
      </c>
      <c r="B2624" s="80">
        <v>2025</v>
      </c>
      <c r="C2624" s="80">
        <v>11</v>
      </c>
      <c r="D2624" s="30" t="s">
        <v>67</v>
      </c>
      <c r="E2624" s="30" t="s">
        <v>46</v>
      </c>
      <c r="F2624" s="30" t="s">
        <v>58</v>
      </c>
      <c r="G2624" s="33">
        <v>6.2211040000000002E-2</v>
      </c>
      <c r="H2624" s="83" t="s">
        <v>88</v>
      </c>
    </row>
    <row r="2625" spans="1:8" ht="16.5" customHeight="1" x14ac:dyDescent="0.25">
      <c r="A2625" s="27">
        <v>45966</v>
      </c>
      <c r="B2625" s="80">
        <v>2025</v>
      </c>
      <c r="C2625" s="80">
        <v>11</v>
      </c>
      <c r="D2625" s="30" t="s">
        <v>67</v>
      </c>
      <c r="E2625" s="30" t="s">
        <v>50</v>
      </c>
      <c r="F2625" s="30" t="s">
        <v>43</v>
      </c>
      <c r="G2625" s="33">
        <v>1.121694</v>
      </c>
      <c r="H2625" s="83" t="s">
        <v>88</v>
      </c>
    </row>
    <row r="2626" spans="1:8" ht="16.5" customHeight="1" x14ac:dyDescent="0.25">
      <c r="A2626" s="27">
        <v>45966</v>
      </c>
      <c r="B2626" s="80">
        <v>2025</v>
      </c>
      <c r="C2626" s="80">
        <v>11</v>
      </c>
      <c r="D2626" s="30" t="s">
        <v>67</v>
      </c>
      <c r="E2626" s="30" t="s">
        <v>50</v>
      </c>
      <c r="F2626" s="30" t="s">
        <v>47</v>
      </c>
      <c r="G2626" s="33">
        <v>1.2432000000000001</v>
      </c>
      <c r="H2626" s="83" t="s">
        <v>88</v>
      </c>
    </row>
    <row r="2627" spans="1:8" ht="16.5" customHeight="1" x14ac:dyDescent="0.25">
      <c r="A2627" s="27">
        <v>45966</v>
      </c>
      <c r="B2627" s="80">
        <v>2025</v>
      </c>
      <c r="C2627" s="80">
        <v>11</v>
      </c>
      <c r="D2627" s="30" t="s">
        <v>67</v>
      </c>
      <c r="E2627" s="30" t="s">
        <v>50</v>
      </c>
      <c r="F2627" s="30" t="s">
        <v>55</v>
      </c>
      <c r="G2627" s="33">
        <v>15.241038</v>
      </c>
      <c r="H2627" s="83" t="s">
        <v>88</v>
      </c>
    </row>
    <row r="2628" spans="1:8" ht="16.5" customHeight="1" x14ac:dyDescent="0.25">
      <c r="A2628" s="27">
        <v>45966</v>
      </c>
      <c r="B2628" s="80">
        <v>2025</v>
      </c>
      <c r="C2628" s="80">
        <v>11</v>
      </c>
      <c r="D2628" s="30" t="s">
        <v>67</v>
      </c>
      <c r="E2628" s="30" t="s">
        <v>50</v>
      </c>
      <c r="F2628" s="30" t="s">
        <v>58</v>
      </c>
      <c r="G2628" s="33">
        <v>51.633771408000001</v>
      </c>
      <c r="H2628" s="83" t="s">
        <v>88</v>
      </c>
    </row>
    <row r="2629" spans="1:8" ht="16.5" customHeight="1" x14ac:dyDescent="0.25">
      <c r="A2629" s="27">
        <v>45966</v>
      </c>
      <c r="B2629" s="80">
        <v>2025</v>
      </c>
      <c r="C2629" s="80">
        <v>11</v>
      </c>
      <c r="D2629" s="30" t="s">
        <v>67</v>
      </c>
      <c r="E2629" s="30" t="s">
        <v>54</v>
      </c>
      <c r="F2629" s="30" t="s">
        <v>43</v>
      </c>
      <c r="G2629" s="33">
        <v>4.2089999999999996</v>
      </c>
      <c r="H2629" s="83" t="s">
        <v>88</v>
      </c>
    </row>
    <row r="2630" spans="1:8" ht="16.5" customHeight="1" x14ac:dyDescent="0.25">
      <c r="A2630" s="27">
        <v>45966</v>
      </c>
      <c r="B2630" s="80">
        <v>2025</v>
      </c>
      <c r="C2630" s="80">
        <v>11</v>
      </c>
      <c r="D2630" s="30" t="s">
        <v>67</v>
      </c>
      <c r="E2630" s="30" t="s">
        <v>54</v>
      </c>
      <c r="F2630" s="30" t="s">
        <v>47</v>
      </c>
      <c r="G2630" s="33">
        <v>0.1188</v>
      </c>
      <c r="H2630" s="83" t="s">
        <v>88</v>
      </c>
    </row>
    <row r="2631" spans="1:8" ht="16.5" customHeight="1" x14ac:dyDescent="0.25">
      <c r="A2631" s="27">
        <v>45966</v>
      </c>
      <c r="B2631" s="80">
        <v>2025</v>
      </c>
      <c r="C2631" s="80">
        <v>11</v>
      </c>
      <c r="D2631" s="30" t="s">
        <v>67</v>
      </c>
      <c r="E2631" s="30" t="s">
        <v>57</v>
      </c>
      <c r="F2631" s="30" t="s">
        <v>43</v>
      </c>
      <c r="G2631" s="33">
        <v>55.534500000000001</v>
      </c>
      <c r="H2631" s="83" t="s">
        <v>89</v>
      </c>
    </row>
    <row r="2632" spans="1:8" ht="16.5" customHeight="1" x14ac:dyDescent="0.25">
      <c r="A2632" s="27">
        <v>45966</v>
      </c>
      <c r="B2632" s="80">
        <v>2025</v>
      </c>
      <c r="C2632" s="80">
        <v>11</v>
      </c>
      <c r="D2632" s="30" t="s">
        <v>67</v>
      </c>
      <c r="E2632" s="30" t="s">
        <v>64</v>
      </c>
      <c r="F2632" s="30" t="s">
        <v>43</v>
      </c>
      <c r="G2632" s="33">
        <v>4.3368000000000002</v>
      </c>
      <c r="H2632" s="83" t="s">
        <v>89</v>
      </c>
    </row>
    <row r="2633" spans="1:8" ht="16.5" customHeight="1" x14ac:dyDescent="0.25">
      <c r="A2633" s="27">
        <v>45966</v>
      </c>
      <c r="B2633" s="80">
        <v>2025</v>
      </c>
      <c r="C2633" s="80">
        <v>11</v>
      </c>
      <c r="D2633" s="30" t="s">
        <v>67</v>
      </c>
      <c r="E2633" s="30" t="s">
        <v>64</v>
      </c>
      <c r="F2633" s="30" t="s">
        <v>55</v>
      </c>
      <c r="G2633" s="33">
        <v>0.6</v>
      </c>
      <c r="H2633" s="83" t="s">
        <v>89</v>
      </c>
    </row>
    <row r="2634" spans="1:8" ht="16.5" customHeight="1" x14ac:dyDescent="0.25">
      <c r="A2634" s="27">
        <v>45966</v>
      </c>
      <c r="B2634" s="80">
        <v>2025</v>
      </c>
      <c r="C2634" s="80">
        <v>11</v>
      </c>
      <c r="D2634" s="30" t="s">
        <v>67</v>
      </c>
      <c r="E2634" s="30" t="s">
        <v>66</v>
      </c>
      <c r="F2634" s="30" t="s">
        <v>55</v>
      </c>
      <c r="G2634" s="33">
        <v>2.8</v>
      </c>
      <c r="H2634" s="83" t="s">
        <v>89</v>
      </c>
    </row>
    <row r="2635" spans="1:8" ht="16.5" customHeight="1" x14ac:dyDescent="0.25">
      <c r="A2635" s="27">
        <v>45966</v>
      </c>
      <c r="B2635" s="80">
        <v>2025</v>
      </c>
      <c r="C2635" s="80">
        <v>11</v>
      </c>
      <c r="D2635" s="30" t="s">
        <v>67</v>
      </c>
      <c r="E2635" s="30" t="s">
        <v>68</v>
      </c>
      <c r="F2635" s="30" t="s">
        <v>43</v>
      </c>
      <c r="G2635" s="33">
        <v>4.46</v>
      </c>
      <c r="H2635" s="83" t="s">
        <v>89</v>
      </c>
    </row>
    <row r="2636" spans="1:8" ht="16.5" customHeight="1" x14ac:dyDescent="0.25">
      <c r="A2636" s="27">
        <v>45966</v>
      </c>
      <c r="B2636" s="80">
        <v>2025</v>
      </c>
      <c r="C2636" s="80">
        <v>11</v>
      </c>
      <c r="D2636" s="30" t="s">
        <v>67</v>
      </c>
      <c r="E2636" s="30" t="s">
        <v>71</v>
      </c>
      <c r="F2636" s="30" t="s">
        <v>43</v>
      </c>
      <c r="G2636" s="33">
        <v>20.5</v>
      </c>
      <c r="H2636" s="83" t="s">
        <v>89</v>
      </c>
    </row>
    <row r="2637" spans="1:8" ht="16.5" customHeight="1" x14ac:dyDescent="0.25">
      <c r="A2637" s="27">
        <v>45966</v>
      </c>
      <c r="B2637" s="80">
        <v>2025</v>
      </c>
      <c r="C2637" s="80">
        <v>11</v>
      </c>
      <c r="D2637" s="30" t="s">
        <v>67</v>
      </c>
      <c r="E2637" s="30" t="s">
        <v>75</v>
      </c>
      <c r="F2637" s="30" t="s">
        <v>43</v>
      </c>
      <c r="G2637" s="33">
        <v>16.418992500000002</v>
      </c>
      <c r="H2637" s="83" t="s">
        <v>48</v>
      </c>
    </row>
    <row r="2638" spans="1:8" ht="16.5" customHeight="1" x14ac:dyDescent="0.25">
      <c r="A2638" s="27">
        <v>45967</v>
      </c>
      <c r="B2638" s="80">
        <v>2025</v>
      </c>
      <c r="C2638" s="80">
        <v>11</v>
      </c>
      <c r="D2638" s="30" t="s">
        <v>67</v>
      </c>
      <c r="E2638" s="30" t="s">
        <v>38</v>
      </c>
      <c r="F2638" s="30" t="s">
        <v>43</v>
      </c>
      <c r="G2638" s="33">
        <v>20.095870000000001</v>
      </c>
      <c r="H2638" s="83" t="s">
        <v>88</v>
      </c>
    </row>
    <row r="2639" spans="1:8" ht="16.5" customHeight="1" x14ac:dyDescent="0.25">
      <c r="A2639" s="27">
        <v>45967</v>
      </c>
      <c r="B2639" s="80">
        <v>2025</v>
      </c>
      <c r="C2639" s="80">
        <v>11</v>
      </c>
      <c r="D2639" s="30" t="s">
        <v>67</v>
      </c>
      <c r="E2639" s="30" t="s">
        <v>42</v>
      </c>
      <c r="F2639" s="30" t="s">
        <v>43</v>
      </c>
      <c r="G2639" s="33">
        <v>8.3284000000000002</v>
      </c>
      <c r="H2639" s="83" t="s">
        <v>88</v>
      </c>
    </row>
    <row r="2640" spans="1:8" ht="16.5" customHeight="1" x14ac:dyDescent="0.25">
      <c r="A2640" s="27">
        <v>45967</v>
      </c>
      <c r="B2640" s="80">
        <v>2025</v>
      </c>
      <c r="C2640" s="80">
        <v>11</v>
      </c>
      <c r="D2640" s="30" t="s">
        <v>67</v>
      </c>
      <c r="E2640" s="30" t="s">
        <v>46</v>
      </c>
      <c r="F2640" s="30" t="s">
        <v>43</v>
      </c>
      <c r="G2640" s="33">
        <v>1.060392</v>
      </c>
      <c r="H2640" s="83" t="s">
        <v>88</v>
      </c>
    </row>
    <row r="2641" spans="1:8" ht="16.5" customHeight="1" x14ac:dyDescent="0.25">
      <c r="A2641" s="27">
        <v>45967</v>
      </c>
      <c r="B2641" s="80">
        <v>2025</v>
      </c>
      <c r="C2641" s="80">
        <v>11</v>
      </c>
      <c r="D2641" s="30" t="s">
        <v>67</v>
      </c>
      <c r="E2641" s="30" t="s">
        <v>46</v>
      </c>
      <c r="F2641" s="30" t="s">
        <v>47</v>
      </c>
      <c r="G2641" s="33">
        <v>1.0926648000000001</v>
      </c>
      <c r="H2641" s="83" t="s">
        <v>88</v>
      </c>
    </row>
    <row r="2642" spans="1:8" ht="16.5" customHeight="1" x14ac:dyDescent="0.25">
      <c r="A2642" s="27">
        <v>45967</v>
      </c>
      <c r="B2642" s="80">
        <v>2025</v>
      </c>
      <c r="C2642" s="80">
        <v>11</v>
      </c>
      <c r="D2642" s="30" t="s">
        <v>67</v>
      </c>
      <c r="E2642" s="30" t="s">
        <v>46</v>
      </c>
      <c r="F2642" s="30" t="s">
        <v>51</v>
      </c>
      <c r="G2642" s="33">
        <v>0.41583999999999999</v>
      </c>
      <c r="H2642" s="83" t="s">
        <v>88</v>
      </c>
    </row>
    <row r="2643" spans="1:8" ht="16.5" customHeight="1" x14ac:dyDescent="0.25">
      <c r="A2643" s="27">
        <v>45967</v>
      </c>
      <c r="B2643" s="80">
        <v>2025</v>
      </c>
      <c r="C2643" s="80">
        <v>11</v>
      </c>
      <c r="D2643" s="30" t="s">
        <v>67</v>
      </c>
      <c r="E2643" s="30" t="s">
        <v>46</v>
      </c>
      <c r="F2643" s="30" t="s">
        <v>58</v>
      </c>
      <c r="G2643" s="33">
        <v>0.33572232000000002</v>
      </c>
      <c r="H2643" s="83" t="s">
        <v>88</v>
      </c>
    </row>
    <row r="2644" spans="1:8" ht="16.5" customHeight="1" x14ac:dyDescent="0.25">
      <c r="A2644" s="27">
        <v>45967</v>
      </c>
      <c r="B2644" s="80">
        <v>2025</v>
      </c>
      <c r="C2644" s="80">
        <v>11</v>
      </c>
      <c r="D2644" s="30" t="s">
        <v>67</v>
      </c>
      <c r="E2644" s="30" t="s">
        <v>50</v>
      </c>
      <c r="F2644" s="30" t="s">
        <v>43</v>
      </c>
      <c r="G2644" s="33">
        <v>41.864247030000001</v>
      </c>
      <c r="H2644" s="83" t="s">
        <v>88</v>
      </c>
    </row>
    <row r="2645" spans="1:8" ht="16.5" customHeight="1" x14ac:dyDescent="0.25">
      <c r="A2645" s="27">
        <v>45967</v>
      </c>
      <c r="B2645" s="80">
        <v>2025</v>
      </c>
      <c r="C2645" s="80">
        <v>11</v>
      </c>
      <c r="D2645" s="30" t="s">
        <v>67</v>
      </c>
      <c r="E2645" s="30" t="s">
        <v>50</v>
      </c>
      <c r="F2645" s="30" t="s">
        <v>47</v>
      </c>
      <c r="G2645" s="33">
        <v>0.93240000000000001</v>
      </c>
      <c r="H2645" s="83" t="s">
        <v>88</v>
      </c>
    </row>
    <row r="2646" spans="1:8" ht="16.5" customHeight="1" x14ac:dyDescent="0.25">
      <c r="A2646" s="27">
        <v>45967</v>
      </c>
      <c r="B2646" s="80">
        <v>2025</v>
      </c>
      <c r="C2646" s="80">
        <v>11</v>
      </c>
      <c r="D2646" s="30" t="s">
        <v>67</v>
      </c>
      <c r="E2646" s="30" t="s">
        <v>50</v>
      </c>
      <c r="F2646" s="30" t="s">
        <v>51</v>
      </c>
      <c r="G2646" s="33">
        <v>4.9686000000000001E-2</v>
      </c>
      <c r="H2646" s="83" t="s">
        <v>88</v>
      </c>
    </row>
    <row r="2647" spans="1:8" ht="16.5" customHeight="1" x14ac:dyDescent="0.25">
      <c r="A2647" s="27">
        <v>45967</v>
      </c>
      <c r="B2647" s="80">
        <v>2025</v>
      </c>
      <c r="C2647" s="80">
        <v>11</v>
      </c>
      <c r="D2647" s="30" t="s">
        <v>67</v>
      </c>
      <c r="E2647" s="30" t="s">
        <v>50</v>
      </c>
      <c r="F2647" s="30" t="s">
        <v>58</v>
      </c>
      <c r="G2647" s="33">
        <v>1.4993596499999999</v>
      </c>
      <c r="H2647" s="83" t="s">
        <v>88</v>
      </c>
    </row>
    <row r="2648" spans="1:8" ht="16.5" customHeight="1" x14ac:dyDescent="0.25">
      <c r="A2648" s="27">
        <v>45967</v>
      </c>
      <c r="B2648" s="80">
        <v>2025</v>
      </c>
      <c r="C2648" s="80">
        <v>11</v>
      </c>
      <c r="D2648" s="30" t="s">
        <v>67</v>
      </c>
      <c r="E2648" s="30" t="s">
        <v>68</v>
      </c>
      <c r="F2648" s="30" t="s">
        <v>43</v>
      </c>
      <c r="G2648" s="33">
        <v>1.1599999999999999</v>
      </c>
      <c r="H2648" s="83" t="s">
        <v>89</v>
      </c>
    </row>
    <row r="2649" spans="1:8" ht="16.5" customHeight="1" x14ac:dyDescent="0.25">
      <c r="A2649" s="27">
        <v>45968</v>
      </c>
      <c r="B2649" s="80">
        <v>2025</v>
      </c>
      <c r="C2649" s="80">
        <v>11</v>
      </c>
      <c r="D2649" s="30" t="s">
        <v>67</v>
      </c>
      <c r="E2649" s="30" t="s">
        <v>38</v>
      </c>
      <c r="F2649" s="30" t="s">
        <v>43</v>
      </c>
      <c r="G2649" s="33">
        <v>1.4424999999999999</v>
      </c>
      <c r="H2649" s="83" t="s">
        <v>88</v>
      </c>
    </row>
    <row r="2650" spans="1:8" ht="16.5" customHeight="1" x14ac:dyDescent="0.25">
      <c r="A2650" s="27">
        <v>45968</v>
      </c>
      <c r="B2650" s="80">
        <v>2025</v>
      </c>
      <c r="C2650" s="80">
        <v>11</v>
      </c>
      <c r="D2650" s="30" t="s">
        <v>67</v>
      </c>
      <c r="E2650" s="30" t="s">
        <v>42</v>
      </c>
      <c r="F2650" s="30" t="s">
        <v>43</v>
      </c>
      <c r="G2650" s="33">
        <v>5.4926700000000004</v>
      </c>
      <c r="H2650" s="83" t="s">
        <v>88</v>
      </c>
    </row>
    <row r="2651" spans="1:8" ht="16.5" customHeight="1" x14ac:dyDescent="0.25">
      <c r="A2651" s="27">
        <v>45968</v>
      </c>
      <c r="B2651" s="80">
        <v>2025</v>
      </c>
      <c r="C2651" s="80">
        <v>11</v>
      </c>
      <c r="D2651" s="30" t="s">
        <v>67</v>
      </c>
      <c r="E2651" s="30" t="s">
        <v>46</v>
      </c>
      <c r="F2651" s="30" t="s">
        <v>43</v>
      </c>
      <c r="G2651" s="33">
        <v>0.31323600000000001</v>
      </c>
      <c r="H2651" s="83" t="s">
        <v>88</v>
      </c>
    </row>
    <row r="2652" spans="1:8" ht="16.5" customHeight="1" x14ac:dyDescent="0.25">
      <c r="A2652" s="27">
        <v>45968</v>
      </c>
      <c r="B2652" s="80">
        <v>2025</v>
      </c>
      <c r="C2652" s="80">
        <v>11</v>
      </c>
      <c r="D2652" s="30" t="s">
        <v>67</v>
      </c>
      <c r="E2652" s="30" t="s">
        <v>46</v>
      </c>
      <c r="F2652" s="30" t="s">
        <v>47</v>
      </c>
      <c r="G2652" s="33">
        <v>0.18079999999999999</v>
      </c>
      <c r="H2652" s="83" t="s">
        <v>88</v>
      </c>
    </row>
    <row r="2653" spans="1:8" ht="16.5" customHeight="1" x14ac:dyDescent="0.25">
      <c r="A2653" s="27">
        <v>45968</v>
      </c>
      <c r="B2653" s="80">
        <v>2025</v>
      </c>
      <c r="C2653" s="80">
        <v>11</v>
      </c>
      <c r="D2653" s="30" t="s">
        <v>67</v>
      </c>
      <c r="E2653" s="30" t="s">
        <v>46</v>
      </c>
      <c r="F2653" s="30" t="s">
        <v>51</v>
      </c>
      <c r="G2653" s="33">
        <v>0.30736000000000002</v>
      </c>
      <c r="H2653" s="83" t="s">
        <v>88</v>
      </c>
    </row>
    <row r="2654" spans="1:8" ht="16.5" customHeight="1" x14ac:dyDescent="0.25">
      <c r="A2654" s="27">
        <v>45968</v>
      </c>
      <c r="B2654" s="80">
        <v>2025</v>
      </c>
      <c r="C2654" s="80">
        <v>11</v>
      </c>
      <c r="D2654" s="30" t="s">
        <v>67</v>
      </c>
      <c r="E2654" s="30" t="s">
        <v>46</v>
      </c>
      <c r="F2654" s="30" t="s">
        <v>58</v>
      </c>
      <c r="G2654" s="33">
        <v>2.1391187199999999</v>
      </c>
      <c r="H2654" s="83" t="s">
        <v>88</v>
      </c>
    </row>
    <row r="2655" spans="1:8" ht="16.5" customHeight="1" x14ac:dyDescent="0.25">
      <c r="A2655" s="27">
        <v>45968</v>
      </c>
      <c r="B2655" s="80">
        <v>2025</v>
      </c>
      <c r="C2655" s="80">
        <v>11</v>
      </c>
      <c r="D2655" s="30" t="s">
        <v>67</v>
      </c>
      <c r="E2655" s="30" t="s">
        <v>54</v>
      </c>
      <c r="F2655" s="30" t="s">
        <v>43</v>
      </c>
      <c r="G2655" s="33">
        <v>6.8484999999999996</v>
      </c>
      <c r="H2655" s="83" t="s">
        <v>88</v>
      </c>
    </row>
    <row r="2656" spans="1:8" ht="16.5" customHeight="1" x14ac:dyDescent="0.25">
      <c r="A2656" s="27">
        <v>45968</v>
      </c>
      <c r="B2656" s="80">
        <v>2025</v>
      </c>
      <c r="C2656" s="80">
        <v>11</v>
      </c>
      <c r="D2656" s="30" t="s">
        <v>67</v>
      </c>
      <c r="E2656" s="30" t="s">
        <v>57</v>
      </c>
      <c r="F2656" s="30" t="s">
        <v>43</v>
      </c>
      <c r="G2656" s="33">
        <v>1.18</v>
      </c>
      <c r="H2656" s="83" t="s">
        <v>89</v>
      </c>
    </row>
    <row r="2657" spans="1:8" ht="16.5" customHeight="1" x14ac:dyDescent="0.25">
      <c r="A2657" s="27">
        <v>45968</v>
      </c>
      <c r="B2657" s="80">
        <v>2025</v>
      </c>
      <c r="C2657" s="80">
        <v>11</v>
      </c>
      <c r="D2657" s="30" t="s">
        <v>67</v>
      </c>
      <c r="E2657" s="30" t="s">
        <v>57</v>
      </c>
      <c r="F2657" s="30" t="s">
        <v>47</v>
      </c>
      <c r="G2657" s="33">
        <v>3.8220000000000001</v>
      </c>
      <c r="H2657" s="83" t="s">
        <v>89</v>
      </c>
    </row>
    <row r="2658" spans="1:8" ht="16.5" customHeight="1" x14ac:dyDescent="0.25">
      <c r="A2658" s="27">
        <v>45968</v>
      </c>
      <c r="B2658" s="80">
        <v>2025</v>
      </c>
      <c r="C2658" s="80">
        <v>11</v>
      </c>
      <c r="D2658" s="30" t="s">
        <v>67</v>
      </c>
      <c r="E2658" s="30" t="s">
        <v>64</v>
      </c>
      <c r="F2658" s="30" t="s">
        <v>43</v>
      </c>
      <c r="G2658" s="33">
        <v>1.4624999999999999</v>
      </c>
      <c r="H2658" s="83" t="s">
        <v>89</v>
      </c>
    </row>
    <row r="2659" spans="1:8" ht="16.5" customHeight="1" x14ac:dyDescent="0.25">
      <c r="A2659" s="27">
        <v>45968</v>
      </c>
      <c r="B2659" s="80">
        <v>2025</v>
      </c>
      <c r="C2659" s="80">
        <v>11</v>
      </c>
      <c r="D2659" s="30" t="s">
        <v>67</v>
      </c>
      <c r="E2659" s="30" t="s">
        <v>66</v>
      </c>
      <c r="F2659" s="30" t="s">
        <v>43</v>
      </c>
      <c r="G2659" s="33">
        <v>1.65</v>
      </c>
      <c r="H2659" s="83" t="s">
        <v>89</v>
      </c>
    </row>
    <row r="2660" spans="1:8" ht="16.5" customHeight="1" x14ac:dyDescent="0.25">
      <c r="A2660" s="27">
        <v>45968</v>
      </c>
      <c r="B2660" s="80">
        <v>2025</v>
      </c>
      <c r="C2660" s="80">
        <v>11</v>
      </c>
      <c r="D2660" s="30" t="s">
        <v>67</v>
      </c>
      <c r="E2660" s="30" t="s">
        <v>73</v>
      </c>
      <c r="F2660" s="30" t="s">
        <v>39</v>
      </c>
      <c r="G2660" s="33">
        <v>5.1536099999999996</v>
      </c>
      <c r="H2660" s="83" t="s">
        <v>89</v>
      </c>
    </row>
    <row r="2661" spans="1:8" ht="16.5" customHeight="1" x14ac:dyDescent="0.25">
      <c r="A2661" s="27">
        <v>45968</v>
      </c>
      <c r="B2661" s="80">
        <v>2025</v>
      </c>
      <c r="C2661" s="80">
        <v>11</v>
      </c>
      <c r="D2661" s="30" t="s">
        <v>67</v>
      </c>
      <c r="E2661" s="30" t="s">
        <v>75</v>
      </c>
      <c r="F2661" s="30" t="s">
        <v>43</v>
      </c>
      <c r="G2661" s="33">
        <v>0.96543000000000001</v>
      </c>
      <c r="H2661" s="83" t="s">
        <v>48</v>
      </c>
    </row>
    <row r="2662" spans="1:8" ht="16.5" customHeight="1" x14ac:dyDescent="0.25">
      <c r="A2662" s="27">
        <v>45971</v>
      </c>
      <c r="B2662" s="80">
        <v>2025</v>
      </c>
      <c r="C2662" s="80">
        <v>11</v>
      </c>
      <c r="D2662" s="30" t="s">
        <v>67</v>
      </c>
      <c r="E2662" s="30" t="s">
        <v>50</v>
      </c>
      <c r="F2662" s="30" t="s">
        <v>43</v>
      </c>
      <c r="G2662" s="33">
        <v>4.9597499999999997</v>
      </c>
      <c r="H2662" s="83" t="s">
        <v>88</v>
      </c>
    </row>
    <row r="2663" spans="1:8" ht="16.5" customHeight="1" x14ac:dyDescent="0.25">
      <c r="A2663" s="27">
        <v>45971</v>
      </c>
      <c r="B2663" s="80">
        <v>2025</v>
      </c>
      <c r="C2663" s="80">
        <v>11</v>
      </c>
      <c r="D2663" s="30" t="s">
        <v>67</v>
      </c>
      <c r="E2663" s="30" t="s">
        <v>50</v>
      </c>
      <c r="F2663" s="30" t="s">
        <v>47</v>
      </c>
      <c r="G2663" s="33">
        <v>0.93240000000000001</v>
      </c>
      <c r="H2663" s="83" t="s">
        <v>88</v>
      </c>
    </row>
    <row r="2664" spans="1:8" ht="16.5" customHeight="1" x14ac:dyDescent="0.25">
      <c r="A2664" s="27">
        <v>45971</v>
      </c>
      <c r="B2664" s="80">
        <v>2025</v>
      </c>
      <c r="C2664" s="80">
        <v>11</v>
      </c>
      <c r="D2664" s="30" t="s">
        <v>67</v>
      </c>
      <c r="E2664" s="30" t="s">
        <v>50</v>
      </c>
      <c r="F2664" s="30" t="s">
        <v>51</v>
      </c>
      <c r="G2664" s="33">
        <v>0.62050000000000005</v>
      </c>
      <c r="H2664" s="83" t="s">
        <v>88</v>
      </c>
    </row>
    <row r="2665" spans="1:8" ht="16.5" customHeight="1" x14ac:dyDescent="0.25">
      <c r="A2665" s="27">
        <v>45971</v>
      </c>
      <c r="B2665" s="80">
        <v>2025</v>
      </c>
      <c r="C2665" s="80">
        <v>11</v>
      </c>
      <c r="D2665" s="30" t="s">
        <v>67</v>
      </c>
      <c r="E2665" s="30" t="s">
        <v>50</v>
      </c>
      <c r="F2665" s="30" t="s">
        <v>55</v>
      </c>
      <c r="G2665" s="33">
        <v>0.53549999999999998</v>
      </c>
      <c r="H2665" s="83" t="s">
        <v>88</v>
      </c>
    </row>
    <row r="2666" spans="1:8" ht="16.5" customHeight="1" x14ac:dyDescent="0.25">
      <c r="A2666" s="27">
        <v>45971</v>
      </c>
      <c r="B2666" s="80">
        <v>2025</v>
      </c>
      <c r="C2666" s="80">
        <v>11</v>
      </c>
      <c r="D2666" s="30" t="s">
        <v>67</v>
      </c>
      <c r="E2666" s="30" t="s">
        <v>50</v>
      </c>
      <c r="F2666" s="30" t="s">
        <v>58</v>
      </c>
      <c r="G2666" s="33">
        <v>0.32206499999999999</v>
      </c>
      <c r="H2666" s="83" t="s">
        <v>88</v>
      </c>
    </row>
    <row r="2667" spans="1:8" ht="16.5" customHeight="1" x14ac:dyDescent="0.25">
      <c r="A2667" s="27">
        <v>45972</v>
      </c>
      <c r="B2667" s="80">
        <v>2025</v>
      </c>
      <c r="C2667" s="80">
        <v>11</v>
      </c>
      <c r="D2667" s="30" t="s">
        <v>67</v>
      </c>
      <c r="E2667" s="30" t="s">
        <v>50</v>
      </c>
      <c r="F2667" s="30" t="s">
        <v>47</v>
      </c>
      <c r="G2667" s="33">
        <v>1.2432000000000001</v>
      </c>
      <c r="H2667" s="83" t="s">
        <v>88</v>
      </c>
    </row>
    <row r="2668" spans="1:8" ht="16.5" customHeight="1" x14ac:dyDescent="0.25">
      <c r="A2668" s="27">
        <v>45973</v>
      </c>
      <c r="B2668" s="80">
        <v>2025</v>
      </c>
      <c r="C2668" s="80">
        <v>11</v>
      </c>
      <c r="D2668" s="30" t="s">
        <v>67</v>
      </c>
      <c r="E2668" s="30" t="s">
        <v>38</v>
      </c>
      <c r="F2668" s="30" t="s">
        <v>43</v>
      </c>
      <c r="G2668" s="33">
        <v>7.9597499999999997</v>
      </c>
      <c r="H2668" s="83" t="s">
        <v>88</v>
      </c>
    </row>
    <row r="2669" spans="1:8" ht="16.5" customHeight="1" x14ac:dyDescent="0.25">
      <c r="A2669" s="27">
        <v>45973</v>
      </c>
      <c r="B2669" s="80">
        <v>2025</v>
      </c>
      <c r="C2669" s="80">
        <v>11</v>
      </c>
      <c r="D2669" s="30" t="s">
        <v>67</v>
      </c>
      <c r="E2669" s="30" t="s">
        <v>46</v>
      </c>
      <c r="F2669" s="30" t="s">
        <v>43</v>
      </c>
      <c r="G2669" s="33">
        <v>3.257625</v>
      </c>
      <c r="H2669" s="83" t="s">
        <v>88</v>
      </c>
    </row>
    <row r="2670" spans="1:8" ht="16.5" customHeight="1" x14ac:dyDescent="0.25">
      <c r="A2670" s="27">
        <v>45973</v>
      </c>
      <c r="B2670" s="80">
        <v>2025</v>
      </c>
      <c r="C2670" s="80">
        <v>11</v>
      </c>
      <c r="D2670" s="30" t="s">
        <v>67</v>
      </c>
      <c r="E2670" s="30" t="s">
        <v>46</v>
      </c>
      <c r="F2670" s="30" t="s">
        <v>58</v>
      </c>
      <c r="G2670" s="33">
        <v>1.1440231999999999</v>
      </c>
      <c r="H2670" s="83" t="s">
        <v>88</v>
      </c>
    </row>
    <row r="2671" spans="1:8" ht="16.5" customHeight="1" x14ac:dyDescent="0.25">
      <c r="A2671" s="27">
        <v>45973</v>
      </c>
      <c r="B2671" s="80">
        <v>2025</v>
      </c>
      <c r="C2671" s="80">
        <v>11</v>
      </c>
      <c r="D2671" s="30" t="s">
        <v>67</v>
      </c>
      <c r="E2671" s="30" t="s">
        <v>50</v>
      </c>
      <c r="F2671" s="30" t="s">
        <v>43</v>
      </c>
      <c r="G2671" s="33">
        <v>0.11800425</v>
      </c>
      <c r="H2671" s="83" t="s">
        <v>88</v>
      </c>
    </row>
    <row r="2672" spans="1:8" ht="16.5" customHeight="1" x14ac:dyDescent="0.25">
      <c r="A2672" s="27">
        <v>45973</v>
      </c>
      <c r="B2672" s="80">
        <v>2025</v>
      </c>
      <c r="C2672" s="80">
        <v>11</v>
      </c>
      <c r="D2672" s="30" t="s">
        <v>67</v>
      </c>
      <c r="E2672" s="30" t="s">
        <v>50</v>
      </c>
      <c r="F2672" s="30" t="s">
        <v>47</v>
      </c>
      <c r="G2672" s="33">
        <v>0.62160000000000004</v>
      </c>
      <c r="H2672" s="83" t="s">
        <v>88</v>
      </c>
    </row>
    <row r="2673" spans="1:8" ht="16.5" customHeight="1" x14ac:dyDescent="0.25">
      <c r="A2673" s="27">
        <v>45973</v>
      </c>
      <c r="B2673" s="80">
        <v>2025</v>
      </c>
      <c r="C2673" s="80">
        <v>11</v>
      </c>
      <c r="D2673" s="30" t="s">
        <v>67</v>
      </c>
      <c r="E2673" s="30" t="s">
        <v>50</v>
      </c>
      <c r="F2673" s="30" t="s">
        <v>58</v>
      </c>
      <c r="G2673" s="33">
        <v>1.712512464</v>
      </c>
      <c r="H2673" s="83" t="s">
        <v>88</v>
      </c>
    </row>
    <row r="2674" spans="1:8" ht="16.5" customHeight="1" x14ac:dyDescent="0.25">
      <c r="A2674" s="27">
        <v>45973</v>
      </c>
      <c r="B2674" s="80">
        <v>2025</v>
      </c>
      <c r="C2674" s="80">
        <v>11</v>
      </c>
      <c r="D2674" s="30" t="s">
        <v>67</v>
      </c>
      <c r="E2674" s="30" t="s">
        <v>54</v>
      </c>
      <c r="F2674" s="30" t="s">
        <v>43</v>
      </c>
      <c r="G2674" s="33">
        <v>3.6875</v>
      </c>
      <c r="H2674" s="83" t="s">
        <v>88</v>
      </c>
    </row>
    <row r="2675" spans="1:8" ht="16.5" customHeight="1" x14ac:dyDescent="0.25">
      <c r="A2675" s="27">
        <v>45973</v>
      </c>
      <c r="B2675" s="80">
        <v>2025</v>
      </c>
      <c r="C2675" s="80">
        <v>11</v>
      </c>
      <c r="D2675" s="30" t="s">
        <v>67</v>
      </c>
      <c r="E2675" s="30" t="s">
        <v>57</v>
      </c>
      <c r="F2675" s="30" t="s">
        <v>39</v>
      </c>
      <c r="G2675" s="33">
        <v>59.120600000000003</v>
      </c>
      <c r="H2675" s="83" t="s">
        <v>89</v>
      </c>
    </row>
    <row r="2676" spans="1:8" ht="16.5" customHeight="1" x14ac:dyDescent="0.25">
      <c r="A2676" s="27">
        <v>45973</v>
      </c>
      <c r="B2676" s="80">
        <v>2025</v>
      </c>
      <c r="C2676" s="80">
        <v>11</v>
      </c>
      <c r="D2676" s="30" t="s">
        <v>67</v>
      </c>
      <c r="E2676" s="30" t="s">
        <v>57</v>
      </c>
      <c r="F2676" s="30" t="s">
        <v>43</v>
      </c>
      <c r="G2676" s="33">
        <v>1.2787500000000001</v>
      </c>
      <c r="H2676" s="83" t="s">
        <v>89</v>
      </c>
    </row>
    <row r="2677" spans="1:8" ht="16.5" customHeight="1" x14ac:dyDescent="0.25">
      <c r="A2677" s="27">
        <v>45973</v>
      </c>
      <c r="B2677" s="80">
        <v>2025</v>
      </c>
      <c r="C2677" s="80">
        <v>11</v>
      </c>
      <c r="D2677" s="30" t="s">
        <v>67</v>
      </c>
      <c r="E2677" s="30" t="s">
        <v>66</v>
      </c>
      <c r="F2677" s="30" t="s">
        <v>43</v>
      </c>
      <c r="G2677" s="33">
        <v>1.1499999999999999</v>
      </c>
      <c r="H2677" s="83" t="s">
        <v>89</v>
      </c>
    </row>
    <row r="2678" spans="1:8" ht="16.5" customHeight="1" x14ac:dyDescent="0.25">
      <c r="A2678" s="27">
        <v>45973</v>
      </c>
      <c r="B2678" s="80">
        <v>2025</v>
      </c>
      <c r="C2678" s="80">
        <v>11</v>
      </c>
      <c r="D2678" s="30" t="s">
        <v>67</v>
      </c>
      <c r="E2678" s="30" t="s">
        <v>68</v>
      </c>
      <c r="F2678" s="30" t="s">
        <v>43</v>
      </c>
      <c r="G2678" s="33">
        <v>3.1949999999999998</v>
      </c>
      <c r="H2678" s="83" t="s">
        <v>89</v>
      </c>
    </row>
    <row r="2679" spans="1:8" ht="16.5" customHeight="1" x14ac:dyDescent="0.25">
      <c r="A2679" s="27">
        <v>45974</v>
      </c>
      <c r="B2679" s="80">
        <v>2025</v>
      </c>
      <c r="C2679" s="80">
        <v>11</v>
      </c>
      <c r="D2679" s="30" t="s">
        <v>67</v>
      </c>
      <c r="E2679" s="30" t="s">
        <v>38</v>
      </c>
      <c r="F2679" s="30" t="s">
        <v>43</v>
      </c>
      <c r="G2679" s="33">
        <v>0.54800000000000004</v>
      </c>
      <c r="H2679" s="83" t="s">
        <v>88</v>
      </c>
    </row>
    <row r="2680" spans="1:8" ht="16.5" customHeight="1" x14ac:dyDescent="0.25">
      <c r="A2680" s="27">
        <v>45974</v>
      </c>
      <c r="B2680" s="80">
        <v>2025</v>
      </c>
      <c r="C2680" s="80">
        <v>11</v>
      </c>
      <c r="D2680" s="30" t="s">
        <v>67</v>
      </c>
      <c r="E2680" s="30" t="s">
        <v>38</v>
      </c>
      <c r="F2680" s="30" t="s">
        <v>47</v>
      </c>
      <c r="G2680" s="33">
        <v>0.47313</v>
      </c>
      <c r="H2680" s="83" t="s">
        <v>88</v>
      </c>
    </row>
    <row r="2681" spans="1:8" ht="16.5" customHeight="1" x14ac:dyDescent="0.25">
      <c r="A2681" s="27">
        <v>45974</v>
      </c>
      <c r="B2681" s="80">
        <v>2025</v>
      </c>
      <c r="C2681" s="80">
        <v>11</v>
      </c>
      <c r="D2681" s="30" t="s">
        <v>67</v>
      </c>
      <c r="E2681" s="30" t="s">
        <v>42</v>
      </c>
      <c r="F2681" s="30" t="s">
        <v>43</v>
      </c>
      <c r="G2681" s="33">
        <v>9.2919999999999998</v>
      </c>
      <c r="H2681" s="83" t="s">
        <v>88</v>
      </c>
    </row>
    <row r="2682" spans="1:8" ht="16.5" customHeight="1" x14ac:dyDescent="0.25">
      <c r="A2682" s="27">
        <v>45974</v>
      </c>
      <c r="B2682" s="80">
        <v>2025</v>
      </c>
      <c r="C2682" s="80">
        <v>11</v>
      </c>
      <c r="D2682" s="30" t="s">
        <v>67</v>
      </c>
      <c r="E2682" s="30" t="s">
        <v>42</v>
      </c>
      <c r="F2682" s="30" t="s">
        <v>47</v>
      </c>
      <c r="G2682" s="33">
        <v>0.81444000000000005</v>
      </c>
      <c r="H2682" s="83" t="s">
        <v>88</v>
      </c>
    </row>
    <row r="2683" spans="1:8" ht="16.5" customHeight="1" x14ac:dyDescent="0.25">
      <c r="A2683" s="27">
        <v>45974</v>
      </c>
      <c r="B2683" s="80">
        <v>2025</v>
      </c>
      <c r="C2683" s="80">
        <v>11</v>
      </c>
      <c r="D2683" s="30" t="s">
        <v>67</v>
      </c>
      <c r="E2683" s="30" t="s">
        <v>42</v>
      </c>
      <c r="F2683" s="30" t="s">
        <v>58</v>
      </c>
      <c r="G2683" s="33">
        <v>1.39632</v>
      </c>
      <c r="H2683" s="83" t="s">
        <v>88</v>
      </c>
    </row>
    <row r="2684" spans="1:8" ht="16.5" customHeight="1" x14ac:dyDescent="0.25">
      <c r="A2684" s="27">
        <v>45974</v>
      </c>
      <c r="B2684" s="80">
        <v>2025</v>
      </c>
      <c r="C2684" s="80">
        <v>11</v>
      </c>
      <c r="D2684" s="30" t="s">
        <v>67</v>
      </c>
      <c r="E2684" s="30" t="s">
        <v>46</v>
      </c>
      <c r="F2684" s="30" t="s">
        <v>43</v>
      </c>
      <c r="G2684" s="33">
        <v>0.30143750000000002</v>
      </c>
      <c r="H2684" s="83" t="s">
        <v>88</v>
      </c>
    </row>
    <row r="2685" spans="1:8" ht="16.5" customHeight="1" x14ac:dyDescent="0.25">
      <c r="A2685" s="27">
        <v>45974</v>
      </c>
      <c r="B2685" s="80">
        <v>2025</v>
      </c>
      <c r="C2685" s="80">
        <v>11</v>
      </c>
      <c r="D2685" s="30" t="s">
        <v>67</v>
      </c>
      <c r="E2685" s="30" t="s">
        <v>46</v>
      </c>
      <c r="F2685" s="30" t="s">
        <v>47</v>
      </c>
      <c r="G2685" s="33">
        <v>0.36422159999999998</v>
      </c>
      <c r="H2685" s="83" t="s">
        <v>88</v>
      </c>
    </row>
    <row r="2686" spans="1:8" ht="16.5" customHeight="1" x14ac:dyDescent="0.25">
      <c r="A2686" s="27">
        <v>45974</v>
      </c>
      <c r="B2686" s="80">
        <v>2025</v>
      </c>
      <c r="C2686" s="80">
        <v>11</v>
      </c>
      <c r="D2686" s="30" t="s">
        <v>67</v>
      </c>
      <c r="E2686" s="30" t="s">
        <v>50</v>
      </c>
      <c r="F2686" s="30" t="s">
        <v>43</v>
      </c>
      <c r="G2686" s="33">
        <v>2.1813788000000001</v>
      </c>
      <c r="H2686" s="83" t="s">
        <v>88</v>
      </c>
    </row>
    <row r="2687" spans="1:8" ht="16.5" customHeight="1" x14ac:dyDescent="0.25">
      <c r="A2687" s="27">
        <v>45974</v>
      </c>
      <c r="B2687" s="80">
        <v>2025</v>
      </c>
      <c r="C2687" s="80">
        <v>11</v>
      </c>
      <c r="D2687" s="30" t="s">
        <v>67</v>
      </c>
      <c r="E2687" s="30" t="s">
        <v>54</v>
      </c>
      <c r="F2687" s="30" t="s">
        <v>43</v>
      </c>
      <c r="G2687" s="33">
        <v>3.0920000000000001</v>
      </c>
      <c r="H2687" s="83" t="s">
        <v>88</v>
      </c>
    </row>
    <row r="2688" spans="1:8" ht="16.5" customHeight="1" x14ac:dyDescent="0.25">
      <c r="A2688" s="27">
        <v>45974</v>
      </c>
      <c r="B2688" s="80">
        <v>2025</v>
      </c>
      <c r="C2688" s="80">
        <v>11</v>
      </c>
      <c r="D2688" s="30" t="s">
        <v>67</v>
      </c>
      <c r="E2688" s="30" t="s">
        <v>57</v>
      </c>
      <c r="F2688" s="30" t="s">
        <v>51</v>
      </c>
      <c r="G2688" s="33">
        <v>8.6212800000000005</v>
      </c>
      <c r="H2688" s="83" t="s">
        <v>89</v>
      </c>
    </row>
    <row r="2689" spans="1:8" ht="16.5" customHeight="1" x14ac:dyDescent="0.25">
      <c r="A2689" s="27">
        <v>45974</v>
      </c>
      <c r="B2689" s="80">
        <v>2025</v>
      </c>
      <c r="C2689" s="80">
        <v>11</v>
      </c>
      <c r="D2689" s="30" t="s">
        <v>67</v>
      </c>
      <c r="E2689" s="30" t="s">
        <v>61</v>
      </c>
      <c r="F2689" s="30" t="s">
        <v>43</v>
      </c>
      <c r="G2689" s="33">
        <v>45.143999999999998</v>
      </c>
      <c r="H2689" s="83" t="s">
        <v>89</v>
      </c>
    </row>
    <row r="2690" spans="1:8" ht="16.5" customHeight="1" x14ac:dyDescent="0.25">
      <c r="A2690" s="27">
        <v>45974</v>
      </c>
      <c r="B2690" s="80">
        <v>2025</v>
      </c>
      <c r="C2690" s="80">
        <v>11</v>
      </c>
      <c r="D2690" s="30" t="s">
        <v>67</v>
      </c>
      <c r="E2690" s="30" t="s">
        <v>68</v>
      </c>
      <c r="F2690" s="30" t="s">
        <v>43</v>
      </c>
      <c r="G2690" s="33">
        <v>3.6659999999999999</v>
      </c>
      <c r="H2690" s="83" t="s">
        <v>89</v>
      </c>
    </row>
    <row r="2691" spans="1:8" ht="16.5" customHeight="1" x14ac:dyDescent="0.25">
      <c r="A2691" s="27">
        <v>45974</v>
      </c>
      <c r="B2691" s="80">
        <v>2025</v>
      </c>
      <c r="C2691" s="80">
        <v>11</v>
      </c>
      <c r="D2691" s="30" t="s">
        <v>67</v>
      </c>
      <c r="E2691" s="30" t="s">
        <v>75</v>
      </c>
      <c r="F2691" s="30" t="s">
        <v>43</v>
      </c>
      <c r="G2691" s="33">
        <v>35.2834875</v>
      </c>
      <c r="H2691" s="83" t="s">
        <v>48</v>
      </c>
    </row>
    <row r="2692" spans="1:8" ht="16.5" customHeight="1" x14ac:dyDescent="0.25">
      <c r="A2692" s="27">
        <v>45974</v>
      </c>
      <c r="B2692" s="80">
        <v>2025</v>
      </c>
      <c r="C2692" s="80">
        <v>11</v>
      </c>
      <c r="D2692" s="30" t="s">
        <v>67</v>
      </c>
      <c r="E2692" s="30" t="s">
        <v>76</v>
      </c>
      <c r="F2692" s="30" t="s">
        <v>51</v>
      </c>
      <c r="G2692" s="33">
        <v>22.95</v>
      </c>
      <c r="H2692" s="83" t="s">
        <v>48</v>
      </c>
    </row>
    <row r="2693" spans="1:8" ht="16.5" customHeight="1" x14ac:dyDescent="0.25">
      <c r="A2693" s="27">
        <v>45975</v>
      </c>
      <c r="B2693" s="80">
        <v>2025</v>
      </c>
      <c r="C2693" s="80">
        <v>11</v>
      </c>
      <c r="D2693" s="30" t="s">
        <v>67</v>
      </c>
      <c r="E2693" s="30" t="s">
        <v>38</v>
      </c>
      <c r="F2693" s="30" t="s">
        <v>43</v>
      </c>
      <c r="G2693" s="33">
        <v>0.94474999999999998</v>
      </c>
      <c r="H2693" s="83" t="s">
        <v>88</v>
      </c>
    </row>
    <row r="2694" spans="1:8" ht="16.5" customHeight="1" x14ac:dyDescent="0.25">
      <c r="A2694" s="27">
        <v>45975</v>
      </c>
      <c r="B2694" s="80">
        <v>2025</v>
      </c>
      <c r="C2694" s="80">
        <v>11</v>
      </c>
      <c r="D2694" s="30" t="s">
        <v>67</v>
      </c>
      <c r="E2694" s="30" t="s">
        <v>42</v>
      </c>
      <c r="F2694" s="30" t="s">
        <v>43</v>
      </c>
      <c r="G2694" s="33">
        <v>48.26</v>
      </c>
      <c r="H2694" s="83" t="s">
        <v>88</v>
      </c>
    </row>
    <row r="2695" spans="1:8" ht="16.5" customHeight="1" x14ac:dyDescent="0.25">
      <c r="A2695" s="27">
        <v>45975</v>
      </c>
      <c r="B2695" s="80">
        <v>2025</v>
      </c>
      <c r="C2695" s="80">
        <v>11</v>
      </c>
      <c r="D2695" s="30" t="s">
        <v>67</v>
      </c>
      <c r="E2695" s="30" t="s">
        <v>46</v>
      </c>
      <c r="F2695" s="30" t="s">
        <v>43</v>
      </c>
      <c r="G2695" s="33">
        <v>1.6375</v>
      </c>
      <c r="H2695" s="83" t="s">
        <v>88</v>
      </c>
    </row>
    <row r="2696" spans="1:8" ht="16.5" customHeight="1" x14ac:dyDescent="0.25">
      <c r="A2696" s="27">
        <v>45975</v>
      </c>
      <c r="B2696" s="80">
        <v>2025</v>
      </c>
      <c r="C2696" s="80">
        <v>11</v>
      </c>
      <c r="D2696" s="30" t="s">
        <v>67</v>
      </c>
      <c r="E2696" s="30" t="s">
        <v>50</v>
      </c>
      <c r="F2696" s="30" t="s">
        <v>43</v>
      </c>
      <c r="G2696" s="33">
        <v>1.1068632</v>
      </c>
      <c r="H2696" s="83" t="s">
        <v>88</v>
      </c>
    </row>
    <row r="2697" spans="1:8" ht="16.5" customHeight="1" x14ac:dyDescent="0.25">
      <c r="A2697" s="27">
        <v>45975</v>
      </c>
      <c r="B2697" s="80">
        <v>2025</v>
      </c>
      <c r="C2697" s="80">
        <v>11</v>
      </c>
      <c r="D2697" s="30" t="s">
        <v>67</v>
      </c>
      <c r="E2697" s="30" t="s">
        <v>50</v>
      </c>
      <c r="F2697" s="30" t="s">
        <v>47</v>
      </c>
      <c r="G2697" s="33">
        <v>1.2432000000000001</v>
      </c>
      <c r="H2697" s="83" t="s">
        <v>88</v>
      </c>
    </row>
    <row r="2698" spans="1:8" ht="16.5" customHeight="1" x14ac:dyDescent="0.25">
      <c r="A2698" s="27">
        <v>45975</v>
      </c>
      <c r="B2698" s="80">
        <v>2025</v>
      </c>
      <c r="C2698" s="80">
        <v>11</v>
      </c>
      <c r="D2698" s="30" t="s">
        <v>67</v>
      </c>
      <c r="E2698" s="30" t="s">
        <v>50</v>
      </c>
      <c r="F2698" s="30" t="s">
        <v>55</v>
      </c>
      <c r="G2698" s="33">
        <v>0.601128</v>
      </c>
      <c r="H2698" s="83" t="s">
        <v>88</v>
      </c>
    </row>
    <row r="2699" spans="1:8" ht="16.5" customHeight="1" x14ac:dyDescent="0.25">
      <c r="A2699" s="27">
        <v>45975</v>
      </c>
      <c r="B2699" s="80">
        <v>2025</v>
      </c>
      <c r="C2699" s="80">
        <v>11</v>
      </c>
      <c r="D2699" s="30" t="s">
        <v>67</v>
      </c>
      <c r="E2699" s="30" t="s">
        <v>54</v>
      </c>
      <c r="F2699" s="30" t="s">
        <v>43</v>
      </c>
      <c r="G2699" s="33">
        <v>6.3506099999999996</v>
      </c>
      <c r="H2699" s="83" t="s">
        <v>88</v>
      </c>
    </row>
    <row r="2700" spans="1:8" ht="16.5" customHeight="1" x14ac:dyDescent="0.25">
      <c r="A2700" s="27">
        <v>45975</v>
      </c>
      <c r="B2700" s="80">
        <v>2025</v>
      </c>
      <c r="C2700" s="80">
        <v>11</v>
      </c>
      <c r="D2700" s="30" t="s">
        <v>67</v>
      </c>
      <c r="E2700" s="30" t="s">
        <v>64</v>
      </c>
      <c r="F2700" s="30" t="s">
        <v>39</v>
      </c>
      <c r="G2700" s="33">
        <v>67.004019999999997</v>
      </c>
      <c r="H2700" s="83" t="s">
        <v>89</v>
      </c>
    </row>
    <row r="2701" spans="1:8" ht="16.5" customHeight="1" x14ac:dyDescent="0.25">
      <c r="A2701" s="27">
        <v>45975</v>
      </c>
      <c r="B2701" s="80">
        <v>2025</v>
      </c>
      <c r="C2701" s="80">
        <v>11</v>
      </c>
      <c r="D2701" s="30" t="s">
        <v>67</v>
      </c>
      <c r="E2701" s="30" t="s">
        <v>64</v>
      </c>
      <c r="F2701" s="30" t="s">
        <v>43</v>
      </c>
      <c r="G2701" s="33">
        <v>43.2</v>
      </c>
      <c r="H2701" s="83" t="s">
        <v>89</v>
      </c>
    </row>
    <row r="2702" spans="1:8" ht="16.5" customHeight="1" x14ac:dyDescent="0.25">
      <c r="A2702" s="27">
        <v>45975</v>
      </c>
      <c r="B2702" s="80">
        <v>2025</v>
      </c>
      <c r="C2702" s="80">
        <v>11</v>
      </c>
      <c r="D2702" s="30" t="s">
        <v>67</v>
      </c>
      <c r="E2702" s="30" t="s">
        <v>71</v>
      </c>
      <c r="F2702" s="30" t="s">
        <v>43</v>
      </c>
      <c r="G2702" s="33">
        <v>9.8000000000000007</v>
      </c>
      <c r="H2702" s="83" t="s">
        <v>89</v>
      </c>
    </row>
    <row r="2703" spans="1:8" ht="16.5" customHeight="1" x14ac:dyDescent="0.25">
      <c r="A2703" s="27">
        <v>45975</v>
      </c>
      <c r="B2703" s="80">
        <v>2025</v>
      </c>
      <c r="C2703" s="80">
        <v>11</v>
      </c>
      <c r="D2703" s="30" t="s">
        <v>67</v>
      </c>
      <c r="E2703" s="30" t="s">
        <v>73</v>
      </c>
      <c r="F2703" s="30" t="s">
        <v>39</v>
      </c>
      <c r="G2703" s="33">
        <v>1.56975</v>
      </c>
      <c r="H2703" s="83" t="s">
        <v>89</v>
      </c>
    </row>
    <row r="2704" spans="1:8" ht="16.5" customHeight="1" x14ac:dyDescent="0.25">
      <c r="A2704" s="27">
        <v>45975</v>
      </c>
      <c r="B2704" s="80">
        <v>2025</v>
      </c>
      <c r="C2704" s="80">
        <v>11</v>
      </c>
      <c r="D2704" s="30" t="s">
        <v>67</v>
      </c>
      <c r="E2704" s="30" t="s">
        <v>75</v>
      </c>
      <c r="F2704" s="30" t="s">
        <v>43</v>
      </c>
      <c r="G2704" s="33">
        <v>5.4071499999999997</v>
      </c>
      <c r="H2704" s="83" t="s">
        <v>48</v>
      </c>
    </row>
    <row r="2705" spans="1:8" ht="16.5" customHeight="1" x14ac:dyDescent="0.25">
      <c r="A2705" s="27">
        <v>45978</v>
      </c>
      <c r="B2705" s="80">
        <v>2025</v>
      </c>
      <c r="C2705" s="80">
        <v>11</v>
      </c>
      <c r="D2705" s="30" t="s">
        <v>67</v>
      </c>
      <c r="E2705" s="30" t="s">
        <v>38</v>
      </c>
      <c r="F2705" s="30" t="s">
        <v>43</v>
      </c>
      <c r="G2705" s="33">
        <v>4.5220000000000002</v>
      </c>
      <c r="H2705" s="83" t="s">
        <v>88</v>
      </c>
    </row>
    <row r="2706" spans="1:8" ht="16.5" customHeight="1" x14ac:dyDescent="0.25">
      <c r="A2706" s="27">
        <v>45978</v>
      </c>
      <c r="B2706" s="80">
        <v>2025</v>
      </c>
      <c r="C2706" s="80">
        <v>11</v>
      </c>
      <c r="D2706" s="30" t="s">
        <v>67</v>
      </c>
      <c r="E2706" s="30" t="s">
        <v>42</v>
      </c>
      <c r="F2706" s="30" t="s">
        <v>43</v>
      </c>
      <c r="G2706" s="33">
        <v>4.6500000000000004</v>
      </c>
      <c r="H2706" s="83" t="s">
        <v>88</v>
      </c>
    </row>
    <row r="2707" spans="1:8" ht="16.5" customHeight="1" x14ac:dyDescent="0.25">
      <c r="A2707" s="27">
        <v>45978</v>
      </c>
      <c r="B2707" s="80">
        <v>2025</v>
      </c>
      <c r="C2707" s="80">
        <v>11</v>
      </c>
      <c r="D2707" s="30" t="s">
        <v>67</v>
      </c>
      <c r="E2707" s="30" t="s">
        <v>46</v>
      </c>
      <c r="F2707" s="30" t="s">
        <v>58</v>
      </c>
      <c r="G2707" s="33">
        <v>1.5411115200000001</v>
      </c>
      <c r="H2707" s="83" t="s">
        <v>88</v>
      </c>
    </row>
    <row r="2708" spans="1:8" ht="16.5" customHeight="1" x14ac:dyDescent="0.25">
      <c r="A2708" s="27">
        <v>45978</v>
      </c>
      <c r="B2708" s="80">
        <v>2025</v>
      </c>
      <c r="C2708" s="80">
        <v>11</v>
      </c>
      <c r="D2708" s="30" t="s">
        <v>67</v>
      </c>
      <c r="E2708" s="30" t="s">
        <v>50</v>
      </c>
      <c r="F2708" s="30" t="s">
        <v>43</v>
      </c>
      <c r="G2708" s="33">
        <v>1.28167275</v>
      </c>
      <c r="H2708" s="83" t="s">
        <v>88</v>
      </c>
    </row>
    <row r="2709" spans="1:8" ht="16.5" customHeight="1" x14ac:dyDescent="0.25">
      <c r="A2709" s="27">
        <v>45978</v>
      </c>
      <c r="B2709" s="80">
        <v>2025</v>
      </c>
      <c r="C2709" s="80">
        <v>11</v>
      </c>
      <c r="D2709" s="30" t="s">
        <v>67</v>
      </c>
      <c r="E2709" s="30" t="s">
        <v>50</v>
      </c>
      <c r="F2709" s="30" t="s">
        <v>47</v>
      </c>
      <c r="G2709" s="33">
        <v>1.504116</v>
      </c>
      <c r="H2709" s="83" t="s">
        <v>88</v>
      </c>
    </row>
    <row r="2710" spans="1:8" ht="16.5" customHeight="1" x14ac:dyDescent="0.25">
      <c r="A2710" s="27">
        <v>45978</v>
      </c>
      <c r="B2710" s="80">
        <v>2025</v>
      </c>
      <c r="C2710" s="80">
        <v>11</v>
      </c>
      <c r="D2710" s="30" t="s">
        <v>67</v>
      </c>
      <c r="E2710" s="30" t="s">
        <v>50</v>
      </c>
      <c r="F2710" s="30" t="s">
        <v>51</v>
      </c>
      <c r="G2710" s="33">
        <v>0.49299999999999999</v>
      </c>
      <c r="H2710" s="83" t="s">
        <v>88</v>
      </c>
    </row>
    <row r="2711" spans="1:8" ht="16.5" customHeight="1" x14ac:dyDescent="0.25">
      <c r="A2711" s="27">
        <v>45978</v>
      </c>
      <c r="B2711" s="80">
        <v>2025</v>
      </c>
      <c r="C2711" s="80">
        <v>11</v>
      </c>
      <c r="D2711" s="30" t="s">
        <v>67</v>
      </c>
      <c r="E2711" s="30" t="s">
        <v>50</v>
      </c>
      <c r="F2711" s="30" t="s">
        <v>55</v>
      </c>
      <c r="G2711" s="33">
        <v>0.17849999999999999</v>
      </c>
      <c r="H2711" s="83" t="s">
        <v>88</v>
      </c>
    </row>
    <row r="2712" spans="1:8" ht="16.5" customHeight="1" x14ac:dyDescent="0.25">
      <c r="A2712" s="27">
        <v>45978</v>
      </c>
      <c r="B2712" s="80">
        <v>2025</v>
      </c>
      <c r="C2712" s="80">
        <v>11</v>
      </c>
      <c r="D2712" s="30" t="s">
        <v>67</v>
      </c>
      <c r="E2712" s="30" t="s">
        <v>50</v>
      </c>
      <c r="F2712" s="30" t="s">
        <v>58</v>
      </c>
      <c r="G2712" s="33">
        <v>1.2432319700000001</v>
      </c>
      <c r="H2712" s="83" t="s">
        <v>88</v>
      </c>
    </row>
    <row r="2713" spans="1:8" ht="16.5" customHeight="1" x14ac:dyDescent="0.25">
      <c r="A2713" s="27">
        <v>45978</v>
      </c>
      <c r="B2713" s="80">
        <v>2025</v>
      </c>
      <c r="C2713" s="80">
        <v>11</v>
      </c>
      <c r="D2713" s="30" t="s">
        <v>67</v>
      </c>
      <c r="E2713" s="30" t="s">
        <v>54</v>
      </c>
      <c r="F2713" s="30" t="s">
        <v>43</v>
      </c>
      <c r="G2713" s="33">
        <v>1.7649999999999999</v>
      </c>
      <c r="H2713" s="83" t="s">
        <v>88</v>
      </c>
    </row>
    <row r="2714" spans="1:8" ht="16.5" customHeight="1" x14ac:dyDescent="0.25">
      <c r="A2714" s="27">
        <v>45978</v>
      </c>
      <c r="B2714" s="80">
        <v>2025</v>
      </c>
      <c r="C2714" s="80">
        <v>11</v>
      </c>
      <c r="D2714" s="30" t="s">
        <v>67</v>
      </c>
      <c r="E2714" s="30" t="s">
        <v>57</v>
      </c>
      <c r="F2714" s="30" t="s">
        <v>39</v>
      </c>
      <c r="G2714" s="33">
        <v>54.823999999999998</v>
      </c>
      <c r="H2714" s="83" t="s">
        <v>89</v>
      </c>
    </row>
    <row r="2715" spans="1:8" ht="16.5" customHeight="1" x14ac:dyDescent="0.25">
      <c r="A2715" s="27">
        <v>45978</v>
      </c>
      <c r="B2715" s="80">
        <v>2025</v>
      </c>
      <c r="C2715" s="80">
        <v>11</v>
      </c>
      <c r="D2715" s="30" t="s">
        <v>67</v>
      </c>
      <c r="E2715" s="30" t="s">
        <v>57</v>
      </c>
      <c r="F2715" s="30" t="s">
        <v>43</v>
      </c>
      <c r="G2715" s="33">
        <v>8.3368000000000002</v>
      </c>
      <c r="H2715" s="83" t="s">
        <v>89</v>
      </c>
    </row>
    <row r="2716" spans="1:8" ht="16.5" customHeight="1" x14ac:dyDescent="0.25">
      <c r="A2716" s="27">
        <v>45978</v>
      </c>
      <c r="B2716" s="80">
        <v>2025</v>
      </c>
      <c r="C2716" s="80">
        <v>11</v>
      </c>
      <c r="D2716" s="30" t="s">
        <v>67</v>
      </c>
      <c r="E2716" s="30" t="s">
        <v>66</v>
      </c>
      <c r="F2716" s="30" t="s">
        <v>43</v>
      </c>
      <c r="G2716" s="33">
        <v>5.76</v>
      </c>
      <c r="H2716" s="83" t="s">
        <v>89</v>
      </c>
    </row>
    <row r="2717" spans="1:8" ht="16.5" customHeight="1" x14ac:dyDescent="0.25">
      <c r="A2717" s="27">
        <v>45978</v>
      </c>
      <c r="B2717" s="80">
        <v>2025</v>
      </c>
      <c r="C2717" s="80">
        <v>11</v>
      </c>
      <c r="D2717" s="30" t="s">
        <v>67</v>
      </c>
      <c r="E2717" s="30" t="s">
        <v>75</v>
      </c>
      <c r="F2717" s="30" t="s">
        <v>43</v>
      </c>
      <c r="G2717" s="33">
        <v>12.259118750000001</v>
      </c>
      <c r="H2717" s="83" t="s">
        <v>48</v>
      </c>
    </row>
    <row r="2718" spans="1:8" ht="16.5" customHeight="1" x14ac:dyDescent="0.25">
      <c r="A2718" s="27">
        <v>45979</v>
      </c>
      <c r="B2718" s="80">
        <v>2025</v>
      </c>
      <c r="C2718" s="80">
        <v>11</v>
      </c>
      <c r="D2718" s="30" t="s">
        <v>67</v>
      </c>
      <c r="E2718" s="30" t="s">
        <v>38</v>
      </c>
      <c r="F2718" s="30" t="s">
        <v>43</v>
      </c>
      <c r="G2718" s="33">
        <v>1.343</v>
      </c>
      <c r="H2718" s="83" t="s">
        <v>88</v>
      </c>
    </row>
    <row r="2719" spans="1:8" ht="16.5" customHeight="1" x14ac:dyDescent="0.25">
      <c r="A2719" s="27">
        <v>45979</v>
      </c>
      <c r="B2719" s="80">
        <v>2025</v>
      </c>
      <c r="C2719" s="80">
        <v>11</v>
      </c>
      <c r="D2719" s="30" t="s">
        <v>67</v>
      </c>
      <c r="E2719" s="30" t="s">
        <v>42</v>
      </c>
      <c r="F2719" s="30" t="s">
        <v>43</v>
      </c>
      <c r="G2719" s="33">
        <v>0.51700000000000002</v>
      </c>
      <c r="H2719" s="83" t="s">
        <v>88</v>
      </c>
    </row>
    <row r="2720" spans="1:8" ht="16.5" customHeight="1" x14ac:dyDescent="0.25">
      <c r="A2720" s="27">
        <v>45979</v>
      </c>
      <c r="B2720" s="80">
        <v>2025</v>
      </c>
      <c r="C2720" s="80">
        <v>11</v>
      </c>
      <c r="D2720" s="30" t="s">
        <v>67</v>
      </c>
      <c r="E2720" s="30" t="s">
        <v>46</v>
      </c>
      <c r="F2720" s="30" t="s">
        <v>43</v>
      </c>
      <c r="G2720" s="33">
        <v>1.54901775</v>
      </c>
      <c r="H2720" s="83" t="s">
        <v>88</v>
      </c>
    </row>
    <row r="2721" spans="1:8" ht="16.5" customHeight="1" x14ac:dyDescent="0.25">
      <c r="A2721" s="27">
        <v>45979</v>
      </c>
      <c r="B2721" s="80">
        <v>2025</v>
      </c>
      <c r="C2721" s="80">
        <v>11</v>
      </c>
      <c r="D2721" s="30" t="s">
        <v>67</v>
      </c>
      <c r="E2721" s="30" t="s">
        <v>46</v>
      </c>
      <c r="F2721" s="30" t="s">
        <v>58</v>
      </c>
      <c r="G2721" s="33">
        <v>0.44915887999999998</v>
      </c>
      <c r="H2721" s="83" t="s">
        <v>88</v>
      </c>
    </row>
    <row r="2722" spans="1:8" ht="16.5" customHeight="1" x14ac:dyDescent="0.25">
      <c r="A2722" s="27">
        <v>45979</v>
      </c>
      <c r="B2722" s="80">
        <v>2025</v>
      </c>
      <c r="C2722" s="80">
        <v>11</v>
      </c>
      <c r="D2722" s="30" t="s">
        <v>67</v>
      </c>
      <c r="E2722" s="30" t="s">
        <v>50</v>
      </c>
      <c r="F2722" s="30" t="s">
        <v>43</v>
      </c>
      <c r="G2722" s="33">
        <v>7.0625</v>
      </c>
      <c r="H2722" s="83" t="s">
        <v>88</v>
      </c>
    </row>
    <row r="2723" spans="1:8" ht="16.5" customHeight="1" x14ac:dyDescent="0.25">
      <c r="A2723" s="27">
        <v>45979</v>
      </c>
      <c r="B2723" s="80">
        <v>2025</v>
      </c>
      <c r="C2723" s="80">
        <v>11</v>
      </c>
      <c r="D2723" s="30" t="s">
        <v>67</v>
      </c>
      <c r="E2723" s="30" t="s">
        <v>54</v>
      </c>
      <c r="F2723" s="30" t="s">
        <v>43</v>
      </c>
      <c r="G2723" s="33">
        <v>16.010249999999999</v>
      </c>
      <c r="H2723" s="83" t="s">
        <v>88</v>
      </c>
    </row>
    <row r="2724" spans="1:8" ht="16.5" customHeight="1" x14ac:dyDescent="0.25">
      <c r="A2724" s="27">
        <v>45979</v>
      </c>
      <c r="B2724" s="80">
        <v>2025</v>
      </c>
      <c r="C2724" s="80">
        <v>11</v>
      </c>
      <c r="D2724" s="30" t="s">
        <v>67</v>
      </c>
      <c r="E2724" s="30" t="s">
        <v>66</v>
      </c>
      <c r="F2724" s="30" t="s">
        <v>43</v>
      </c>
      <c r="G2724" s="33">
        <v>12.21</v>
      </c>
      <c r="H2724" s="83" t="s">
        <v>89</v>
      </c>
    </row>
    <row r="2725" spans="1:8" ht="16.5" customHeight="1" x14ac:dyDescent="0.25">
      <c r="A2725" s="27">
        <v>45979</v>
      </c>
      <c r="B2725" s="80">
        <v>2025</v>
      </c>
      <c r="C2725" s="80">
        <v>11</v>
      </c>
      <c r="D2725" s="30" t="s">
        <v>67</v>
      </c>
      <c r="E2725" s="30" t="s">
        <v>66</v>
      </c>
      <c r="F2725" s="30" t="s">
        <v>55</v>
      </c>
      <c r="G2725" s="33">
        <v>6.04</v>
      </c>
      <c r="H2725" s="83" t="s">
        <v>89</v>
      </c>
    </row>
    <row r="2726" spans="1:8" ht="16.5" customHeight="1" x14ac:dyDescent="0.25">
      <c r="A2726" s="27">
        <v>45979</v>
      </c>
      <c r="B2726" s="80">
        <v>2025</v>
      </c>
      <c r="C2726" s="80">
        <v>11</v>
      </c>
      <c r="D2726" s="30" t="s">
        <v>67</v>
      </c>
      <c r="E2726" s="30" t="s">
        <v>68</v>
      </c>
      <c r="F2726" s="30" t="s">
        <v>43</v>
      </c>
      <c r="G2726" s="33">
        <v>2.6204000000000001</v>
      </c>
      <c r="H2726" s="83" t="s">
        <v>89</v>
      </c>
    </row>
    <row r="2727" spans="1:8" ht="16.5" customHeight="1" x14ac:dyDescent="0.25">
      <c r="A2727" s="27">
        <v>45979</v>
      </c>
      <c r="B2727" s="80">
        <v>2025</v>
      </c>
      <c r="C2727" s="80">
        <v>11</v>
      </c>
      <c r="D2727" s="30" t="s">
        <v>67</v>
      </c>
      <c r="E2727" s="30" t="s">
        <v>71</v>
      </c>
      <c r="F2727" s="30" t="s">
        <v>43</v>
      </c>
      <c r="G2727" s="33">
        <v>5.4</v>
      </c>
      <c r="H2727" s="83" t="s">
        <v>89</v>
      </c>
    </row>
    <row r="2728" spans="1:8" ht="16.5" customHeight="1" x14ac:dyDescent="0.25">
      <c r="A2728" s="27">
        <v>45979</v>
      </c>
      <c r="B2728" s="80">
        <v>2025</v>
      </c>
      <c r="C2728" s="80">
        <v>11</v>
      </c>
      <c r="D2728" s="30" t="s">
        <v>67</v>
      </c>
      <c r="E2728" s="30" t="s">
        <v>75</v>
      </c>
      <c r="F2728" s="30" t="s">
        <v>43</v>
      </c>
      <c r="G2728" s="33">
        <v>47.45</v>
      </c>
      <c r="H2728" s="83" t="s">
        <v>48</v>
      </c>
    </row>
    <row r="2729" spans="1:8" ht="16.5" customHeight="1" x14ac:dyDescent="0.25">
      <c r="A2729" s="27">
        <v>45980</v>
      </c>
      <c r="B2729" s="80">
        <v>2025</v>
      </c>
      <c r="C2729" s="80">
        <v>11</v>
      </c>
      <c r="D2729" s="30" t="s">
        <v>67</v>
      </c>
      <c r="E2729" s="30" t="s">
        <v>38</v>
      </c>
      <c r="F2729" s="30" t="s">
        <v>43</v>
      </c>
      <c r="G2729" s="33">
        <v>4.4880000000000004</v>
      </c>
      <c r="H2729" s="83" t="s">
        <v>88</v>
      </c>
    </row>
    <row r="2730" spans="1:8" ht="16.5" customHeight="1" x14ac:dyDescent="0.25">
      <c r="A2730" s="27">
        <v>45980</v>
      </c>
      <c r="B2730" s="80">
        <v>2025</v>
      </c>
      <c r="C2730" s="80">
        <v>11</v>
      </c>
      <c r="D2730" s="30" t="s">
        <v>67</v>
      </c>
      <c r="E2730" s="30" t="s">
        <v>38</v>
      </c>
      <c r="F2730" s="30" t="s">
        <v>47</v>
      </c>
      <c r="G2730" s="33">
        <v>0.39426</v>
      </c>
      <c r="H2730" s="83" t="s">
        <v>88</v>
      </c>
    </row>
    <row r="2731" spans="1:8" ht="16.5" customHeight="1" x14ac:dyDescent="0.25">
      <c r="A2731" s="27">
        <v>45980</v>
      </c>
      <c r="B2731" s="80">
        <v>2025</v>
      </c>
      <c r="C2731" s="80">
        <v>11</v>
      </c>
      <c r="D2731" s="30" t="s">
        <v>67</v>
      </c>
      <c r="E2731" s="30" t="s">
        <v>42</v>
      </c>
      <c r="F2731" s="30" t="s">
        <v>43</v>
      </c>
      <c r="G2731" s="33">
        <v>8.4267800000000008</v>
      </c>
      <c r="H2731" s="83" t="s">
        <v>88</v>
      </c>
    </row>
    <row r="2732" spans="1:8" ht="16.5" customHeight="1" x14ac:dyDescent="0.25">
      <c r="A2732" s="27">
        <v>45980</v>
      </c>
      <c r="B2732" s="80">
        <v>2025</v>
      </c>
      <c r="C2732" s="80">
        <v>11</v>
      </c>
      <c r="D2732" s="30" t="s">
        <v>67</v>
      </c>
      <c r="E2732" s="30" t="s">
        <v>42</v>
      </c>
      <c r="F2732" s="30" t="s">
        <v>55</v>
      </c>
      <c r="G2732" s="33">
        <v>0.36099999999999999</v>
      </c>
      <c r="H2732" s="83" t="s">
        <v>88</v>
      </c>
    </row>
    <row r="2733" spans="1:8" ht="16.5" customHeight="1" x14ac:dyDescent="0.25">
      <c r="A2733" s="27">
        <v>45980</v>
      </c>
      <c r="B2733" s="80">
        <v>2025</v>
      </c>
      <c r="C2733" s="80">
        <v>11</v>
      </c>
      <c r="D2733" s="30" t="s">
        <v>67</v>
      </c>
      <c r="E2733" s="30" t="s">
        <v>50</v>
      </c>
      <c r="F2733" s="30" t="s">
        <v>43</v>
      </c>
      <c r="G2733" s="33">
        <v>1.4721717000000001</v>
      </c>
      <c r="H2733" s="83" t="s">
        <v>88</v>
      </c>
    </row>
    <row r="2734" spans="1:8" ht="16.5" customHeight="1" x14ac:dyDescent="0.25">
      <c r="A2734" s="27">
        <v>45980</v>
      </c>
      <c r="B2734" s="80">
        <v>2025</v>
      </c>
      <c r="C2734" s="80">
        <v>11</v>
      </c>
      <c r="D2734" s="30" t="s">
        <v>67</v>
      </c>
      <c r="E2734" s="30" t="s">
        <v>50</v>
      </c>
      <c r="F2734" s="30" t="s">
        <v>47</v>
      </c>
      <c r="G2734" s="33">
        <v>1.363866</v>
      </c>
      <c r="H2734" s="83" t="s">
        <v>88</v>
      </c>
    </row>
    <row r="2735" spans="1:8" ht="16.5" customHeight="1" x14ac:dyDescent="0.25">
      <c r="A2735" s="27">
        <v>45980</v>
      </c>
      <c r="B2735" s="80">
        <v>2025</v>
      </c>
      <c r="C2735" s="80">
        <v>11</v>
      </c>
      <c r="D2735" s="30" t="s">
        <v>67</v>
      </c>
      <c r="E2735" s="30" t="s">
        <v>50</v>
      </c>
      <c r="F2735" s="30" t="s">
        <v>58</v>
      </c>
      <c r="G2735" s="33">
        <v>19.005590640000001</v>
      </c>
      <c r="H2735" s="83" t="s">
        <v>88</v>
      </c>
    </row>
    <row r="2736" spans="1:8" ht="16.5" customHeight="1" x14ac:dyDescent="0.25">
      <c r="A2736" s="27">
        <v>45980</v>
      </c>
      <c r="B2736" s="80">
        <v>2025</v>
      </c>
      <c r="C2736" s="80">
        <v>11</v>
      </c>
      <c r="D2736" s="30" t="s">
        <v>67</v>
      </c>
      <c r="E2736" s="30" t="s">
        <v>54</v>
      </c>
      <c r="F2736" s="30" t="s">
        <v>43</v>
      </c>
      <c r="G2736" s="33">
        <v>12.5258</v>
      </c>
      <c r="H2736" s="83" t="s">
        <v>88</v>
      </c>
    </row>
    <row r="2737" spans="1:8" ht="16.5" customHeight="1" x14ac:dyDescent="0.25">
      <c r="A2737" s="27">
        <v>45980</v>
      </c>
      <c r="B2737" s="80">
        <v>2025</v>
      </c>
      <c r="C2737" s="80">
        <v>11</v>
      </c>
      <c r="D2737" s="30" t="s">
        <v>67</v>
      </c>
      <c r="E2737" s="30" t="s">
        <v>54</v>
      </c>
      <c r="F2737" s="30" t="s">
        <v>47</v>
      </c>
      <c r="G2737" s="33">
        <v>1.4</v>
      </c>
      <c r="H2737" s="83" t="s">
        <v>88</v>
      </c>
    </row>
    <row r="2738" spans="1:8" ht="16.5" customHeight="1" x14ac:dyDescent="0.25">
      <c r="A2738" s="27">
        <v>45980</v>
      </c>
      <c r="B2738" s="80">
        <v>2025</v>
      </c>
      <c r="C2738" s="80">
        <v>11</v>
      </c>
      <c r="D2738" s="30" t="s">
        <v>67</v>
      </c>
      <c r="E2738" s="30" t="s">
        <v>57</v>
      </c>
      <c r="F2738" s="30" t="s">
        <v>43</v>
      </c>
      <c r="G2738" s="33">
        <v>6.048</v>
      </c>
      <c r="H2738" s="83" t="s">
        <v>89</v>
      </c>
    </row>
    <row r="2739" spans="1:8" ht="16.5" customHeight="1" x14ac:dyDescent="0.25">
      <c r="A2739" s="27">
        <v>45980</v>
      </c>
      <c r="B2739" s="80">
        <v>2025</v>
      </c>
      <c r="C2739" s="80">
        <v>11</v>
      </c>
      <c r="D2739" s="30" t="s">
        <v>67</v>
      </c>
      <c r="E2739" s="30" t="s">
        <v>61</v>
      </c>
      <c r="F2739" s="30" t="s">
        <v>39</v>
      </c>
      <c r="G2739" s="33">
        <v>21.852</v>
      </c>
      <c r="H2739" s="83" t="s">
        <v>89</v>
      </c>
    </row>
    <row r="2740" spans="1:8" ht="16.5" customHeight="1" x14ac:dyDescent="0.25">
      <c r="A2740" s="27">
        <v>45980</v>
      </c>
      <c r="B2740" s="80">
        <v>2025</v>
      </c>
      <c r="C2740" s="80">
        <v>11</v>
      </c>
      <c r="D2740" s="30" t="s">
        <v>67</v>
      </c>
      <c r="E2740" s="30" t="s">
        <v>64</v>
      </c>
      <c r="F2740" s="30" t="s">
        <v>39</v>
      </c>
      <c r="G2740" s="33">
        <v>0.14599999999999999</v>
      </c>
      <c r="H2740" s="83" t="s">
        <v>89</v>
      </c>
    </row>
    <row r="2741" spans="1:8" ht="16.5" customHeight="1" x14ac:dyDescent="0.25">
      <c r="A2741" s="27">
        <v>45980</v>
      </c>
      <c r="B2741" s="80">
        <v>2025</v>
      </c>
      <c r="C2741" s="80">
        <v>11</v>
      </c>
      <c r="D2741" s="30" t="s">
        <v>67</v>
      </c>
      <c r="E2741" s="30" t="s">
        <v>64</v>
      </c>
      <c r="F2741" s="30" t="s">
        <v>43</v>
      </c>
      <c r="G2741" s="33">
        <v>12.407400000000001</v>
      </c>
      <c r="H2741" s="83" t="s">
        <v>89</v>
      </c>
    </row>
    <row r="2742" spans="1:8" ht="16.5" customHeight="1" x14ac:dyDescent="0.25">
      <c r="A2742" s="27">
        <v>45980</v>
      </c>
      <c r="B2742" s="80">
        <v>2025</v>
      </c>
      <c r="C2742" s="80">
        <v>11</v>
      </c>
      <c r="D2742" s="30" t="s">
        <v>67</v>
      </c>
      <c r="E2742" s="30" t="s">
        <v>66</v>
      </c>
      <c r="F2742" s="30" t="s">
        <v>43</v>
      </c>
      <c r="G2742" s="33">
        <v>3.5800999999999998</v>
      </c>
      <c r="H2742" s="83" t="s">
        <v>89</v>
      </c>
    </row>
    <row r="2743" spans="1:8" ht="16.5" customHeight="1" x14ac:dyDescent="0.25">
      <c r="A2743" s="27">
        <v>45980</v>
      </c>
      <c r="B2743" s="80">
        <v>2025</v>
      </c>
      <c r="C2743" s="80">
        <v>11</v>
      </c>
      <c r="D2743" s="30" t="s">
        <v>67</v>
      </c>
      <c r="E2743" s="30" t="s">
        <v>68</v>
      </c>
      <c r="F2743" s="30" t="s">
        <v>43</v>
      </c>
      <c r="G2743" s="33">
        <v>14.629250000000001</v>
      </c>
      <c r="H2743" s="83" t="s">
        <v>89</v>
      </c>
    </row>
    <row r="2744" spans="1:8" ht="16.5" customHeight="1" x14ac:dyDescent="0.25">
      <c r="A2744" s="27">
        <v>45981</v>
      </c>
      <c r="B2744" s="80">
        <v>2025</v>
      </c>
      <c r="C2744" s="80">
        <v>11</v>
      </c>
      <c r="D2744" s="30" t="s">
        <v>67</v>
      </c>
      <c r="E2744" s="30" t="s">
        <v>38</v>
      </c>
      <c r="F2744" s="30" t="s">
        <v>43</v>
      </c>
      <c r="G2744" s="33">
        <v>1.788</v>
      </c>
      <c r="H2744" s="83" t="s">
        <v>88</v>
      </c>
    </row>
    <row r="2745" spans="1:8" ht="16.5" customHeight="1" x14ac:dyDescent="0.25">
      <c r="A2745" s="27">
        <v>45981</v>
      </c>
      <c r="B2745" s="80">
        <v>2025</v>
      </c>
      <c r="C2745" s="80">
        <v>11</v>
      </c>
      <c r="D2745" s="30" t="s">
        <v>67</v>
      </c>
      <c r="E2745" s="30" t="s">
        <v>38</v>
      </c>
      <c r="F2745" s="30" t="s">
        <v>55</v>
      </c>
      <c r="G2745" s="33">
        <v>0.4</v>
      </c>
      <c r="H2745" s="83" t="s">
        <v>88</v>
      </c>
    </row>
    <row r="2746" spans="1:8" ht="16.5" customHeight="1" x14ac:dyDescent="0.25">
      <c r="A2746" s="27">
        <v>45981</v>
      </c>
      <c r="B2746" s="80">
        <v>2025</v>
      </c>
      <c r="C2746" s="80">
        <v>11</v>
      </c>
      <c r="D2746" s="30" t="s">
        <v>67</v>
      </c>
      <c r="E2746" s="30" t="s">
        <v>42</v>
      </c>
      <c r="F2746" s="30" t="s">
        <v>43</v>
      </c>
      <c r="G2746" s="33">
        <v>1.5248999999999999</v>
      </c>
      <c r="H2746" s="83" t="s">
        <v>88</v>
      </c>
    </row>
    <row r="2747" spans="1:8" ht="16.5" customHeight="1" x14ac:dyDescent="0.25">
      <c r="A2747" s="27">
        <v>45981</v>
      </c>
      <c r="B2747" s="80">
        <v>2025</v>
      </c>
      <c r="C2747" s="80">
        <v>11</v>
      </c>
      <c r="D2747" s="30" t="s">
        <v>67</v>
      </c>
      <c r="E2747" s="30" t="s">
        <v>46</v>
      </c>
      <c r="F2747" s="30" t="s">
        <v>43</v>
      </c>
      <c r="G2747" s="33">
        <v>1.1356408</v>
      </c>
      <c r="H2747" s="83" t="s">
        <v>88</v>
      </c>
    </row>
    <row r="2748" spans="1:8" ht="16.5" customHeight="1" x14ac:dyDescent="0.25">
      <c r="A2748" s="27">
        <v>45981</v>
      </c>
      <c r="B2748" s="80">
        <v>2025</v>
      </c>
      <c r="C2748" s="80">
        <v>11</v>
      </c>
      <c r="D2748" s="30" t="s">
        <v>67</v>
      </c>
      <c r="E2748" s="30" t="s">
        <v>46</v>
      </c>
      <c r="F2748" s="30" t="s">
        <v>58</v>
      </c>
      <c r="G2748" s="33">
        <v>0.45269999999999999</v>
      </c>
      <c r="H2748" s="83" t="s">
        <v>88</v>
      </c>
    </row>
    <row r="2749" spans="1:8" ht="16.5" customHeight="1" x14ac:dyDescent="0.25">
      <c r="A2749" s="27">
        <v>45981</v>
      </c>
      <c r="B2749" s="80">
        <v>2025</v>
      </c>
      <c r="C2749" s="80">
        <v>11</v>
      </c>
      <c r="D2749" s="30" t="s">
        <v>67</v>
      </c>
      <c r="E2749" s="30" t="s">
        <v>50</v>
      </c>
      <c r="F2749" s="30" t="s">
        <v>43</v>
      </c>
      <c r="G2749" s="33">
        <v>2.6009248</v>
      </c>
      <c r="H2749" s="83" t="s">
        <v>88</v>
      </c>
    </row>
    <row r="2750" spans="1:8" ht="16.5" customHeight="1" x14ac:dyDescent="0.25">
      <c r="A2750" s="27">
        <v>45981</v>
      </c>
      <c r="B2750" s="80">
        <v>2025</v>
      </c>
      <c r="C2750" s="80">
        <v>11</v>
      </c>
      <c r="D2750" s="30" t="s">
        <v>67</v>
      </c>
      <c r="E2750" s="30" t="s">
        <v>50</v>
      </c>
      <c r="F2750" s="30" t="s">
        <v>47</v>
      </c>
      <c r="G2750" s="33">
        <v>0.7971975</v>
      </c>
      <c r="H2750" s="83" t="s">
        <v>88</v>
      </c>
    </row>
    <row r="2751" spans="1:8" ht="16.5" customHeight="1" x14ac:dyDescent="0.25">
      <c r="A2751" s="27">
        <v>45981</v>
      </c>
      <c r="B2751" s="80">
        <v>2025</v>
      </c>
      <c r="C2751" s="80">
        <v>11</v>
      </c>
      <c r="D2751" s="30" t="s">
        <v>67</v>
      </c>
      <c r="E2751" s="30" t="s">
        <v>50</v>
      </c>
      <c r="F2751" s="30" t="s">
        <v>55</v>
      </c>
      <c r="G2751" s="33">
        <v>2.7196799999999999</v>
      </c>
      <c r="H2751" s="83" t="s">
        <v>88</v>
      </c>
    </row>
    <row r="2752" spans="1:8" ht="16.5" customHeight="1" x14ac:dyDescent="0.25">
      <c r="A2752" s="27">
        <v>45981</v>
      </c>
      <c r="B2752" s="80">
        <v>2025</v>
      </c>
      <c r="C2752" s="80">
        <v>11</v>
      </c>
      <c r="D2752" s="30" t="s">
        <v>67</v>
      </c>
      <c r="E2752" s="30" t="s">
        <v>50</v>
      </c>
      <c r="F2752" s="30" t="s">
        <v>58</v>
      </c>
      <c r="G2752" s="33">
        <v>18.921119724</v>
      </c>
      <c r="H2752" s="83" t="s">
        <v>88</v>
      </c>
    </row>
    <row r="2753" spans="1:8" ht="16.5" customHeight="1" x14ac:dyDescent="0.25">
      <c r="A2753" s="27">
        <v>45981</v>
      </c>
      <c r="B2753" s="80">
        <v>2025</v>
      </c>
      <c r="C2753" s="80">
        <v>11</v>
      </c>
      <c r="D2753" s="30" t="s">
        <v>67</v>
      </c>
      <c r="E2753" s="30" t="s">
        <v>54</v>
      </c>
      <c r="F2753" s="30" t="s">
        <v>43</v>
      </c>
      <c r="G2753" s="33">
        <v>5.52135</v>
      </c>
      <c r="H2753" s="83" t="s">
        <v>88</v>
      </c>
    </row>
    <row r="2754" spans="1:8" ht="16.5" customHeight="1" x14ac:dyDescent="0.25">
      <c r="A2754" s="27">
        <v>45981</v>
      </c>
      <c r="B2754" s="80">
        <v>2025</v>
      </c>
      <c r="C2754" s="80">
        <v>11</v>
      </c>
      <c r="D2754" s="30" t="s">
        <v>67</v>
      </c>
      <c r="E2754" s="30" t="s">
        <v>54</v>
      </c>
      <c r="F2754" s="30" t="s">
        <v>47</v>
      </c>
      <c r="G2754" s="33">
        <v>7.2720000000000007E-2</v>
      </c>
      <c r="H2754" s="83" t="s">
        <v>88</v>
      </c>
    </row>
    <row r="2755" spans="1:8" ht="16.5" customHeight="1" x14ac:dyDescent="0.25">
      <c r="A2755" s="27">
        <v>45981</v>
      </c>
      <c r="B2755" s="80">
        <v>2025</v>
      </c>
      <c r="C2755" s="80">
        <v>11</v>
      </c>
      <c r="D2755" s="30" t="s">
        <v>67</v>
      </c>
      <c r="E2755" s="30" t="s">
        <v>64</v>
      </c>
      <c r="F2755" s="30" t="s">
        <v>43</v>
      </c>
      <c r="G2755" s="33">
        <v>8.9215999999999998</v>
      </c>
      <c r="H2755" s="83" t="s">
        <v>89</v>
      </c>
    </row>
    <row r="2756" spans="1:8" ht="16.5" customHeight="1" x14ac:dyDescent="0.25">
      <c r="A2756" s="27">
        <v>45981</v>
      </c>
      <c r="B2756" s="80">
        <v>2025</v>
      </c>
      <c r="C2756" s="80">
        <v>11</v>
      </c>
      <c r="D2756" s="30" t="s">
        <v>67</v>
      </c>
      <c r="E2756" s="30" t="s">
        <v>76</v>
      </c>
      <c r="F2756" s="30" t="s">
        <v>39</v>
      </c>
      <c r="G2756" s="33">
        <v>156.228072</v>
      </c>
      <c r="H2756" s="83" t="s">
        <v>48</v>
      </c>
    </row>
    <row r="2757" spans="1:8" ht="16.5" customHeight="1" x14ac:dyDescent="0.25">
      <c r="A2757" s="27">
        <v>45982</v>
      </c>
      <c r="B2757" s="80">
        <v>2025</v>
      </c>
      <c r="C2757" s="80">
        <v>11</v>
      </c>
      <c r="D2757" s="30" t="s">
        <v>67</v>
      </c>
      <c r="E2757" s="30" t="s">
        <v>38</v>
      </c>
      <c r="F2757" s="30" t="s">
        <v>43</v>
      </c>
      <c r="G2757" s="33">
        <v>5.6779999999999999</v>
      </c>
      <c r="H2757" s="83" t="s">
        <v>88</v>
      </c>
    </row>
    <row r="2758" spans="1:8" ht="16.5" customHeight="1" x14ac:dyDescent="0.25">
      <c r="A2758" s="27">
        <v>45982</v>
      </c>
      <c r="B2758" s="80">
        <v>2025</v>
      </c>
      <c r="C2758" s="80">
        <v>11</v>
      </c>
      <c r="D2758" s="30" t="s">
        <v>67</v>
      </c>
      <c r="E2758" s="30" t="s">
        <v>38</v>
      </c>
      <c r="F2758" s="30" t="s">
        <v>58</v>
      </c>
      <c r="G2758" s="33">
        <v>0.59</v>
      </c>
      <c r="H2758" s="83" t="s">
        <v>88</v>
      </c>
    </row>
    <row r="2759" spans="1:8" ht="16.5" customHeight="1" x14ac:dyDescent="0.25">
      <c r="A2759" s="27">
        <v>45982</v>
      </c>
      <c r="B2759" s="80">
        <v>2025</v>
      </c>
      <c r="C2759" s="80">
        <v>11</v>
      </c>
      <c r="D2759" s="30" t="s">
        <v>67</v>
      </c>
      <c r="E2759" s="30" t="s">
        <v>46</v>
      </c>
      <c r="F2759" s="30" t="s">
        <v>43</v>
      </c>
      <c r="G2759" s="33">
        <v>4.3136239999999999</v>
      </c>
      <c r="H2759" s="83" t="s">
        <v>88</v>
      </c>
    </row>
    <row r="2760" spans="1:8" ht="16.5" customHeight="1" x14ac:dyDescent="0.25">
      <c r="A2760" s="27">
        <v>45982</v>
      </c>
      <c r="B2760" s="80">
        <v>2025</v>
      </c>
      <c r="C2760" s="80">
        <v>11</v>
      </c>
      <c r="D2760" s="30" t="s">
        <v>67</v>
      </c>
      <c r="E2760" s="30" t="s">
        <v>50</v>
      </c>
      <c r="F2760" s="30" t="s">
        <v>39</v>
      </c>
      <c r="G2760" s="33">
        <v>3.32633</v>
      </c>
      <c r="H2760" s="83" t="s">
        <v>88</v>
      </c>
    </row>
    <row r="2761" spans="1:8" ht="16.5" customHeight="1" x14ac:dyDescent="0.25">
      <c r="A2761" s="27">
        <v>45982</v>
      </c>
      <c r="B2761" s="80">
        <v>2025</v>
      </c>
      <c r="C2761" s="80">
        <v>11</v>
      </c>
      <c r="D2761" s="30" t="s">
        <v>67</v>
      </c>
      <c r="E2761" s="30" t="s">
        <v>50</v>
      </c>
      <c r="F2761" s="30" t="s">
        <v>43</v>
      </c>
      <c r="G2761" s="33">
        <v>20.125</v>
      </c>
      <c r="H2761" s="83" t="s">
        <v>88</v>
      </c>
    </row>
    <row r="2762" spans="1:8" ht="16.5" customHeight="1" x14ac:dyDescent="0.25">
      <c r="A2762" s="27">
        <v>45982</v>
      </c>
      <c r="B2762" s="80">
        <v>2025</v>
      </c>
      <c r="C2762" s="80">
        <v>11</v>
      </c>
      <c r="D2762" s="30" t="s">
        <v>67</v>
      </c>
      <c r="E2762" s="30" t="s">
        <v>50</v>
      </c>
      <c r="F2762" s="30" t="s">
        <v>47</v>
      </c>
      <c r="G2762" s="33">
        <v>0.62160000000000004</v>
      </c>
      <c r="H2762" s="83" t="s">
        <v>88</v>
      </c>
    </row>
    <row r="2763" spans="1:8" ht="16.5" customHeight="1" x14ac:dyDescent="0.25">
      <c r="A2763" s="27">
        <v>45982</v>
      </c>
      <c r="B2763" s="80">
        <v>2025</v>
      </c>
      <c r="C2763" s="80">
        <v>11</v>
      </c>
      <c r="D2763" s="30" t="s">
        <v>67</v>
      </c>
      <c r="E2763" s="30" t="s">
        <v>50</v>
      </c>
      <c r="F2763" s="30" t="s">
        <v>51</v>
      </c>
      <c r="G2763" s="33">
        <v>0.62050000000000005</v>
      </c>
      <c r="H2763" s="83" t="s">
        <v>88</v>
      </c>
    </row>
    <row r="2764" spans="1:8" ht="16.5" customHeight="1" x14ac:dyDescent="0.25">
      <c r="A2764" s="27">
        <v>45982</v>
      </c>
      <c r="B2764" s="80">
        <v>2025</v>
      </c>
      <c r="C2764" s="80">
        <v>11</v>
      </c>
      <c r="D2764" s="30" t="s">
        <v>67</v>
      </c>
      <c r="E2764" s="30" t="s">
        <v>50</v>
      </c>
      <c r="F2764" s="30" t="s">
        <v>58</v>
      </c>
      <c r="G2764" s="33">
        <v>6.1045738800000002</v>
      </c>
      <c r="H2764" s="83" t="s">
        <v>88</v>
      </c>
    </row>
    <row r="2765" spans="1:8" ht="16.5" customHeight="1" x14ac:dyDescent="0.25">
      <c r="A2765" s="27">
        <v>45982</v>
      </c>
      <c r="B2765" s="80">
        <v>2025</v>
      </c>
      <c r="C2765" s="80">
        <v>11</v>
      </c>
      <c r="D2765" s="30" t="s">
        <v>67</v>
      </c>
      <c r="E2765" s="30" t="s">
        <v>54</v>
      </c>
      <c r="F2765" s="30" t="s">
        <v>43</v>
      </c>
      <c r="G2765" s="33">
        <v>0.58499999999999996</v>
      </c>
      <c r="H2765" s="83" t="s">
        <v>88</v>
      </c>
    </row>
    <row r="2766" spans="1:8" ht="16.5" customHeight="1" x14ac:dyDescent="0.25">
      <c r="A2766" s="27">
        <v>45982</v>
      </c>
      <c r="B2766" s="80">
        <v>2025</v>
      </c>
      <c r="C2766" s="80">
        <v>11</v>
      </c>
      <c r="D2766" s="30" t="s">
        <v>67</v>
      </c>
      <c r="E2766" s="30" t="s">
        <v>57</v>
      </c>
      <c r="F2766" s="30" t="s">
        <v>43</v>
      </c>
      <c r="G2766" s="33">
        <v>2.2000000000000002</v>
      </c>
      <c r="H2766" s="83" t="s">
        <v>89</v>
      </c>
    </row>
    <row r="2767" spans="1:8" ht="16.5" customHeight="1" x14ac:dyDescent="0.25">
      <c r="A2767" s="27">
        <v>45982</v>
      </c>
      <c r="B2767" s="80">
        <v>2025</v>
      </c>
      <c r="C2767" s="80">
        <v>11</v>
      </c>
      <c r="D2767" s="30" t="s">
        <v>67</v>
      </c>
      <c r="E2767" s="30" t="s">
        <v>66</v>
      </c>
      <c r="F2767" s="30" t="s">
        <v>43</v>
      </c>
      <c r="G2767" s="33">
        <v>2.4750000000000001</v>
      </c>
      <c r="H2767" s="83" t="s">
        <v>89</v>
      </c>
    </row>
    <row r="2768" spans="1:8" ht="16.5" customHeight="1" x14ac:dyDescent="0.25">
      <c r="A2768" s="27">
        <v>45982</v>
      </c>
      <c r="B2768" s="80">
        <v>2025</v>
      </c>
      <c r="C2768" s="80">
        <v>11</v>
      </c>
      <c r="D2768" s="30" t="s">
        <v>67</v>
      </c>
      <c r="E2768" s="30" t="s">
        <v>68</v>
      </c>
      <c r="F2768" s="30" t="s">
        <v>43</v>
      </c>
      <c r="G2768" s="33">
        <v>2.085</v>
      </c>
      <c r="H2768" s="83" t="s">
        <v>89</v>
      </c>
    </row>
    <row r="2769" spans="1:8" ht="16.5" customHeight="1" x14ac:dyDescent="0.25">
      <c r="A2769" s="27">
        <v>45982</v>
      </c>
      <c r="B2769" s="80">
        <v>2025</v>
      </c>
      <c r="C2769" s="80">
        <v>11</v>
      </c>
      <c r="D2769" s="30" t="s">
        <v>67</v>
      </c>
      <c r="E2769" s="30" t="s">
        <v>74</v>
      </c>
      <c r="F2769" s="30" t="s">
        <v>43</v>
      </c>
      <c r="G2769" s="33">
        <v>65.272800000000004</v>
      </c>
      <c r="H2769" s="83" t="s">
        <v>89</v>
      </c>
    </row>
    <row r="2770" spans="1:8" ht="16.5" customHeight="1" x14ac:dyDescent="0.25">
      <c r="A2770" s="27">
        <v>45985</v>
      </c>
      <c r="B2770" s="80">
        <v>2025</v>
      </c>
      <c r="C2770" s="80">
        <v>11</v>
      </c>
      <c r="D2770" s="30" t="s">
        <v>67</v>
      </c>
      <c r="E2770" s="30" t="s">
        <v>38</v>
      </c>
      <c r="F2770" s="30" t="s">
        <v>43</v>
      </c>
      <c r="G2770" s="33">
        <v>15.464976</v>
      </c>
      <c r="H2770" s="83" t="s">
        <v>88</v>
      </c>
    </row>
    <row r="2771" spans="1:8" ht="16.5" customHeight="1" x14ac:dyDescent="0.25">
      <c r="A2771" s="27">
        <v>45985</v>
      </c>
      <c r="B2771" s="80">
        <v>2025</v>
      </c>
      <c r="C2771" s="80">
        <v>11</v>
      </c>
      <c r="D2771" s="30" t="s">
        <v>67</v>
      </c>
      <c r="E2771" s="30" t="s">
        <v>42</v>
      </c>
      <c r="F2771" s="30" t="s">
        <v>43</v>
      </c>
      <c r="G2771" s="33">
        <v>6.782</v>
      </c>
      <c r="H2771" s="83" t="s">
        <v>88</v>
      </c>
    </row>
    <row r="2772" spans="1:8" ht="16.5" customHeight="1" x14ac:dyDescent="0.25">
      <c r="A2772" s="27">
        <v>45985</v>
      </c>
      <c r="B2772" s="80">
        <v>2025</v>
      </c>
      <c r="C2772" s="80">
        <v>11</v>
      </c>
      <c r="D2772" s="30" t="s">
        <v>67</v>
      </c>
      <c r="E2772" s="30" t="s">
        <v>46</v>
      </c>
      <c r="F2772" s="30" t="s">
        <v>43</v>
      </c>
      <c r="G2772" s="33">
        <v>2.2772008000000001</v>
      </c>
      <c r="H2772" s="83" t="s">
        <v>88</v>
      </c>
    </row>
    <row r="2773" spans="1:8" ht="16.5" customHeight="1" x14ac:dyDescent="0.25">
      <c r="A2773" s="27">
        <v>45985</v>
      </c>
      <c r="B2773" s="80">
        <v>2025</v>
      </c>
      <c r="C2773" s="80">
        <v>11</v>
      </c>
      <c r="D2773" s="30" t="s">
        <v>67</v>
      </c>
      <c r="E2773" s="30" t="s">
        <v>50</v>
      </c>
      <c r="F2773" s="30" t="s">
        <v>43</v>
      </c>
      <c r="G2773" s="33">
        <v>6.4577933999999999</v>
      </c>
      <c r="H2773" s="83" t="s">
        <v>88</v>
      </c>
    </row>
    <row r="2774" spans="1:8" ht="16.5" customHeight="1" x14ac:dyDescent="0.25">
      <c r="A2774" s="27">
        <v>45985</v>
      </c>
      <c r="B2774" s="80">
        <v>2025</v>
      </c>
      <c r="C2774" s="80">
        <v>11</v>
      </c>
      <c r="D2774" s="30" t="s">
        <v>67</v>
      </c>
      <c r="E2774" s="30" t="s">
        <v>50</v>
      </c>
      <c r="F2774" s="30" t="s">
        <v>47</v>
      </c>
      <c r="G2774" s="33">
        <v>1.7861</v>
      </c>
      <c r="H2774" s="83" t="s">
        <v>88</v>
      </c>
    </row>
    <row r="2775" spans="1:8" ht="16.5" customHeight="1" x14ac:dyDescent="0.25">
      <c r="A2775" s="27">
        <v>45985</v>
      </c>
      <c r="B2775" s="80">
        <v>2025</v>
      </c>
      <c r="C2775" s="80">
        <v>11</v>
      </c>
      <c r="D2775" s="30" t="s">
        <v>67</v>
      </c>
      <c r="E2775" s="30" t="s">
        <v>50</v>
      </c>
      <c r="F2775" s="30" t="s">
        <v>51</v>
      </c>
      <c r="G2775" s="33">
        <v>0.87549999999999994</v>
      </c>
      <c r="H2775" s="83" t="s">
        <v>88</v>
      </c>
    </row>
    <row r="2776" spans="1:8" ht="16.5" customHeight="1" x14ac:dyDescent="0.25">
      <c r="A2776" s="27">
        <v>45985</v>
      </c>
      <c r="B2776" s="80">
        <v>2025</v>
      </c>
      <c r="C2776" s="80">
        <v>11</v>
      </c>
      <c r="D2776" s="30" t="s">
        <v>67</v>
      </c>
      <c r="E2776" s="30" t="s">
        <v>50</v>
      </c>
      <c r="F2776" s="30" t="s">
        <v>55</v>
      </c>
      <c r="G2776" s="33">
        <v>1.2495000000000001</v>
      </c>
      <c r="H2776" s="83" t="s">
        <v>88</v>
      </c>
    </row>
    <row r="2777" spans="1:8" ht="16.5" customHeight="1" x14ac:dyDescent="0.25">
      <c r="A2777" s="27">
        <v>45985</v>
      </c>
      <c r="B2777" s="80">
        <v>2025</v>
      </c>
      <c r="C2777" s="80">
        <v>11</v>
      </c>
      <c r="D2777" s="30" t="s">
        <v>67</v>
      </c>
      <c r="E2777" s="30" t="s">
        <v>50</v>
      </c>
      <c r="F2777" s="30" t="s">
        <v>58</v>
      </c>
      <c r="G2777" s="33">
        <v>1.1273475049999999</v>
      </c>
      <c r="H2777" s="83" t="s">
        <v>88</v>
      </c>
    </row>
    <row r="2778" spans="1:8" ht="16.5" customHeight="1" x14ac:dyDescent="0.25">
      <c r="A2778" s="27">
        <v>45985</v>
      </c>
      <c r="B2778" s="80">
        <v>2025</v>
      </c>
      <c r="C2778" s="80">
        <v>11</v>
      </c>
      <c r="D2778" s="30" t="s">
        <v>67</v>
      </c>
      <c r="E2778" s="30" t="s">
        <v>54</v>
      </c>
      <c r="F2778" s="30" t="s">
        <v>43</v>
      </c>
      <c r="G2778" s="33">
        <v>3.3765999999999998</v>
      </c>
      <c r="H2778" s="83" t="s">
        <v>88</v>
      </c>
    </row>
    <row r="2779" spans="1:8" ht="16.5" customHeight="1" x14ac:dyDescent="0.25">
      <c r="A2779" s="27">
        <v>45985</v>
      </c>
      <c r="B2779" s="80">
        <v>2025</v>
      </c>
      <c r="C2779" s="80">
        <v>11</v>
      </c>
      <c r="D2779" s="30" t="s">
        <v>67</v>
      </c>
      <c r="E2779" s="30" t="s">
        <v>57</v>
      </c>
      <c r="F2779" s="30" t="s">
        <v>43</v>
      </c>
      <c r="G2779" s="33">
        <v>38.656350000000003</v>
      </c>
      <c r="H2779" s="83" t="s">
        <v>89</v>
      </c>
    </row>
    <row r="2780" spans="1:8" ht="16.5" customHeight="1" x14ac:dyDescent="0.25">
      <c r="A2780" s="27">
        <v>45985</v>
      </c>
      <c r="B2780" s="80">
        <v>2025</v>
      </c>
      <c r="C2780" s="80">
        <v>11</v>
      </c>
      <c r="D2780" s="30" t="s">
        <v>67</v>
      </c>
      <c r="E2780" s="30" t="s">
        <v>66</v>
      </c>
      <c r="F2780" s="30" t="s">
        <v>43</v>
      </c>
      <c r="G2780" s="33">
        <v>3.0249999999999999</v>
      </c>
      <c r="H2780" s="83" t="s">
        <v>89</v>
      </c>
    </row>
    <row r="2781" spans="1:8" ht="16.5" customHeight="1" x14ac:dyDescent="0.25">
      <c r="A2781" s="27">
        <v>45985</v>
      </c>
      <c r="B2781" s="80">
        <v>2025</v>
      </c>
      <c r="C2781" s="80">
        <v>11</v>
      </c>
      <c r="D2781" s="30" t="s">
        <v>67</v>
      </c>
      <c r="E2781" s="30" t="s">
        <v>71</v>
      </c>
      <c r="F2781" s="30" t="s">
        <v>43</v>
      </c>
      <c r="G2781" s="33">
        <v>13.746</v>
      </c>
      <c r="H2781" s="83" t="s">
        <v>89</v>
      </c>
    </row>
    <row r="2782" spans="1:8" ht="16.5" customHeight="1" x14ac:dyDescent="0.25">
      <c r="A2782" s="27">
        <v>45985</v>
      </c>
      <c r="B2782" s="80">
        <v>2025</v>
      </c>
      <c r="C2782" s="80">
        <v>11</v>
      </c>
      <c r="D2782" s="30" t="s">
        <v>67</v>
      </c>
      <c r="E2782" s="30" t="s">
        <v>73</v>
      </c>
      <c r="F2782" s="30" t="s">
        <v>43</v>
      </c>
      <c r="G2782" s="33">
        <v>8.0640000000000001</v>
      </c>
      <c r="H2782" s="83" t="s">
        <v>89</v>
      </c>
    </row>
    <row r="2783" spans="1:8" ht="16.5" customHeight="1" x14ac:dyDescent="0.25">
      <c r="A2783" s="27">
        <v>45985</v>
      </c>
      <c r="B2783" s="80">
        <v>2025</v>
      </c>
      <c r="C2783" s="80">
        <v>11</v>
      </c>
      <c r="D2783" s="30" t="s">
        <v>67</v>
      </c>
      <c r="E2783" s="30" t="s">
        <v>74</v>
      </c>
      <c r="F2783" s="30" t="s">
        <v>55</v>
      </c>
      <c r="G2783" s="33">
        <v>120.0057628</v>
      </c>
      <c r="H2783" s="83" t="s">
        <v>89</v>
      </c>
    </row>
    <row r="2784" spans="1:8" ht="16.5" customHeight="1" x14ac:dyDescent="0.25">
      <c r="A2784" s="27">
        <v>45985</v>
      </c>
      <c r="B2784" s="80">
        <v>2025</v>
      </c>
      <c r="C2784" s="80">
        <v>11</v>
      </c>
      <c r="D2784" s="30" t="s">
        <v>67</v>
      </c>
      <c r="E2784" s="30" t="s">
        <v>75</v>
      </c>
      <c r="F2784" s="30" t="s">
        <v>43</v>
      </c>
      <c r="G2784" s="33">
        <v>83.774919749999995</v>
      </c>
      <c r="H2784" s="83" t="s">
        <v>48</v>
      </c>
    </row>
    <row r="2785" spans="1:8" ht="16.5" customHeight="1" x14ac:dyDescent="0.25">
      <c r="A2785" s="27">
        <v>45986</v>
      </c>
      <c r="B2785" s="80">
        <v>2025</v>
      </c>
      <c r="C2785" s="80">
        <v>11</v>
      </c>
      <c r="D2785" s="30" t="s">
        <v>67</v>
      </c>
      <c r="E2785" s="30" t="s">
        <v>38</v>
      </c>
      <c r="F2785" s="30" t="s">
        <v>43</v>
      </c>
      <c r="G2785" s="33">
        <v>3.1840000000000002</v>
      </c>
      <c r="H2785" s="83" t="s">
        <v>88</v>
      </c>
    </row>
    <row r="2786" spans="1:8" ht="16.5" customHeight="1" x14ac:dyDescent="0.25">
      <c r="A2786" s="27">
        <v>45986</v>
      </c>
      <c r="B2786" s="80">
        <v>2025</v>
      </c>
      <c r="C2786" s="80">
        <v>11</v>
      </c>
      <c r="D2786" s="30" t="s">
        <v>67</v>
      </c>
      <c r="E2786" s="30" t="s">
        <v>42</v>
      </c>
      <c r="F2786" s="30" t="s">
        <v>43</v>
      </c>
      <c r="G2786" s="33">
        <v>12.976000000000001</v>
      </c>
      <c r="H2786" s="83" t="s">
        <v>88</v>
      </c>
    </row>
    <row r="2787" spans="1:8" ht="16.5" customHeight="1" x14ac:dyDescent="0.25">
      <c r="A2787" s="27">
        <v>45986</v>
      </c>
      <c r="B2787" s="80">
        <v>2025</v>
      </c>
      <c r="C2787" s="80">
        <v>11</v>
      </c>
      <c r="D2787" s="30" t="s">
        <v>67</v>
      </c>
      <c r="E2787" s="30" t="s">
        <v>46</v>
      </c>
      <c r="F2787" s="30" t="s">
        <v>43</v>
      </c>
      <c r="G2787" s="33">
        <v>5.3362176000000003</v>
      </c>
      <c r="H2787" s="83" t="s">
        <v>88</v>
      </c>
    </row>
    <row r="2788" spans="1:8" ht="16.5" customHeight="1" x14ac:dyDescent="0.25">
      <c r="A2788" s="27">
        <v>45986</v>
      </c>
      <c r="B2788" s="80">
        <v>2025</v>
      </c>
      <c r="C2788" s="80">
        <v>11</v>
      </c>
      <c r="D2788" s="30" t="s">
        <v>67</v>
      </c>
      <c r="E2788" s="30" t="s">
        <v>46</v>
      </c>
      <c r="F2788" s="30" t="s">
        <v>55</v>
      </c>
      <c r="G2788" s="33">
        <v>0.28167999999999999</v>
      </c>
      <c r="H2788" s="83" t="s">
        <v>88</v>
      </c>
    </row>
    <row r="2789" spans="1:8" ht="16.5" customHeight="1" x14ac:dyDescent="0.25">
      <c r="A2789" s="27">
        <v>45986</v>
      </c>
      <c r="B2789" s="80">
        <v>2025</v>
      </c>
      <c r="C2789" s="80">
        <v>11</v>
      </c>
      <c r="D2789" s="30" t="s">
        <v>67</v>
      </c>
      <c r="E2789" s="30" t="s">
        <v>46</v>
      </c>
      <c r="F2789" s="30" t="s">
        <v>58</v>
      </c>
      <c r="G2789" s="33">
        <v>0.18317248</v>
      </c>
      <c r="H2789" s="83" t="s">
        <v>88</v>
      </c>
    </row>
    <row r="2790" spans="1:8" ht="16.5" customHeight="1" x14ac:dyDescent="0.25">
      <c r="A2790" s="27">
        <v>45986</v>
      </c>
      <c r="B2790" s="80">
        <v>2025</v>
      </c>
      <c r="C2790" s="80">
        <v>11</v>
      </c>
      <c r="D2790" s="30" t="s">
        <v>67</v>
      </c>
      <c r="E2790" s="30" t="s">
        <v>50</v>
      </c>
      <c r="F2790" s="30" t="s">
        <v>43</v>
      </c>
      <c r="G2790" s="33">
        <v>1.9981359999999999</v>
      </c>
      <c r="H2790" s="83" t="s">
        <v>88</v>
      </c>
    </row>
    <row r="2791" spans="1:8" ht="16.5" customHeight="1" x14ac:dyDescent="0.25">
      <c r="A2791" s="27">
        <v>45986</v>
      </c>
      <c r="B2791" s="80">
        <v>2025</v>
      </c>
      <c r="C2791" s="80">
        <v>11</v>
      </c>
      <c r="D2791" s="30" t="s">
        <v>67</v>
      </c>
      <c r="E2791" s="30" t="s">
        <v>50</v>
      </c>
      <c r="F2791" s="30" t="s">
        <v>55</v>
      </c>
      <c r="G2791" s="33">
        <v>0.17849999999999999</v>
      </c>
      <c r="H2791" s="83" t="s">
        <v>88</v>
      </c>
    </row>
    <row r="2792" spans="1:8" ht="16.5" customHeight="1" x14ac:dyDescent="0.25">
      <c r="A2792" s="27">
        <v>45986</v>
      </c>
      <c r="B2792" s="80">
        <v>2025</v>
      </c>
      <c r="C2792" s="80">
        <v>11</v>
      </c>
      <c r="D2792" s="30" t="s">
        <v>67</v>
      </c>
      <c r="E2792" s="30" t="s">
        <v>50</v>
      </c>
      <c r="F2792" s="30" t="s">
        <v>58</v>
      </c>
      <c r="G2792" s="33">
        <v>0.32690999999999998</v>
      </c>
      <c r="H2792" s="83" t="s">
        <v>88</v>
      </c>
    </row>
    <row r="2793" spans="1:8" ht="16.5" customHeight="1" x14ac:dyDescent="0.25">
      <c r="A2793" s="27">
        <v>45986</v>
      </c>
      <c r="B2793" s="80">
        <v>2025</v>
      </c>
      <c r="C2793" s="80">
        <v>11</v>
      </c>
      <c r="D2793" s="30" t="s">
        <v>67</v>
      </c>
      <c r="E2793" s="30" t="s">
        <v>54</v>
      </c>
      <c r="F2793" s="30" t="s">
        <v>43</v>
      </c>
      <c r="G2793" s="33">
        <v>0.39500000000000002</v>
      </c>
      <c r="H2793" s="83" t="s">
        <v>88</v>
      </c>
    </row>
    <row r="2794" spans="1:8" ht="16.5" customHeight="1" x14ac:dyDescent="0.25">
      <c r="A2794" s="27">
        <v>45986</v>
      </c>
      <c r="B2794" s="80">
        <v>2025</v>
      </c>
      <c r="C2794" s="80">
        <v>11</v>
      </c>
      <c r="D2794" s="30" t="s">
        <v>67</v>
      </c>
      <c r="E2794" s="30" t="s">
        <v>54</v>
      </c>
      <c r="F2794" s="30" t="s">
        <v>47</v>
      </c>
      <c r="G2794" s="33">
        <v>0.15</v>
      </c>
      <c r="H2794" s="83" t="s">
        <v>88</v>
      </c>
    </row>
    <row r="2795" spans="1:8" ht="16.5" customHeight="1" x14ac:dyDescent="0.25">
      <c r="A2795" s="27">
        <v>45986</v>
      </c>
      <c r="B2795" s="80">
        <v>2025</v>
      </c>
      <c r="C2795" s="80">
        <v>11</v>
      </c>
      <c r="D2795" s="30" t="s">
        <v>67</v>
      </c>
      <c r="E2795" s="30" t="s">
        <v>61</v>
      </c>
      <c r="F2795" s="30" t="s">
        <v>43</v>
      </c>
      <c r="G2795" s="33">
        <v>15.525</v>
      </c>
      <c r="H2795" s="83" t="s">
        <v>89</v>
      </c>
    </row>
    <row r="2796" spans="1:8" ht="16.5" customHeight="1" x14ac:dyDescent="0.25">
      <c r="A2796" s="27">
        <v>45986</v>
      </c>
      <c r="B2796" s="80">
        <v>2025</v>
      </c>
      <c r="C2796" s="80">
        <v>11</v>
      </c>
      <c r="D2796" s="30" t="s">
        <v>67</v>
      </c>
      <c r="E2796" s="30" t="s">
        <v>64</v>
      </c>
      <c r="F2796" s="30" t="s">
        <v>43</v>
      </c>
      <c r="G2796" s="33">
        <v>3.57</v>
      </c>
      <c r="H2796" s="83" t="s">
        <v>89</v>
      </c>
    </row>
    <row r="2797" spans="1:8" ht="16.5" customHeight="1" x14ac:dyDescent="0.25">
      <c r="A2797" s="27">
        <v>45986</v>
      </c>
      <c r="B2797" s="80">
        <v>2025</v>
      </c>
      <c r="C2797" s="80">
        <v>11</v>
      </c>
      <c r="D2797" s="30" t="s">
        <v>67</v>
      </c>
      <c r="E2797" s="30" t="s">
        <v>66</v>
      </c>
      <c r="F2797" s="30" t="s">
        <v>39</v>
      </c>
      <c r="G2797" s="33">
        <v>2.94</v>
      </c>
      <c r="H2797" s="83" t="s">
        <v>89</v>
      </c>
    </row>
    <row r="2798" spans="1:8" ht="16.5" customHeight="1" x14ac:dyDescent="0.25">
      <c r="A2798" s="27">
        <v>45986</v>
      </c>
      <c r="B2798" s="80">
        <v>2025</v>
      </c>
      <c r="C2798" s="80">
        <v>11</v>
      </c>
      <c r="D2798" s="30" t="s">
        <v>67</v>
      </c>
      <c r="E2798" s="30" t="s">
        <v>66</v>
      </c>
      <c r="F2798" s="30" t="s">
        <v>43</v>
      </c>
      <c r="G2798" s="33">
        <v>24.05612</v>
      </c>
      <c r="H2798" s="83" t="s">
        <v>89</v>
      </c>
    </row>
    <row r="2799" spans="1:8" ht="16.5" customHeight="1" x14ac:dyDescent="0.25">
      <c r="A2799" s="27">
        <v>45986</v>
      </c>
      <c r="B2799" s="80">
        <v>2025</v>
      </c>
      <c r="C2799" s="80">
        <v>11</v>
      </c>
      <c r="D2799" s="30" t="s">
        <v>67</v>
      </c>
      <c r="E2799" s="30" t="s">
        <v>66</v>
      </c>
      <c r="F2799" s="30" t="s">
        <v>55</v>
      </c>
      <c r="G2799" s="33">
        <v>1.55</v>
      </c>
      <c r="H2799" s="83" t="s">
        <v>89</v>
      </c>
    </row>
    <row r="2800" spans="1:8" ht="16.5" customHeight="1" x14ac:dyDescent="0.25">
      <c r="A2800" s="27">
        <v>45986</v>
      </c>
      <c r="B2800" s="80">
        <v>2025</v>
      </c>
      <c r="C2800" s="80">
        <v>11</v>
      </c>
      <c r="D2800" s="30" t="s">
        <v>67</v>
      </c>
      <c r="E2800" s="30" t="s">
        <v>68</v>
      </c>
      <c r="F2800" s="30" t="s">
        <v>43</v>
      </c>
      <c r="G2800" s="33">
        <v>0.42</v>
      </c>
      <c r="H2800" s="83" t="s">
        <v>89</v>
      </c>
    </row>
    <row r="2801" spans="1:8" ht="16.5" customHeight="1" x14ac:dyDescent="0.25">
      <c r="A2801" s="27">
        <v>45986</v>
      </c>
      <c r="B2801" s="80">
        <v>2025</v>
      </c>
      <c r="C2801" s="80">
        <v>11</v>
      </c>
      <c r="D2801" s="30" t="s">
        <v>67</v>
      </c>
      <c r="E2801" s="30" t="s">
        <v>73</v>
      </c>
      <c r="F2801" s="30" t="s">
        <v>43</v>
      </c>
      <c r="G2801" s="33">
        <v>6.5536595000000002</v>
      </c>
      <c r="H2801" s="83" t="s">
        <v>89</v>
      </c>
    </row>
    <row r="2802" spans="1:8" ht="16.5" customHeight="1" x14ac:dyDescent="0.25">
      <c r="A2802" s="27">
        <v>45986</v>
      </c>
      <c r="B2802" s="80">
        <v>2025</v>
      </c>
      <c r="C2802" s="80">
        <v>11</v>
      </c>
      <c r="D2802" s="30" t="s">
        <v>67</v>
      </c>
      <c r="E2802" s="30" t="s">
        <v>73</v>
      </c>
      <c r="F2802" s="30" t="s">
        <v>51</v>
      </c>
      <c r="G2802" s="33">
        <v>1.4750000000000001</v>
      </c>
      <c r="H2802" s="83" t="s">
        <v>89</v>
      </c>
    </row>
    <row r="2803" spans="1:8" ht="16.5" customHeight="1" x14ac:dyDescent="0.25">
      <c r="A2803" s="27">
        <v>45986</v>
      </c>
      <c r="B2803" s="80">
        <v>2025</v>
      </c>
      <c r="C2803" s="80">
        <v>11</v>
      </c>
      <c r="D2803" s="30" t="s">
        <v>67</v>
      </c>
      <c r="E2803" s="30" t="s">
        <v>75</v>
      </c>
      <c r="F2803" s="30" t="s">
        <v>43</v>
      </c>
      <c r="G2803" s="33">
        <v>7.8830499999999999</v>
      </c>
      <c r="H2803" s="83" t="s">
        <v>48</v>
      </c>
    </row>
    <row r="2804" spans="1:8" ht="16.5" customHeight="1" x14ac:dyDescent="0.25">
      <c r="A2804" s="27">
        <v>45987</v>
      </c>
      <c r="B2804" s="80">
        <v>2025</v>
      </c>
      <c r="C2804" s="80">
        <v>11</v>
      </c>
      <c r="D2804" s="30" t="s">
        <v>67</v>
      </c>
      <c r="E2804" s="30" t="s">
        <v>38</v>
      </c>
      <c r="F2804" s="30" t="s">
        <v>43</v>
      </c>
      <c r="G2804" s="33">
        <v>11.138529999999999</v>
      </c>
      <c r="H2804" s="83" t="s">
        <v>88</v>
      </c>
    </row>
    <row r="2805" spans="1:8" ht="16.5" customHeight="1" x14ac:dyDescent="0.25">
      <c r="A2805" s="27">
        <v>45987</v>
      </c>
      <c r="B2805" s="80">
        <v>2025</v>
      </c>
      <c r="C2805" s="80">
        <v>11</v>
      </c>
      <c r="D2805" s="30" t="s">
        <v>67</v>
      </c>
      <c r="E2805" s="30" t="s">
        <v>38</v>
      </c>
      <c r="F2805" s="30" t="s">
        <v>58</v>
      </c>
      <c r="G2805" s="33">
        <v>0.51449999999999996</v>
      </c>
      <c r="H2805" s="83" t="s">
        <v>88</v>
      </c>
    </row>
    <row r="2806" spans="1:8" ht="16.5" customHeight="1" x14ac:dyDescent="0.25">
      <c r="A2806" s="27">
        <v>45987</v>
      </c>
      <c r="B2806" s="80">
        <v>2025</v>
      </c>
      <c r="C2806" s="80">
        <v>11</v>
      </c>
      <c r="D2806" s="30" t="s">
        <v>67</v>
      </c>
      <c r="E2806" s="30" t="s">
        <v>42</v>
      </c>
      <c r="F2806" s="30" t="s">
        <v>43</v>
      </c>
      <c r="G2806" s="33">
        <v>4.7132500000000004</v>
      </c>
      <c r="H2806" s="83" t="s">
        <v>88</v>
      </c>
    </row>
    <row r="2807" spans="1:8" ht="16.5" customHeight="1" x14ac:dyDescent="0.25">
      <c r="A2807" s="27">
        <v>45987</v>
      </c>
      <c r="B2807" s="80">
        <v>2025</v>
      </c>
      <c r="C2807" s="80">
        <v>11</v>
      </c>
      <c r="D2807" s="30" t="s">
        <v>67</v>
      </c>
      <c r="E2807" s="30" t="s">
        <v>46</v>
      </c>
      <c r="F2807" s="30" t="s">
        <v>43</v>
      </c>
      <c r="G2807" s="33">
        <v>9.2655159999999999</v>
      </c>
      <c r="H2807" s="83" t="s">
        <v>88</v>
      </c>
    </row>
    <row r="2808" spans="1:8" ht="16.5" customHeight="1" x14ac:dyDescent="0.25">
      <c r="A2808" s="27">
        <v>45987</v>
      </c>
      <c r="B2808" s="80">
        <v>2025</v>
      </c>
      <c r="C2808" s="80">
        <v>11</v>
      </c>
      <c r="D2808" s="30" t="s">
        <v>67</v>
      </c>
      <c r="E2808" s="30" t="s">
        <v>46</v>
      </c>
      <c r="F2808" s="30" t="s">
        <v>51</v>
      </c>
      <c r="G2808" s="33">
        <v>1.3108</v>
      </c>
      <c r="H2808" s="83" t="s">
        <v>88</v>
      </c>
    </row>
    <row r="2809" spans="1:8" ht="16.5" customHeight="1" x14ac:dyDescent="0.25">
      <c r="A2809" s="27">
        <v>45987</v>
      </c>
      <c r="B2809" s="80">
        <v>2025</v>
      </c>
      <c r="C2809" s="80">
        <v>11</v>
      </c>
      <c r="D2809" s="30" t="s">
        <v>67</v>
      </c>
      <c r="E2809" s="30" t="s">
        <v>46</v>
      </c>
      <c r="F2809" s="30" t="s">
        <v>58</v>
      </c>
      <c r="G2809" s="33">
        <v>0.89815246999999998</v>
      </c>
      <c r="H2809" s="83" t="s">
        <v>88</v>
      </c>
    </row>
    <row r="2810" spans="1:8" ht="16.5" customHeight="1" x14ac:dyDescent="0.25">
      <c r="A2810" s="27">
        <v>45987</v>
      </c>
      <c r="B2810" s="80">
        <v>2025</v>
      </c>
      <c r="C2810" s="80">
        <v>11</v>
      </c>
      <c r="D2810" s="30" t="s">
        <v>67</v>
      </c>
      <c r="E2810" s="30" t="s">
        <v>50</v>
      </c>
      <c r="F2810" s="30" t="s">
        <v>43</v>
      </c>
      <c r="G2810" s="33">
        <v>5.5256740000000004</v>
      </c>
      <c r="H2810" s="83" t="s">
        <v>88</v>
      </c>
    </row>
    <row r="2811" spans="1:8" ht="16.5" customHeight="1" x14ac:dyDescent="0.25">
      <c r="A2811" s="27">
        <v>45987</v>
      </c>
      <c r="B2811" s="80">
        <v>2025</v>
      </c>
      <c r="C2811" s="80">
        <v>11</v>
      </c>
      <c r="D2811" s="30" t="s">
        <v>67</v>
      </c>
      <c r="E2811" s="30" t="s">
        <v>50</v>
      </c>
      <c r="F2811" s="30" t="s">
        <v>47</v>
      </c>
      <c r="G2811" s="33">
        <v>1.8282484000000001</v>
      </c>
      <c r="H2811" s="83" t="s">
        <v>88</v>
      </c>
    </row>
    <row r="2812" spans="1:8" ht="16.5" customHeight="1" x14ac:dyDescent="0.25">
      <c r="A2812" s="27">
        <v>45987</v>
      </c>
      <c r="B2812" s="80">
        <v>2025</v>
      </c>
      <c r="C2812" s="80">
        <v>11</v>
      </c>
      <c r="D2812" s="30" t="s">
        <v>67</v>
      </c>
      <c r="E2812" s="30" t="s">
        <v>50</v>
      </c>
      <c r="F2812" s="30" t="s">
        <v>51</v>
      </c>
      <c r="G2812" s="33">
        <v>0.38250000000000001</v>
      </c>
      <c r="H2812" s="83" t="s">
        <v>88</v>
      </c>
    </row>
    <row r="2813" spans="1:8" ht="16.5" customHeight="1" x14ac:dyDescent="0.25">
      <c r="A2813" s="27">
        <v>45987</v>
      </c>
      <c r="B2813" s="80">
        <v>2025</v>
      </c>
      <c r="C2813" s="80">
        <v>11</v>
      </c>
      <c r="D2813" s="30" t="s">
        <v>67</v>
      </c>
      <c r="E2813" s="30" t="s">
        <v>54</v>
      </c>
      <c r="F2813" s="30" t="s">
        <v>43</v>
      </c>
      <c r="G2813" s="33">
        <v>0.6</v>
      </c>
      <c r="H2813" s="83" t="s">
        <v>88</v>
      </c>
    </row>
    <row r="2814" spans="1:8" ht="16.5" customHeight="1" x14ac:dyDescent="0.25">
      <c r="A2814" s="27">
        <v>45987</v>
      </c>
      <c r="B2814" s="80">
        <v>2025</v>
      </c>
      <c r="C2814" s="80">
        <v>11</v>
      </c>
      <c r="D2814" s="30" t="s">
        <v>67</v>
      </c>
      <c r="E2814" s="30" t="s">
        <v>57</v>
      </c>
      <c r="F2814" s="30" t="s">
        <v>39</v>
      </c>
      <c r="G2814" s="33">
        <v>64.512</v>
      </c>
      <c r="H2814" s="83" t="s">
        <v>89</v>
      </c>
    </row>
    <row r="2815" spans="1:8" ht="16.5" customHeight="1" x14ac:dyDescent="0.25">
      <c r="A2815" s="27">
        <v>45987</v>
      </c>
      <c r="B2815" s="80">
        <v>2025</v>
      </c>
      <c r="C2815" s="80">
        <v>11</v>
      </c>
      <c r="D2815" s="30" t="s">
        <v>67</v>
      </c>
      <c r="E2815" s="30" t="s">
        <v>61</v>
      </c>
      <c r="F2815" s="30" t="s">
        <v>43</v>
      </c>
      <c r="G2815" s="33">
        <v>27.194600000000001</v>
      </c>
      <c r="H2815" s="83" t="s">
        <v>89</v>
      </c>
    </row>
    <row r="2816" spans="1:8" ht="16.5" customHeight="1" x14ac:dyDescent="0.25">
      <c r="A2816" s="27">
        <v>45987</v>
      </c>
      <c r="B2816" s="80">
        <v>2025</v>
      </c>
      <c r="C2816" s="80">
        <v>11</v>
      </c>
      <c r="D2816" s="30" t="s">
        <v>67</v>
      </c>
      <c r="E2816" s="30" t="s">
        <v>68</v>
      </c>
      <c r="F2816" s="30" t="s">
        <v>43</v>
      </c>
      <c r="G2816" s="33">
        <v>8.8360000000000003</v>
      </c>
      <c r="H2816" s="83" t="s">
        <v>89</v>
      </c>
    </row>
    <row r="2817" spans="1:8" ht="16.5" customHeight="1" x14ac:dyDescent="0.25">
      <c r="A2817" s="27">
        <v>45987</v>
      </c>
      <c r="B2817" s="80">
        <v>2025</v>
      </c>
      <c r="C2817" s="80">
        <v>11</v>
      </c>
      <c r="D2817" s="30" t="s">
        <v>67</v>
      </c>
      <c r="E2817" s="30" t="s">
        <v>74</v>
      </c>
      <c r="F2817" s="30" t="s">
        <v>43</v>
      </c>
      <c r="G2817" s="33">
        <v>5.9452800000000003</v>
      </c>
      <c r="H2817" s="83" t="s">
        <v>89</v>
      </c>
    </row>
    <row r="2818" spans="1:8" ht="16.5" customHeight="1" x14ac:dyDescent="0.25">
      <c r="A2818" s="27">
        <v>45987</v>
      </c>
      <c r="B2818" s="80">
        <v>2025</v>
      </c>
      <c r="C2818" s="80">
        <v>11</v>
      </c>
      <c r="D2818" s="30" t="s">
        <v>67</v>
      </c>
      <c r="E2818" s="30" t="s">
        <v>75</v>
      </c>
      <c r="F2818" s="30" t="s">
        <v>43</v>
      </c>
      <c r="G2818" s="33">
        <v>12.78160725</v>
      </c>
      <c r="H2818" s="83" t="s">
        <v>48</v>
      </c>
    </row>
    <row r="2819" spans="1:8" ht="16.5" customHeight="1" x14ac:dyDescent="0.25">
      <c r="A2819" s="27">
        <v>45987</v>
      </c>
      <c r="B2819" s="80">
        <v>2025</v>
      </c>
      <c r="C2819" s="80">
        <v>11</v>
      </c>
      <c r="D2819" s="30" t="s">
        <v>67</v>
      </c>
      <c r="E2819" s="30" t="s">
        <v>76</v>
      </c>
      <c r="F2819" s="30" t="s">
        <v>39</v>
      </c>
      <c r="G2819" s="33">
        <v>218.64400000000001</v>
      </c>
      <c r="H2819" s="83" t="s">
        <v>48</v>
      </c>
    </row>
    <row r="2820" spans="1:8" ht="16.5" customHeight="1" x14ac:dyDescent="0.25">
      <c r="A2820" s="27">
        <v>45988</v>
      </c>
      <c r="B2820" s="80">
        <v>2025</v>
      </c>
      <c r="C2820" s="80">
        <v>11</v>
      </c>
      <c r="D2820" s="30" t="s">
        <v>67</v>
      </c>
      <c r="E2820" s="30" t="s">
        <v>38</v>
      </c>
      <c r="F2820" s="30" t="s">
        <v>43</v>
      </c>
      <c r="G2820" s="33">
        <v>1.715076</v>
      </c>
      <c r="H2820" s="83" t="s">
        <v>88</v>
      </c>
    </row>
    <row r="2821" spans="1:8" ht="16.5" customHeight="1" x14ac:dyDescent="0.25">
      <c r="A2821" s="27">
        <v>45988</v>
      </c>
      <c r="B2821" s="80">
        <v>2025</v>
      </c>
      <c r="C2821" s="80">
        <v>11</v>
      </c>
      <c r="D2821" s="30" t="s">
        <v>67</v>
      </c>
      <c r="E2821" s="30" t="s">
        <v>42</v>
      </c>
      <c r="F2821" s="30" t="s">
        <v>43</v>
      </c>
      <c r="G2821" s="33">
        <v>2.4750000000000001</v>
      </c>
      <c r="H2821" s="83" t="s">
        <v>88</v>
      </c>
    </row>
    <row r="2822" spans="1:8" ht="16.5" customHeight="1" x14ac:dyDescent="0.25">
      <c r="A2822" s="27">
        <v>45988</v>
      </c>
      <c r="B2822" s="80">
        <v>2025</v>
      </c>
      <c r="C2822" s="80">
        <v>11</v>
      </c>
      <c r="D2822" s="30" t="s">
        <v>67</v>
      </c>
      <c r="E2822" s="30" t="s">
        <v>46</v>
      </c>
      <c r="F2822" s="30" t="s">
        <v>43</v>
      </c>
      <c r="G2822" s="33">
        <v>0.66651329999999998</v>
      </c>
      <c r="H2822" s="83" t="s">
        <v>88</v>
      </c>
    </row>
    <row r="2823" spans="1:8" ht="16.5" customHeight="1" x14ac:dyDescent="0.25">
      <c r="A2823" s="27">
        <v>45988</v>
      </c>
      <c r="B2823" s="80">
        <v>2025</v>
      </c>
      <c r="C2823" s="80">
        <v>11</v>
      </c>
      <c r="D2823" s="30" t="s">
        <v>67</v>
      </c>
      <c r="E2823" s="30" t="s">
        <v>50</v>
      </c>
      <c r="F2823" s="30" t="s">
        <v>43</v>
      </c>
      <c r="G2823" s="33">
        <v>6.7937287</v>
      </c>
      <c r="H2823" s="83" t="s">
        <v>88</v>
      </c>
    </row>
    <row r="2824" spans="1:8" ht="16.5" customHeight="1" x14ac:dyDescent="0.25">
      <c r="A2824" s="27">
        <v>45988</v>
      </c>
      <c r="B2824" s="80">
        <v>2025</v>
      </c>
      <c r="C2824" s="80">
        <v>11</v>
      </c>
      <c r="D2824" s="30" t="s">
        <v>67</v>
      </c>
      <c r="E2824" s="30" t="s">
        <v>50</v>
      </c>
      <c r="F2824" s="30" t="s">
        <v>47</v>
      </c>
      <c r="G2824" s="33">
        <v>1.2432000000000001</v>
      </c>
      <c r="H2824" s="83" t="s">
        <v>88</v>
      </c>
    </row>
    <row r="2825" spans="1:8" ht="16.5" customHeight="1" x14ac:dyDescent="0.25">
      <c r="A2825" s="27">
        <v>45988</v>
      </c>
      <c r="B2825" s="80">
        <v>2025</v>
      </c>
      <c r="C2825" s="80">
        <v>11</v>
      </c>
      <c r="D2825" s="30" t="s">
        <v>67</v>
      </c>
      <c r="E2825" s="30" t="s">
        <v>54</v>
      </c>
      <c r="F2825" s="30" t="s">
        <v>43</v>
      </c>
      <c r="G2825" s="33">
        <v>2.9049999999999998</v>
      </c>
      <c r="H2825" s="83" t="s">
        <v>88</v>
      </c>
    </row>
    <row r="2826" spans="1:8" ht="16.5" customHeight="1" x14ac:dyDescent="0.25">
      <c r="A2826" s="27">
        <v>45988</v>
      </c>
      <c r="B2826" s="80">
        <v>2025</v>
      </c>
      <c r="C2826" s="80">
        <v>11</v>
      </c>
      <c r="D2826" s="30" t="s">
        <v>67</v>
      </c>
      <c r="E2826" s="30" t="s">
        <v>68</v>
      </c>
      <c r="F2826" s="30" t="s">
        <v>43</v>
      </c>
      <c r="G2826" s="33">
        <v>5.4394600000000004</v>
      </c>
      <c r="H2826" s="83" t="s">
        <v>89</v>
      </c>
    </row>
    <row r="2827" spans="1:8" ht="16.5" customHeight="1" x14ac:dyDescent="0.25">
      <c r="A2827" s="27">
        <v>45988</v>
      </c>
      <c r="B2827" s="80">
        <v>2025</v>
      </c>
      <c r="C2827" s="80">
        <v>11</v>
      </c>
      <c r="D2827" s="30" t="s">
        <v>67</v>
      </c>
      <c r="E2827" s="30" t="s">
        <v>71</v>
      </c>
      <c r="F2827" s="30" t="s">
        <v>43</v>
      </c>
      <c r="G2827" s="33">
        <v>40.713000000000001</v>
      </c>
      <c r="H2827" s="83" t="s">
        <v>89</v>
      </c>
    </row>
    <row r="2828" spans="1:8" ht="16.5" customHeight="1" x14ac:dyDescent="0.25">
      <c r="A2828" s="27">
        <v>45988</v>
      </c>
      <c r="B2828" s="80">
        <v>2025</v>
      </c>
      <c r="C2828" s="80">
        <v>11</v>
      </c>
      <c r="D2828" s="30" t="s">
        <v>67</v>
      </c>
      <c r="E2828" s="30" t="s">
        <v>73</v>
      </c>
      <c r="F2828" s="30" t="s">
        <v>43</v>
      </c>
      <c r="G2828" s="33">
        <v>1.2789999999999999</v>
      </c>
      <c r="H2828" s="83" t="s">
        <v>89</v>
      </c>
    </row>
    <row r="2829" spans="1:8" ht="16.5" customHeight="1" x14ac:dyDescent="0.25">
      <c r="A2829" s="27">
        <v>45988</v>
      </c>
      <c r="B2829" s="80">
        <v>2025</v>
      </c>
      <c r="C2829" s="80">
        <v>11</v>
      </c>
      <c r="D2829" s="30" t="s">
        <v>67</v>
      </c>
      <c r="E2829" s="30" t="s">
        <v>74</v>
      </c>
      <c r="F2829" s="30" t="s">
        <v>43</v>
      </c>
      <c r="G2829" s="33">
        <v>4.5136000000000003</v>
      </c>
      <c r="H2829" s="83" t="s">
        <v>89</v>
      </c>
    </row>
    <row r="2830" spans="1:8" ht="16.5" customHeight="1" x14ac:dyDescent="0.25">
      <c r="A2830" s="27">
        <v>45988</v>
      </c>
      <c r="B2830" s="80">
        <v>2025</v>
      </c>
      <c r="C2830" s="80">
        <v>11</v>
      </c>
      <c r="D2830" s="30" t="s">
        <v>67</v>
      </c>
      <c r="E2830" s="30" t="s">
        <v>76</v>
      </c>
      <c r="F2830" s="30" t="s">
        <v>39</v>
      </c>
      <c r="G2830" s="33">
        <v>47.797199999999997</v>
      </c>
      <c r="H2830" s="83" t="s">
        <v>48</v>
      </c>
    </row>
    <row r="2831" spans="1:8" ht="16.5" customHeight="1" x14ac:dyDescent="0.25">
      <c r="A2831" s="27">
        <v>45989</v>
      </c>
      <c r="B2831" s="80">
        <v>2025</v>
      </c>
      <c r="C2831" s="80">
        <v>11</v>
      </c>
      <c r="D2831" s="30" t="s">
        <v>67</v>
      </c>
      <c r="E2831" s="30" t="s">
        <v>38</v>
      </c>
      <c r="F2831" s="30" t="s">
        <v>43</v>
      </c>
      <c r="G2831" s="33">
        <v>3.8144999999999998</v>
      </c>
      <c r="H2831" s="83" t="s">
        <v>88</v>
      </c>
    </row>
    <row r="2832" spans="1:8" ht="16.5" customHeight="1" x14ac:dyDescent="0.25">
      <c r="A2832" s="27">
        <v>45989</v>
      </c>
      <c r="B2832" s="80">
        <v>2025</v>
      </c>
      <c r="C2832" s="80">
        <v>11</v>
      </c>
      <c r="D2832" s="30" t="s">
        <v>67</v>
      </c>
      <c r="E2832" s="30" t="s">
        <v>46</v>
      </c>
      <c r="F2832" s="30" t="s">
        <v>43</v>
      </c>
      <c r="G2832" s="33">
        <v>5.2110000000000003</v>
      </c>
      <c r="H2832" s="83" t="s">
        <v>88</v>
      </c>
    </row>
    <row r="2833" spans="1:8" ht="16.5" customHeight="1" x14ac:dyDescent="0.25">
      <c r="A2833" s="27">
        <v>45989</v>
      </c>
      <c r="B2833" s="80">
        <v>2025</v>
      </c>
      <c r="C2833" s="80">
        <v>11</v>
      </c>
      <c r="D2833" s="30" t="s">
        <v>67</v>
      </c>
      <c r="E2833" s="30" t="s">
        <v>46</v>
      </c>
      <c r="F2833" s="30" t="s">
        <v>58</v>
      </c>
      <c r="G2833" s="33">
        <v>0.377496</v>
      </c>
      <c r="H2833" s="83" t="s">
        <v>88</v>
      </c>
    </row>
    <row r="2834" spans="1:8" ht="16.5" customHeight="1" x14ac:dyDescent="0.25">
      <c r="A2834" s="27">
        <v>45989</v>
      </c>
      <c r="B2834" s="80">
        <v>2025</v>
      </c>
      <c r="C2834" s="80">
        <v>11</v>
      </c>
      <c r="D2834" s="30" t="s">
        <v>67</v>
      </c>
      <c r="E2834" s="30" t="s">
        <v>50</v>
      </c>
      <c r="F2834" s="30" t="s">
        <v>43</v>
      </c>
      <c r="G2834" s="33">
        <v>1.5030574000000001</v>
      </c>
      <c r="H2834" s="83" t="s">
        <v>88</v>
      </c>
    </row>
    <row r="2835" spans="1:8" ht="16.5" customHeight="1" x14ac:dyDescent="0.25">
      <c r="A2835" s="27">
        <v>45989</v>
      </c>
      <c r="B2835" s="80">
        <v>2025</v>
      </c>
      <c r="C2835" s="80">
        <v>11</v>
      </c>
      <c r="D2835" s="30" t="s">
        <v>67</v>
      </c>
      <c r="E2835" s="30" t="s">
        <v>50</v>
      </c>
      <c r="F2835" s="30" t="s">
        <v>47</v>
      </c>
      <c r="G2835" s="33">
        <v>1.2432000000000001</v>
      </c>
      <c r="H2835" s="83" t="s">
        <v>88</v>
      </c>
    </row>
    <row r="2836" spans="1:8" ht="16.5" customHeight="1" x14ac:dyDescent="0.25">
      <c r="A2836" s="27">
        <v>45989</v>
      </c>
      <c r="B2836" s="80">
        <v>2025</v>
      </c>
      <c r="C2836" s="80">
        <v>11</v>
      </c>
      <c r="D2836" s="30" t="s">
        <v>67</v>
      </c>
      <c r="E2836" s="30" t="s">
        <v>50</v>
      </c>
      <c r="F2836" s="30" t="s">
        <v>51</v>
      </c>
      <c r="G2836" s="33">
        <v>0.51</v>
      </c>
      <c r="H2836" s="83" t="s">
        <v>88</v>
      </c>
    </row>
    <row r="2837" spans="1:8" ht="16.5" customHeight="1" x14ac:dyDescent="0.25">
      <c r="A2837" s="27">
        <v>45989</v>
      </c>
      <c r="B2837" s="80">
        <v>2025</v>
      </c>
      <c r="C2837" s="80">
        <v>11</v>
      </c>
      <c r="D2837" s="30" t="s">
        <v>67</v>
      </c>
      <c r="E2837" s="30" t="s">
        <v>50</v>
      </c>
      <c r="F2837" s="30" t="s">
        <v>58</v>
      </c>
      <c r="G2837" s="33">
        <v>2.2861159199999999</v>
      </c>
      <c r="H2837" s="83" t="s">
        <v>88</v>
      </c>
    </row>
    <row r="2838" spans="1:8" ht="16.5" customHeight="1" x14ac:dyDescent="0.25">
      <c r="A2838" s="27">
        <v>45989</v>
      </c>
      <c r="B2838" s="80">
        <v>2025</v>
      </c>
      <c r="C2838" s="80">
        <v>11</v>
      </c>
      <c r="D2838" s="30" t="s">
        <v>67</v>
      </c>
      <c r="E2838" s="30" t="s">
        <v>54</v>
      </c>
      <c r="F2838" s="30" t="s">
        <v>43</v>
      </c>
      <c r="G2838" s="33">
        <v>3.9106999999999998</v>
      </c>
      <c r="H2838" s="83" t="s">
        <v>88</v>
      </c>
    </row>
    <row r="2839" spans="1:8" ht="16.5" customHeight="1" x14ac:dyDescent="0.25">
      <c r="A2839" s="27">
        <v>45989</v>
      </c>
      <c r="B2839" s="80">
        <v>2025</v>
      </c>
      <c r="C2839" s="80">
        <v>11</v>
      </c>
      <c r="D2839" s="30" t="s">
        <v>67</v>
      </c>
      <c r="E2839" s="30" t="s">
        <v>54</v>
      </c>
      <c r="F2839" s="30" t="s">
        <v>47</v>
      </c>
      <c r="G2839" s="33">
        <v>9.0999999999999998E-2</v>
      </c>
      <c r="H2839" s="83" t="s">
        <v>88</v>
      </c>
    </row>
    <row r="2840" spans="1:8" ht="16.5" customHeight="1" x14ac:dyDescent="0.25">
      <c r="A2840" s="27">
        <v>45989</v>
      </c>
      <c r="B2840" s="80">
        <v>2025</v>
      </c>
      <c r="C2840" s="80">
        <v>11</v>
      </c>
      <c r="D2840" s="30" t="s">
        <v>67</v>
      </c>
      <c r="E2840" s="30" t="s">
        <v>61</v>
      </c>
      <c r="F2840" s="30" t="s">
        <v>55</v>
      </c>
      <c r="G2840" s="33">
        <v>0.6</v>
      </c>
      <c r="H2840" s="83" t="s">
        <v>89</v>
      </c>
    </row>
    <row r="2841" spans="1:8" ht="16.5" customHeight="1" x14ac:dyDescent="0.25">
      <c r="A2841" s="27">
        <v>45989</v>
      </c>
      <c r="B2841" s="80">
        <v>2025</v>
      </c>
      <c r="C2841" s="80">
        <v>11</v>
      </c>
      <c r="D2841" s="30" t="s">
        <v>67</v>
      </c>
      <c r="E2841" s="30" t="s">
        <v>66</v>
      </c>
      <c r="F2841" s="30" t="s">
        <v>39</v>
      </c>
      <c r="G2841" s="33">
        <v>3.3799999999999997E-2</v>
      </c>
      <c r="H2841" s="83" t="s">
        <v>89</v>
      </c>
    </row>
    <row r="2842" spans="1:8" ht="16.5" customHeight="1" x14ac:dyDescent="0.25">
      <c r="A2842" s="27">
        <v>45989</v>
      </c>
      <c r="B2842" s="80">
        <v>2025</v>
      </c>
      <c r="C2842" s="80">
        <v>11</v>
      </c>
      <c r="D2842" s="30" t="s">
        <v>67</v>
      </c>
      <c r="E2842" s="30" t="s">
        <v>66</v>
      </c>
      <c r="F2842" s="30" t="s">
        <v>47</v>
      </c>
      <c r="G2842" s="33">
        <v>0.5</v>
      </c>
      <c r="H2842" s="83" t="s">
        <v>89</v>
      </c>
    </row>
    <row r="2843" spans="1:8" ht="16.5" customHeight="1" x14ac:dyDescent="0.25">
      <c r="A2843" s="27">
        <v>45989</v>
      </c>
      <c r="B2843" s="80">
        <v>2025</v>
      </c>
      <c r="C2843" s="80">
        <v>11</v>
      </c>
      <c r="D2843" s="30" t="s">
        <v>67</v>
      </c>
      <c r="E2843" s="30" t="s">
        <v>68</v>
      </c>
      <c r="F2843" s="30" t="s">
        <v>43</v>
      </c>
      <c r="G2843" s="33">
        <v>2.1869999999999998</v>
      </c>
      <c r="H2843" s="83" t="s">
        <v>89</v>
      </c>
    </row>
    <row r="2844" spans="1:8" ht="16.5" customHeight="1" x14ac:dyDescent="0.25">
      <c r="A2844" s="27">
        <v>45989</v>
      </c>
      <c r="B2844" s="80">
        <v>2025</v>
      </c>
      <c r="C2844" s="80">
        <v>11</v>
      </c>
      <c r="D2844" s="30" t="s">
        <v>67</v>
      </c>
      <c r="E2844" s="30" t="s">
        <v>75</v>
      </c>
      <c r="F2844" s="30" t="s">
        <v>43</v>
      </c>
      <c r="G2844" s="33">
        <v>0.47767500000000002</v>
      </c>
      <c r="H2844" s="83" t="s">
        <v>48</v>
      </c>
    </row>
    <row r="2845" spans="1:8" ht="16.5" customHeight="1" x14ac:dyDescent="0.25">
      <c r="A2845" s="27">
        <v>45992</v>
      </c>
      <c r="B2845" s="80">
        <v>2025</v>
      </c>
      <c r="C2845" s="80">
        <v>12</v>
      </c>
      <c r="D2845" s="30" t="s">
        <v>70</v>
      </c>
      <c r="E2845" s="30" t="s">
        <v>38</v>
      </c>
      <c r="F2845" s="30" t="s">
        <v>43</v>
      </c>
      <c r="G2845" s="33">
        <v>2.3500260000000002</v>
      </c>
      <c r="H2845" s="83" t="s">
        <v>88</v>
      </c>
    </row>
    <row r="2846" spans="1:8" ht="16.5" customHeight="1" x14ac:dyDescent="0.25">
      <c r="A2846" s="27">
        <v>45992</v>
      </c>
      <c r="B2846" s="80">
        <v>2025</v>
      </c>
      <c r="C2846" s="80">
        <v>12</v>
      </c>
      <c r="D2846" s="30" t="s">
        <v>70</v>
      </c>
      <c r="E2846" s="30" t="s">
        <v>38</v>
      </c>
      <c r="F2846" s="30" t="s">
        <v>55</v>
      </c>
      <c r="G2846" s="33">
        <v>0.33</v>
      </c>
      <c r="H2846" s="83" t="s">
        <v>88</v>
      </c>
    </row>
    <row r="2847" spans="1:8" ht="16.5" customHeight="1" x14ac:dyDescent="0.25">
      <c r="A2847" s="27">
        <v>45992</v>
      </c>
      <c r="B2847" s="80">
        <v>2025</v>
      </c>
      <c r="C2847" s="80">
        <v>12</v>
      </c>
      <c r="D2847" s="30" t="s">
        <v>70</v>
      </c>
      <c r="E2847" s="30" t="s">
        <v>38</v>
      </c>
      <c r="F2847" s="30" t="s">
        <v>58</v>
      </c>
      <c r="G2847" s="33">
        <v>0.69377140000000004</v>
      </c>
      <c r="H2847" s="83" t="s">
        <v>88</v>
      </c>
    </row>
    <row r="2848" spans="1:8" ht="16.5" customHeight="1" x14ac:dyDescent="0.25">
      <c r="A2848" s="27">
        <v>45992</v>
      </c>
      <c r="B2848" s="80">
        <v>2025</v>
      </c>
      <c r="C2848" s="80">
        <v>12</v>
      </c>
      <c r="D2848" s="30" t="s">
        <v>70</v>
      </c>
      <c r="E2848" s="30" t="s">
        <v>42</v>
      </c>
      <c r="F2848" s="30" t="s">
        <v>43</v>
      </c>
      <c r="G2848" s="33">
        <v>3.8519999999999999</v>
      </c>
      <c r="H2848" s="83" t="s">
        <v>88</v>
      </c>
    </row>
    <row r="2849" spans="1:8" ht="16.5" customHeight="1" x14ac:dyDescent="0.25">
      <c r="A2849" s="27">
        <v>45992</v>
      </c>
      <c r="B2849" s="80">
        <v>2025</v>
      </c>
      <c r="C2849" s="80">
        <v>12</v>
      </c>
      <c r="D2849" s="30" t="s">
        <v>70</v>
      </c>
      <c r="E2849" s="30" t="s">
        <v>46</v>
      </c>
      <c r="F2849" s="30" t="s">
        <v>43</v>
      </c>
      <c r="G2849" s="33">
        <v>0.58050000000000002</v>
      </c>
      <c r="H2849" s="83" t="s">
        <v>88</v>
      </c>
    </row>
    <row r="2850" spans="1:8" ht="16.5" customHeight="1" x14ac:dyDescent="0.25">
      <c r="A2850" s="27">
        <v>45992</v>
      </c>
      <c r="B2850" s="80">
        <v>2025</v>
      </c>
      <c r="C2850" s="80">
        <v>12</v>
      </c>
      <c r="D2850" s="30" t="s">
        <v>70</v>
      </c>
      <c r="E2850" s="30" t="s">
        <v>46</v>
      </c>
      <c r="F2850" s="30" t="s">
        <v>58</v>
      </c>
      <c r="G2850" s="33">
        <v>0.3276</v>
      </c>
      <c r="H2850" s="83" t="s">
        <v>88</v>
      </c>
    </row>
    <row r="2851" spans="1:8" ht="16.5" customHeight="1" x14ac:dyDescent="0.25">
      <c r="A2851" s="27">
        <v>45992</v>
      </c>
      <c r="B2851" s="80">
        <v>2025</v>
      </c>
      <c r="C2851" s="80">
        <v>12</v>
      </c>
      <c r="D2851" s="30" t="s">
        <v>70</v>
      </c>
      <c r="E2851" s="30" t="s">
        <v>50</v>
      </c>
      <c r="F2851" s="30" t="s">
        <v>43</v>
      </c>
      <c r="G2851" s="33">
        <v>25.47829085</v>
      </c>
      <c r="H2851" s="83" t="s">
        <v>88</v>
      </c>
    </row>
    <row r="2852" spans="1:8" ht="16.5" customHeight="1" x14ac:dyDescent="0.25">
      <c r="A2852" s="27">
        <v>45992</v>
      </c>
      <c r="B2852" s="80">
        <v>2025</v>
      </c>
      <c r="C2852" s="80">
        <v>12</v>
      </c>
      <c r="D2852" s="30" t="s">
        <v>70</v>
      </c>
      <c r="E2852" s="30" t="s">
        <v>50</v>
      </c>
      <c r="F2852" s="30" t="s">
        <v>47</v>
      </c>
      <c r="G2852" s="33">
        <v>0.61199999999999999</v>
      </c>
      <c r="H2852" s="83" t="s">
        <v>88</v>
      </c>
    </row>
    <row r="2853" spans="1:8" ht="16.5" customHeight="1" x14ac:dyDescent="0.25">
      <c r="A2853" s="27">
        <v>45992</v>
      </c>
      <c r="B2853" s="80">
        <v>2025</v>
      </c>
      <c r="C2853" s="80">
        <v>12</v>
      </c>
      <c r="D2853" s="30" t="s">
        <v>70</v>
      </c>
      <c r="E2853" s="30" t="s">
        <v>50</v>
      </c>
      <c r="F2853" s="30" t="s">
        <v>55</v>
      </c>
      <c r="G2853" s="33">
        <v>0.17849999999999999</v>
      </c>
      <c r="H2853" s="83" t="s">
        <v>88</v>
      </c>
    </row>
    <row r="2854" spans="1:8" ht="16.5" customHeight="1" x14ac:dyDescent="0.25">
      <c r="A2854" s="27">
        <v>45992</v>
      </c>
      <c r="B2854" s="80">
        <v>2025</v>
      </c>
      <c r="C2854" s="80">
        <v>12</v>
      </c>
      <c r="D2854" s="30" t="s">
        <v>70</v>
      </c>
      <c r="E2854" s="30" t="s">
        <v>50</v>
      </c>
      <c r="F2854" s="30" t="s">
        <v>58</v>
      </c>
      <c r="G2854" s="33">
        <v>0.46235749999999998</v>
      </c>
      <c r="H2854" s="83" t="s">
        <v>88</v>
      </c>
    </row>
    <row r="2855" spans="1:8" ht="16.5" customHeight="1" x14ac:dyDescent="0.25">
      <c r="A2855" s="27">
        <v>45992</v>
      </c>
      <c r="B2855" s="80">
        <v>2025</v>
      </c>
      <c r="C2855" s="80">
        <v>12</v>
      </c>
      <c r="D2855" s="30" t="s">
        <v>70</v>
      </c>
      <c r="E2855" s="30" t="s">
        <v>54</v>
      </c>
      <c r="F2855" s="30" t="s">
        <v>43</v>
      </c>
      <c r="G2855" s="33">
        <v>35.069499999999998</v>
      </c>
      <c r="H2855" s="83" t="s">
        <v>88</v>
      </c>
    </row>
    <row r="2856" spans="1:8" ht="16.5" customHeight="1" x14ac:dyDescent="0.25">
      <c r="A2856" s="27">
        <v>45992</v>
      </c>
      <c r="B2856" s="80">
        <v>2025</v>
      </c>
      <c r="C2856" s="80">
        <v>12</v>
      </c>
      <c r="D2856" s="30" t="s">
        <v>70</v>
      </c>
      <c r="E2856" s="30" t="s">
        <v>75</v>
      </c>
      <c r="F2856" s="30" t="s">
        <v>43</v>
      </c>
      <c r="G2856" s="33">
        <v>14.0624</v>
      </c>
      <c r="H2856" s="83" t="s">
        <v>48</v>
      </c>
    </row>
    <row r="2857" spans="1:8" ht="16.5" customHeight="1" x14ac:dyDescent="0.25">
      <c r="A2857" s="27">
        <v>45993</v>
      </c>
      <c r="B2857" s="80">
        <v>2025</v>
      </c>
      <c r="C2857" s="80">
        <v>12</v>
      </c>
      <c r="D2857" s="30" t="s">
        <v>70</v>
      </c>
      <c r="E2857" s="30" t="s">
        <v>38</v>
      </c>
      <c r="F2857" s="30" t="s">
        <v>43</v>
      </c>
      <c r="G2857" s="33">
        <v>0.56399999999999995</v>
      </c>
      <c r="H2857" s="83" t="s">
        <v>88</v>
      </c>
    </row>
    <row r="2858" spans="1:8" ht="16.5" customHeight="1" x14ac:dyDescent="0.25">
      <c r="A2858" s="27">
        <v>45993</v>
      </c>
      <c r="B2858" s="80">
        <v>2025</v>
      </c>
      <c r="C2858" s="80">
        <v>12</v>
      </c>
      <c r="D2858" s="30" t="s">
        <v>70</v>
      </c>
      <c r="E2858" s="30" t="s">
        <v>42</v>
      </c>
      <c r="F2858" s="30" t="s">
        <v>43</v>
      </c>
      <c r="G2858" s="33">
        <v>3.7404000000000002</v>
      </c>
      <c r="H2858" s="83" t="s">
        <v>88</v>
      </c>
    </row>
    <row r="2859" spans="1:8" ht="16.5" customHeight="1" x14ac:dyDescent="0.25">
      <c r="A2859" s="27">
        <v>45993</v>
      </c>
      <c r="B2859" s="80">
        <v>2025</v>
      </c>
      <c r="C2859" s="80">
        <v>12</v>
      </c>
      <c r="D2859" s="30" t="s">
        <v>70</v>
      </c>
      <c r="E2859" s="30" t="s">
        <v>46</v>
      </c>
      <c r="F2859" s="30" t="s">
        <v>43</v>
      </c>
      <c r="G2859" s="33">
        <v>1.2762089999999999</v>
      </c>
      <c r="H2859" s="83" t="s">
        <v>88</v>
      </c>
    </row>
    <row r="2860" spans="1:8" ht="16.5" customHeight="1" x14ac:dyDescent="0.25">
      <c r="A2860" s="27">
        <v>45993</v>
      </c>
      <c r="B2860" s="80">
        <v>2025</v>
      </c>
      <c r="C2860" s="80">
        <v>12</v>
      </c>
      <c r="D2860" s="30" t="s">
        <v>70</v>
      </c>
      <c r="E2860" s="30" t="s">
        <v>46</v>
      </c>
      <c r="F2860" s="30" t="s">
        <v>58</v>
      </c>
      <c r="G2860" s="33">
        <v>0.69313491999999999</v>
      </c>
      <c r="H2860" s="83" t="s">
        <v>88</v>
      </c>
    </row>
    <row r="2861" spans="1:8" ht="16.5" customHeight="1" x14ac:dyDescent="0.25">
      <c r="A2861" s="27">
        <v>45993</v>
      </c>
      <c r="B2861" s="80">
        <v>2025</v>
      </c>
      <c r="C2861" s="80">
        <v>12</v>
      </c>
      <c r="D2861" s="30" t="s">
        <v>70</v>
      </c>
      <c r="E2861" s="30" t="s">
        <v>50</v>
      </c>
      <c r="F2861" s="30" t="s">
        <v>43</v>
      </c>
      <c r="G2861" s="33">
        <v>19.940999999999999</v>
      </c>
      <c r="H2861" s="83" t="s">
        <v>88</v>
      </c>
    </row>
    <row r="2862" spans="1:8" ht="16.5" customHeight="1" x14ac:dyDescent="0.25">
      <c r="A2862" s="27">
        <v>45993</v>
      </c>
      <c r="B2862" s="80">
        <v>2025</v>
      </c>
      <c r="C2862" s="80">
        <v>12</v>
      </c>
      <c r="D2862" s="30" t="s">
        <v>70</v>
      </c>
      <c r="E2862" s="30" t="s">
        <v>50</v>
      </c>
      <c r="F2862" s="30" t="s">
        <v>55</v>
      </c>
      <c r="G2862" s="33">
        <v>2.6520000000000001</v>
      </c>
      <c r="H2862" s="83" t="s">
        <v>88</v>
      </c>
    </row>
    <row r="2863" spans="1:8" ht="16.5" customHeight="1" x14ac:dyDescent="0.25">
      <c r="A2863" s="27">
        <v>45993</v>
      </c>
      <c r="B2863" s="80">
        <v>2025</v>
      </c>
      <c r="C2863" s="80">
        <v>12</v>
      </c>
      <c r="D2863" s="30" t="s">
        <v>70</v>
      </c>
      <c r="E2863" s="30" t="s">
        <v>50</v>
      </c>
      <c r="F2863" s="30" t="s">
        <v>58</v>
      </c>
      <c r="G2863" s="33">
        <v>0.37175775</v>
      </c>
      <c r="H2863" s="83" t="s">
        <v>88</v>
      </c>
    </row>
    <row r="2864" spans="1:8" ht="16.5" customHeight="1" x14ac:dyDescent="0.25">
      <c r="A2864" s="27">
        <v>45993</v>
      </c>
      <c r="B2864" s="80">
        <v>2025</v>
      </c>
      <c r="C2864" s="80">
        <v>12</v>
      </c>
      <c r="D2864" s="30" t="s">
        <v>70</v>
      </c>
      <c r="E2864" s="30" t="s">
        <v>54</v>
      </c>
      <c r="F2864" s="30" t="s">
        <v>43</v>
      </c>
      <c r="G2864" s="33">
        <v>3.6105</v>
      </c>
      <c r="H2864" s="83" t="s">
        <v>88</v>
      </c>
    </row>
    <row r="2865" spans="1:8" ht="16.5" customHeight="1" x14ac:dyDescent="0.25">
      <c r="A2865" s="27">
        <v>45993</v>
      </c>
      <c r="B2865" s="80">
        <v>2025</v>
      </c>
      <c r="C2865" s="80">
        <v>12</v>
      </c>
      <c r="D2865" s="30" t="s">
        <v>70</v>
      </c>
      <c r="E2865" s="30" t="s">
        <v>54</v>
      </c>
      <c r="F2865" s="30" t="s">
        <v>47</v>
      </c>
      <c r="G2865" s="33">
        <v>0.22500000000000001</v>
      </c>
      <c r="H2865" s="83" t="s">
        <v>88</v>
      </c>
    </row>
    <row r="2866" spans="1:8" ht="16.5" customHeight="1" x14ac:dyDescent="0.25">
      <c r="A2866" s="27">
        <v>45993</v>
      </c>
      <c r="B2866" s="80">
        <v>2025</v>
      </c>
      <c r="C2866" s="80">
        <v>12</v>
      </c>
      <c r="D2866" s="30" t="s">
        <v>70</v>
      </c>
      <c r="E2866" s="30" t="s">
        <v>64</v>
      </c>
      <c r="F2866" s="30" t="s">
        <v>43</v>
      </c>
      <c r="G2866" s="33">
        <v>15.12</v>
      </c>
      <c r="H2866" s="83" t="s">
        <v>89</v>
      </c>
    </row>
    <row r="2867" spans="1:8" ht="16.5" customHeight="1" x14ac:dyDescent="0.25">
      <c r="A2867" s="27">
        <v>45993</v>
      </c>
      <c r="B2867" s="80">
        <v>2025</v>
      </c>
      <c r="C2867" s="80">
        <v>12</v>
      </c>
      <c r="D2867" s="30" t="s">
        <v>70</v>
      </c>
      <c r="E2867" s="30" t="s">
        <v>66</v>
      </c>
      <c r="F2867" s="30" t="s">
        <v>43</v>
      </c>
      <c r="G2867" s="33">
        <v>21.004999999999999</v>
      </c>
      <c r="H2867" s="83" t="s">
        <v>89</v>
      </c>
    </row>
    <row r="2868" spans="1:8" ht="16.5" customHeight="1" x14ac:dyDescent="0.25">
      <c r="A2868" s="27">
        <v>45993</v>
      </c>
      <c r="B2868" s="80">
        <v>2025</v>
      </c>
      <c r="C2868" s="80">
        <v>12</v>
      </c>
      <c r="D2868" s="30" t="s">
        <v>70</v>
      </c>
      <c r="E2868" s="30" t="s">
        <v>68</v>
      </c>
      <c r="F2868" s="30" t="s">
        <v>43</v>
      </c>
      <c r="G2868" s="33">
        <v>1.43</v>
      </c>
      <c r="H2868" s="83" t="s">
        <v>89</v>
      </c>
    </row>
    <row r="2869" spans="1:8" ht="16.5" customHeight="1" x14ac:dyDescent="0.25">
      <c r="A2869" s="27">
        <v>45993</v>
      </c>
      <c r="B2869" s="80">
        <v>2025</v>
      </c>
      <c r="C2869" s="80">
        <v>12</v>
      </c>
      <c r="D2869" s="30" t="s">
        <v>70</v>
      </c>
      <c r="E2869" s="30" t="s">
        <v>71</v>
      </c>
      <c r="F2869" s="30" t="s">
        <v>39</v>
      </c>
      <c r="G2869" s="33">
        <v>23.179300000000001</v>
      </c>
      <c r="H2869" s="83" t="s">
        <v>89</v>
      </c>
    </row>
    <row r="2870" spans="1:8" ht="16.5" customHeight="1" x14ac:dyDescent="0.25">
      <c r="A2870" s="27">
        <v>45993</v>
      </c>
      <c r="B2870" s="80">
        <v>2025</v>
      </c>
      <c r="C2870" s="80">
        <v>12</v>
      </c>
      <c r="D2870" s="30" t="s">
        <v>70</v>
      </c>
      <c r="E2870" s="30" t="s">
        <v>71</v>
      </c>
      <c r="F2870" s="30" t="s">
        <v>43</v>
      </c>
      <c r="G2870" s="33">
        <v>26.254799999999999</v>
      </c>
      <c r="H2870" s="83" t="s">
        <v>89</v>
      </c>
    </row>
    <row r="2871" spans="1:8" ht="16.5" customHeight="1" x14ac:dyDescent="0.25">
      <c r="A2871" s="27">
        <v>45993</v>
      </c>
      <c r="B2871" s="80">
        <v>2025</v>
      </c>
      <c r="C2871" s="80">
        <v>12</v>
      </c>
      <c r="D2871" s="30" t="s">
        <v>70</v>
      </c>
      <c r="E2871" s="30" t="s">
        <v>75</v>
      </c>
      <c r="F2871" s="30" t="s">
        <v>43</v>
      </c>
      <c r="G2871" s="33">
        <v>16.336485</v>
      </c>
      <c r="H2871" s="83" t="s">
        <v>48</v>
      </c>
    </row>
    <row r="2872" spans="1:8" ht="16.5" customHeight="1" x14ac:dyDescent="0.25">
      <c r="A2872" s="27">
        <v>45993</v>
      </c>
      <c r="B2872" s="80">
        <v>2025</v>
      </c>
      <c r="C2872" s="80">
        <v>12</v>
      </c>
      <c r="D2872" s="30" t="s">
        <v>70</v>
      </c>
      <c r="E2872" s="30" t="s">
        <v>76</v>
      </c>
      <c r="F2872" s="30" t="s">
        <v>43</v>
      </c>
      <c r="G2872" s="33">
        <v>34.038499999999999</v>
      </c>
      <c r="H2872" s="83" t="s">
        <v>48</v>
      </c>
    </row>
    <row r="2873" spans="1:8" ht="16.5" customHeight="1" x14ac:dyDescent="0.25">
      <c r="A2873" s="27">
        <v>45994</v>
      </c>
      <c r="B2873" s="80">
        <v>2025</v>
      </c>
      <c r="C2873" s="80">
        <v>12</v>
      </c>
      <c r="D2873" s="30" t="s">
        <v>70</v>
      </c>
      <c r="E2873" s="30" t="s">
        <v>46</v>
      </c>
      <c r="F2873" s="30" t="s">
        <v>58</v>
      </c>
      <c r="G2873" s="33">
        <v>0.47225664000000001</v>
      </c>
      <c r="H2873" s="83" t="s">
        <v>88</v>
      </c>
    </row>
    <row r="2874" spans="1:8" ht="16.5" customHeight="1" x14ac:dyDescent="0.25">
      <c r="A2874" s="27">
        <v>45994</v>
      </c>
      <c r="B2874" s="80">
        <v>2025</v>
      </c>
      <c r="C2874" s="80">
        <v>12</v>
      </c>
      <c r="D2874" s="30" t="s">
        <v>70</v>
      </c>
      <c r="E2874" s="30" t="s">
        <v>50</v>
      </c>
      <c r="F2874" s="30" t="s">
        <v>47</v>
      </c>
      <c r="G2874" s="33">
        <v>0.62160000000000004</v>
      </c>
      <c r="H2874" s="83" t="s">
        <v>88</v>
      </c>
    </row>
    <row r="2875" spans="1:8" ht="16.5" customHeight="1" x14ac:dyDescent="0.25">
      <c r="A2875" s="27">
        <v>45994</v>
      </c>
      <c r="B2875" s="80">
        <v>2025</v>
      </c>
      <c r="C2875" s="80">
        <v>12</v>
      </c>
      <c r="D2875" s="30" t="s">
        <v>70</v>
      </c>
      <c r="E2875" s="30" t="s">
        <v>54</v>
      </c>
      <c r="F2875" s="30" t="s">
        <v>43</v>
      </c>
      <c r="G2875" s="33">
        <v>2.27725</v>
      </c>
      <c r="H2875" s="83" t="s">
        <v>88</v>
      </c>
    </row>
    <row r="2876" spans="1:8" ht="16.5" customHeight="1" x14ac:dyDescent="0.25">
      <c r="A2876" s="27">
        <v>45994</v>
      </c>
      <c r="B2876" s="80">
        <v>2025</v>
      </c>
      <c r="C2876" s="80">
        <v>12</v>
      </c>
      <c r="D2876" s="30" t="s">
        <v>70</v>
      </c>
      <c r="E2876" s="30" t="s">
        <v>54</v>
      </c>
      <c r="F2876" s="30" t="s">
        <v>55</v>
      </c>
      <c r="G2876" s="33">
        <v>0.36</v>
      </c>
      <c r="H2876" s="83" t="s">
        <v>88</v>
      </c>
    </row>
    <row r="2877" spans="1:8" ht="16.5" customHeight="1" x14ac:dyDescent="0.25">
      <c r="A2877" s="27">
        <v>45994</v>
      </c>
      <c r="B2877" s="80">
        <v>2025</v>
      </c>
      <c r="C2877" s="80">
        <v>12</v>
      </c>
      <c r="D2877" s="30" t="s">
        <v>70</v>
      </c>
      <c r="E2877" s="30" t="s">
        <v>73</v>
      </c>
      <c r="F2877" s="30" t="s">
        <v>43</v>
      </c>
      <c r="G2877" s="33">
        <v>15.259399999999999</v>
      </c>
      <c r="H2877" s="83" t="s">
        <v>89</v>
      </c>
    </row>
    <row r="2878" spans="1:8" ht="16.5" customHeight="1" x14ac:dyDescent="0.25">
      <c r="A2878" s="27">
        <v>45994</v>
      </c>
      <c r="B2878" s="80">
        <v>2025</v>
      </c>
      <c r="C2878" s="80">
        <v>12</v>
      </c>
      <c r="D2878" s="30" t="s">
        <v>70</v>
      </c>
      <c r="E2878" s="30" t="s">
        <v>76</v>
      </c>
      <c r="F2878" s="30" t="s">
        <v>43</v>
      </c>
      <c r="G2878" s="33">
        <v>1.089601</v>
      </c>
      <c r="H2878" s="83" t="s">
        <v>48</v>
      </c>
    </row>
    <row r="2879" spans="1:8" ht="16.5" customHeight="1" x14ac:dyDescent="0.25">
      <c r="A2879" s="27">
        <v>45995</v>
      </c>
      <c r="B2879" s="80">
        <v>2025</v>
      </c>
      <c r="C2879" s="80">
        <v>12</v>
      </c>
      <c r="D2879" s="30" t="s">
        <v>70</v>
      </c>
      <c r="E2879" s="30" t="s">
        <v>38</v>
      </c>
      <c r="F2879" s="30" t="s">
        <v>43</v>
      </c>
      <c r="G2879" s="33">
        <v>18.649999999999999</v>
      </c>
      <c r="H2879" s="83" t="s">
        <v>88</v>
      </c>
    </row>
    <row r="2880" spans="1:8" ht="16.5" customHeight="1" x14ac:dyDescent="0.25">
      <c r="A2880" s="27">
        <v>45995</v>
      </c>
      <c r="B2880" s="80">
        <v>2025</v>
      </c>
      <c r="C2880" s="80">
        <v>12</v>
      </c>
      <c r="D2880" s="30" t="s">
        <v>70</v>
      </c>
      <c r="E2880" s="30" t="s">
        <v>42</v>
      </c>
      <c r="F2880" s="30" t="s">
        <v>43</v>
      </c>
      <c r="G2880" s="33">
        <v>1.1559999999999999</v>
      </c>
      <c r="H2880" s="83" t="s">
        <v>88</v>
      </c>
    </row>
    <row r="2881" spans="1:8" ht="16.5" customHeight="1" x14ac:dyDescent="0.25">
      <c r="A2881" s="27">
        <v>45995</v>
      </c>
      <c r="B2881" s="80">
        <v>2025</v>
      </c>
      <c r="C2881" s="80">
        <v>12</v>
      </c>
      <c r="D2881" s="30" t="s">
        <v>70</v>
      </c>
      <c r="E2881" s="30" t="s">
        <v>42</v>
      </c>
      <c r="F2881" s="30" t="s">
        <v>47</v>
      </c>
      <c r="G2881" s="33">
        <v>2.9000000000000001E-2</v>
      </c>
      <c r="H2881" s="83" t="s">
        <v>88</v>
      </c>
    </row>
    <row r="2882" spans="1:8" ht="16.5" customHeight="1" x14ac:dyDescent="0.25">
      <c r="A2882" s="27">
        <v>45995</v>
      </c>
      <c r="B2882" s="80">
        <v>2025</v>
      </c>
      <c r="C2882" s="80">
        <v>12</v>
      </c>
      <c r="D2882" s="30" t="s">
        <v>70</v>
      </c>
      <c r="E2882" s="30" t="s">
        <v>42</v>
      </c>
      <c r="F2882" s="30" t="s">
        <v>55</v>
      </c>
      <c r="G2882" s="33">
        <v>7</v>
      </c>
      <c r="H2882" s="83" t="s">
        <v>88</v>
      </c>
    </row>
    <row r="2883" spans="1:8" ht="16.5" customHeight="1" x14ac:dyDescent="0.25">
      <c r="A2883" s="27">
        <v>45995</v>
      </c>
      <c r="B2883" s="80">
        <v>2025</v>
      </c>
      <c r="C2883" s="80">
        <v>12</v>
      </c>
      <c r="D2883" s="30" t="s">
        <v>70</v>
      </c>
      <c r="E2883" s="30" t="s">
        <v>46</v>
      </c>
      <c r="F2883" s="30" t="s">
        <v>58</v>
      </c>
      <c r="G2883" s="33">
        <v>0.96955807999999999</v>
      </c>
      <c r="H2883" s="83" t="s">
        <v>88</v>
      </c>
    </row>
    <row r="2884" spans="1:8" ht="16.5" customHeight="1" x14ac:dyDescent="0.25">
      <c r="A2884" s="27">
        <v>45995</v>
      </c>
      <c r="B2884" s="80">
        <v>2025</v>
      </c>
      <c r="C2884" s="80">
        <v>12</v>
      </c>
      <c r="D2884" s="30" t="s">
        <v>70</v>
      </c>
      <c r="E2884" s="30" t="s">
        <v>50</v>
      </c>
      <c r="F2884" s="30" t="s">
        <v>43</v>
      </c>
      <c r="G2884" s="33">
        <v>2.2341000000000002</v>
      </c>
      <c r="H2884" s="83" t="s">
        <v>88</v>
      </c>
    </row>
    <row r="2885" spans="1:8" ht="16.5" customHeight="1" x14ac:dyDescent="0.25">
      <c r="A2885" s="27">
        <v>45995</v>
      </c>
      <c r="B2885" s="80">
        <v>2025</v>
      </c>
      <c r="C2885" s="80">
        <v>12</v>
      </c>
      <c r="D2885" s="30" t="s">
        <v>70</v>
      </c>
      <c r="E2885" s="30" t="s">
        <v>50</v>
      </c>
      <c r="F2885" s="30" t="s">
        <v>47</v>
      </c>
      <c r="G2885" s="33">
        <v>0.62160000000000004</v>
      </c>
      <c r="H2885" s="83" t="s">
        <v>88</v>
      </c>
    </row>
    <row r="2886" spans="1:8" ht="16.5" customHeight="1" x14ac:dyDescent="0.25">
      <c r="A2886" s="27">
        <v>45995</v>
      </c>
      <c r="B2886" s="80">
        <v>2025</v>
      </c>
      <c r="C2886" s="80">
        <v>12</v>
      </c>
      <c r="D2886" s="30" t="s">
        <v>70</v>
      </c>
      <c r="E2886" s="30" t="s">
        <v>54</v>
      </c>
      <c r="F2886" s="30" t="s">
        <v>43</v>
      </c>
      <c r="G2886" s="33">
        <v>11.374499999999999</v>
      </c>
      <c r="H2886" s="83" t="s">
        <v>88</v>
      </c>
    </row>
    <row r="2887" spans="1:8" ht="16.5" customHeight="1" x14ac:dyDescent="0.25">
      <c r="A2887" s="27">
        <v>45995</v>
      </c>
      <c r="B2887" s="80">
        <v>2025</v>
      </c>
      <c r="C2887" s="80">
        <v>12</v>
      </c>
      <c r="D2887" s="30" t="s">
        <v>70</v>
      </c>
      <c r="E2887" s="30" t="s">
        <v>57</v>
      </c>
      <c r="F2887" s="30" t="s">
        <v>43</v>
      </c>
      <c r="G2887" s="33">
        <v>23.020800000000001</v>
      </c>
      <c r="H2887" s="83" t="s">
        <v>89</v>
      </c>
    </row>
    <row r="2888" spans="1:8" ht="16.5" customHeight="1" x14ac:dyDescent="0.25">
      <c r="A2888" s="27">
        <v>45995</v>
      </c>
      <c r="B2888" s="80">
        <v>2025</v>
      </c>
      <c r="C2888" s="80">
        <v>12</v>
      </c>
      <c r="D2888" s="30" t="s">
        <v>70</v>
      </c>
      <c r="E2888" s="30" t="s">
        <v>61</v>
      </c>
      <c r="F2888" s="30" t="s">
        <v>43</v>
      </c>
      <c r="G2888" s="33">
        <v>3.7437499999999999</v>
      </c>
      <c r="H2888" s="83" t="s">
        <v>89</v>
      </c>
    </row>
    <row r="2889" spans="1:8" ht="16.5" customHeight="1" x14ac:dyDescent="0.25">
      <c r="A2889" s="27">
        <v>45995</v>
      </c>
      <c r="B2889" s="80">
        <v>2025</v>
      </c>
      <c r="C2889" s="80">
        <v>12</v>
      </c>
      <c r="D2889" s="30" t="s">
        <v>70</v>
      </c>
      <c r="E2889" s="30" t="s">
        <v>61</v>
      </c>
      <c r="F2889" s="30" t="s">
        <v>55</v>
      </c>
      <c r="G2889" s="33">
        <v>2</v>
      </c>
      <c r="H2889" s="83" t="s">
        <v>89</v>
      </c>
    </row>
    <row r="2890" spans="1:8" ht="16.5" customHeight="1" x14ac:dyDescent="0.25">
      <c r="A2890" s="27">
        <v>45995</v>
      </c>
      <c r="B2890" s="80">
        <v>2025</v>
      </c>
      <c r="C2890" s="80">
        <v>12</v>
      </c>
      <c r="D2890" s="30" t="s">
        <v>70</v>
      </c>
      <c r="E2890" s="30" t="s">
        <v>68</v>
      </c>
      <c r="F2890" s="30" t="s">
        <v>43</v>
      </c>
      <c r="G2890" s="33">
        <v>0.32500000000000001</v>
      </c>
      <c r="H2890" s="83" t="s">
        <v>89</v>
      </c>
    </row>
    <row r="2891" spans="1:8" ht="16.5" customHeight="1" x14ac:dyDescent="0.25">
      <c r="A2891" s="27">
        <v>45995</v>
      </c>
      <c r="B2891" s="80">
        <v>2025</v>
      </c>
      <c r="C2891" s="80">
        <v>12</v>
      </c>
      <c r="D2891" s="30" t="s">
        <v>70</v>
      </c>
      <c r="E2891" s="30" t="s">
        <v>68</v>
      </c>
      <c r="F2891" s="30" t="s">
        <v>55</v>
      </c>
      <c r="G2891" s="33">
        <v>0.52</v>
      </c>
      <c r="H2891" s="83" t="s">
        <v>89</v>
      </c>
    </row>
    <row r="2892" spans="1:8" ht="16.5" customHeight="1" x14ac:dyDescent="0.25">
      <c r="A2892" s="27">
        <v>45995</v>
      </c>
      <c r="B2892" s="80">
        <v>2025</v>
      </c>
      <c r="C2892" s="80">
        <v>12</v>
      </c>
      <c r="D2892" s="30" t="s">
        <v>70</v>
      </c>
      <c r="E2892" s="30" t="s">
        <v>71</v>
      </c>
      <c r="F2892" s="30" t="s">
        <v>39</v>
      </c>
      <c r="G2892" s="33">
        <v>1.25125</v>
      </c>
      <c r="H2892" s="83" t="s">
        <v>89</v>
      </c>
    </row>
    <row r="2893" spans="1:8" ht="16.5" customHeight="1" x14ac:dyDescent="0.25">
      <c r="A2893" s="27">
        <v>45995</v>
      </c>
      <c r="B2893" s="80">
        <v>2025</v>
      </c>
      <c r="C2893" s="80">
        <v>12</v>
      </c>
      <c r="D2893" s="30" t="s">
        <v>70</v>
      </c>
      <c r="E2893" s="30" t="s">
        <v>71</v>
      </c>
      <c r="F2893" s="30" t="s">
        <v>51</v>
      </c>
      <c r="G2893" s="33">
        <v>4.2592499999999998</v>
      </c>
      <c r="H2893" s="83" t="s">
        <v>89</v>
      </c>
    </row>
    <row r="2894" spans="1:8" ht="16.5" customHeight="1" x14ac:dyDescent="0.25">
      <c r="A2894" s="27">
        <v>45995</v>
      </c>
      <c r="B2894" s="80">
        <v>2025</v>
      </c>
      <c r="C2894" s="80">
        <v>12</v>
      </c>
      <c r="D2894" s="30" t="s">
        <v>70</v>
      </c>
      <c r="E2894" s="30" t="s">
        <v>75</v>
      </c>
      <c r="F2894" s="30" t="s">
        <v>43</v>
      </c>
      <c r="G2894" s="33">
        <v>168.52</v>
      </c>
      <c r="H2894" s="83" t="s">
        <v>48</v>
      </c>
    </row>
    <row r="2895" spans="1:8" ht="16.5" customHeight="1" x14ac:dyDescent="0.25">
      <c r="A2895" s="27">
        <v>45996</v>
      </c>
      <c r="B2895" s="80">
        <v>2025</v>
      </c>
      <c r="C2895" s="80">
        <v>12</v>
      </c>
      <c r="D2895" s="30" t="s">
        <v>70</v>
      </c>
      <c r="E2895" s="30" t="s">
        <v>38</v>
      </c>
      <c r="F2895" s="30" t="s">
        <v>55</v>
      </c>
      <c r="G2895" s="33">
        <v>2.2000000000000002</v>
      </c>
      <c r="H2895" s="83" t="s">
        <v>88</v>
      </c>
    </row>
    <row r="2896" spans="1:8" ht="16.5" customHeight="1" x14ac:dyDescent="0.25">
      <c r="A2896" s="27">
        <v>45996</v>
      </c>
      <c r="B2896" s="80">
        <v>2025</v>
      </c>
      <c r="C2896" s="80">
        <v>12</v>
      </c>
      <c r="D2896" s="30" t="s">
        <v>70</v>
      </c>
      <c r="E2896" s="30" t="s">
        <v>42</v>
      </c>
      <c r="F2896" s="30" t="s">
        <v>47</v>
      </c>
      <c r="G2896" s="33">
        <v>7.7499999999999999E-2</v>
      </c>
      <c r="H2896" s="83" t="s">
        <v>88</v>
      </c>
    </row>
    <row r="2897" spans="1:8" ht="16.5" customHeight="1" x14ac:dyDescent="0.25">
      <c r="A2897" s="27">
        <v>45996</v>
      </c>
      <c r="B2897" s="80">
        <v>2025</v>
      </c>
      <c r="C2897" s="80">
        <v>12</v>
      </c>
      <c r="D2897" s="30" t="s">
        <v>70</v>
      </c>
      <c r="E2897" s="30" t="s">
        <v>42</v>
      </c>
      <c r="F2897" s="30" t="s">
        <v>55</v>
      </c>
      <c r="G2897" s="33">
        <v>0.215</v>
      </c>
      <c r="H2897" s="83" t="s">
        <v>88</v>
      </c>
    </row>
    <row r="2898" spans="1:8" ht="16.5" customHeight="1" x14ac:dyDescent="0.25">
      <c r="A2898" s="27">
        <v>45996</v>
      </c>
      <c r="B2898" s="80">
        <v>2025</v>
      </c>
      <c r="C2898" s="80">
        <v>12</v>
      </c>
      <c r="D2898" s="30" t="s">
        <v>70</v>
      </c>
      <c r="E2898" s="30" t="s">
        <v>42</v>
      </c>
      <c r="F2898" s="30" t="s">
        <v>58</v>
      </c>
      <c r="G2898" s="33">
        <v>2.6130200000000001</v>
      </c>
      <c r="H2898" s="83" t="s">
        <v>88</v>
      </c>
    </row>
    <row r="2899" spans="1:8" ht="16.5" customHeight="1" x14ac:dyDescent="0.25">
      <c r="A2899" s="27">
        <v>45996</v>
      </c>
      <c r="B2899" s="80">
        <v>2025</v>
      </c>
      <c r="C2899" s="80">
        <v>12</v>
      </c>
      <c r="D2899" s="30" t="s">
        <v>70</v>
      </c>
      <c r="E2899" s="30" t="s">
        <v>46</v>
      </c>
      <c r="F2899" s="30" t="s">
        <v>43</v>
      </c>
      <c r="G2899" s="33">
        <v>0.32213999999999998</v>
      </c>
      <c r="H2899" s="83" t="s">
        <v>88</v>
      </c>
    </row>
    <row r="2900" spans="1:8" ht="16.5" customHeight="1" x14ac:dyDescent="0.25">
      <c r="A2900" s="27">
        <v>45996</v>
      </c>
      <c r="B2900" s="80">
        <v>2025</v>
      </c>
      <c r="C2900" s="80">
        <v>12</v>
      </c>
      <c r="D2900" s="30" t="s">
        <v>70</v>
      </c>
      <c r="E2900" s="30" t="s">
        <v>50</v>
      </c>
      <c r="F2900" s="30" t="s">
        <v>43</v>
      </c>
      <c r="G2900" s="33">
        <v>0.11800425</v>
      </c>
      <c r="H2900" s="83" t="s">
        <v>88</v>
      </c>
    </row>
    <row r="2901" spans="1:8" ht="16.5" customHeight="1" x14ac:dyDescent="0.25">
      <c r="A2901" s="27">
        <v>45996</v>
      </c>
      <c r="B2901" s="80">
        <v>2025</v>
      </c>
      <c r="C2901" s="80">
        <v>12</v>
      </c>
      <c r="D2901" s="30" t="s">
        <v>70</v>
      </c>
      <c r="E2901" s="30" t="s">
        <v>50</v>
      </c>
      <c r="F2901" s="30" t="s">
        <v>47</v>
      </c>
      <c r="G2901" s="33">
        <v>11.184552999999999</v>
      </c>
      <c r="H2901" s="83" t="s">
        <v>88</v>
      </c>
    </row>
    <row r="2902" spans="1:8" ht="16.5" customHeight="1" x14ac:dyDescent="0.25">
      <c r="A2902" s="27">
        <v>45996</v>
      </c>
      <c r="B2902" s="80">
        <v>2025</v>
      </c>
      <c r="C2902" s="80">
        <v>12</v>
      </c>
      <c r="D2902" s="30" t="s">
        <v>70</v>
      </c>
      <c r="E2902" s="30" t="s">
        <v>50</v>
      </c>
      <c r="F2902" s="30" t="s">
        <v>58</v>
      </c>
      <c r="G2902" s="33">
        <v>0.27440868000000002</v>
      </c>
      <c r="H2902" s="83" t="s">
        <v>88</v>
      </c>
    </row>
    <row r="2903" spans="1:8" ht="16.5" customHeight="1" x14ac:dyDescent="0.25">
      <c r="A2903" s="27">
        <v>45996</v>
      </c>
      <c r="B2903" s="80">
        <v>2025</v>
      </c>
      <c r="C2903" s="80">
        <v>12</v>
      </c>
      <c r="D2903" s="30" t="s">
        <v>70</v>
      </c>
      <c r="E2903" s="30" t="s">
        <v>54</v>
      </c>
      <c r="F2903" s="30" t="s">
        <v>43</v>
      </c>
      <c r="G2903" s="33">
        <v>0.73</v>
      </c>
      <c r="H2903" s="83" t="s">
        <v>88</v>
      </c>
    </row>
    <row r="2904" spans="1:8" ht="16.5" customHeight="1" x14ac:dyDescent="0.25">
      <c r="A2904" s="27">
        <v>45996</v>
      </c>
      <c r="B2904" s="80">
        <v>2025</v>
      </c>
      <c r="C2904" s="80">
        <v>12</v>
      </c>
      <c r="D2904" s="30" t="s">
        <v>70</v>
      </c>
      <c r="E2904" s="30" t="s">
        <v>57</v>
      </c>
      <c r="F2904" s="30" t="s">
        <v>43</v>
      </c>
      <c r="G2904" s="33">
        <v>19.968</v>
      </c>
      <c r="H2904" s="83" t="s">
        <v>89</v>
      </c>
    </row>
    <row r="2905" spans="1:8" ht="16.5" customHeight="1" x14ac:dyDescent="0.25">
      <c r="A2905" s="27">
        <v>45996</v>
      </c>
      <c r="B2905" s="80">
        <v>2025</v>
      </c>
      <c r="C2905" s="80">
        <v>12</v>
      </c>
      <c r="D2905" s="30" t="s">
        <v>70</v>
      </c>
      <c r="E2905" s="30" t="s">
        <v>68</v>
      </c>
      <c r="F2905" s="30" t="s">
        <v>43</v>
      </c>
      <c r="G2905" s="33">
        <v>1.3</v>
      </c>
      <c r="H2905" s="83" t="s">
        <v>89</v>
      </c>
    </row>
    <row r="2906" spans="1:8" ht="16.5" customHeight="1" x14ac:dyDescent="0.25">
      <c r="A2906" s="27">
        <v>45996</v>
      </c>
      <c r="B2906" s="80">
        <v>2025</v>
      </c>
      <c r="C2906" s="80">
        <v>12</v>
      </c>
      <c r="D2906" s="30" t="s">
        <v>70</v>
      </c>
      <c r="E2906" s="30" t="s">
        <v>71</v>
      </c>
      <c r="F2906" s="30" t="s">
        <v>43</v>
      </c>
      <c r="G2906" s="33">
        <v>4.056</v>
      </c>
      <c r="H2906" s="83" t="s">
        <v>89</v>
      </c>
    </row>
    <row r="2907" spans="1:8" ht="16.5" customHeight="1" x14ac:dyDescent="0.25">
      <c r="A2907" s="27">
        <v>45996</v>
      </c>
      <c r="B2907" s="80">
        <v>2025</v>
      </c>
      <c r="C2907" s="80">
        <v>12</v>
      </c>
      <c r="D2907" s="30" t="s">
        <v>70</v>
      </c>
      <c r="E2907" s="30" t="s">
        <v>74</v>
      </c>
      <c r="F2907" s="30" t="s">
        <v>43</v>
      </c>
      <c r="G2907" s="33">
        <v>1.3382499999999999</v>
      </c>
      <c r="H2907" s="83" t="s">
        <v>89</v>
      </c>
    </row>
    <row r="2908" spans="1:8" ht="16.5" customHeight="1" x14ac:dyDescent="0.25">
      <c r="A2908" s="27">
        <v>45996</v>
      </c>
      <c r="B2908" s="80">
        <v>2025</v>
      </c>
      <c r="C2908" s="80">
        <v>12</v>
      </c>
      <c r="D2908" s="30" t="s">
        <v>70</v>
      </c>
      <c r="E2908" s="30" t="s">
        <v>75</v>
      </c>
      <c r="F2908" s="30" t="s">
        <v>43</v>
      </c>
      <c r="G2908" s="33">
        <v>2.2609949999999999</v>
      </c>
      <c r="H2908" s="83" t="s">
        <v>48</v>
      </c>
    </row>
    <row r="2909" spans="1:8" ht="16.5" customHeight="1" x14ac:dyDescent="0.25">
      <c r="A2909" s="27">
        <v>45999</v>
      </c>
      <c r="B2909" s="80">
        <v>2025</v>
      </c>
      <c r="C2909" s="80">
        <v>12</v>
      </c>
      <c r="D2909" s="30" t="s">
        <v>70</v>
      </c>
      <c r="E2909" s="30" t="s">
        <v>38</v>
      </c>
      <c r="F2909" s="30" t="s">
        <v>43</v>
      </c>
      <c r="G2909" s="33">
        <v>1.6825000000000001</v>
      </c>
      <c r="H2909" s="83" t="s">
        <v>88</v>
      </c>
    </row>
    <row r="2910" spans="1:8" ht="16.5" customHeight="1" x14ac:dyDescent="0.25">
      <c r="A2910" s="27">
        <v>45999</v>
      </c>
      <c r="B2910" s="80">
        <v>2025</v>
      </c>
      <c r="C2910" s="80">
        <v>12</v>
      </c>
      <c r="D2910" s="30" t="s">
        <v>70</v>
      </c>
      <c r="E2910" s="30" t="s">
        <v>50</v>
      </c>
      <c r="F2910" s="30" t="s">
        <v>43</v>
      </c>
      <c r="G2910" s="33">
        <v>49.970930000000003</v>
      </c>
      <c r="H2910" s="83" t="s">
        <v>88</v>
      </c>
    </row>
    <row r="2911" spans="1:8" ht="16.5" customHeight="1" x14ac:dyDescent="0.25">
      <c r="A2911" s="27">
        <v>45999</v>
      </c>
      <c r="B2911" s="80">
        <v>2025</v>
      </c>
      <c r="C2911" s="80">
        <v>12</v>
      </c>
      <c r="D2911" s="30" t="s">
        <v>70</v>
      </c>
      <c r="E2911" s="30" t="s">
        <v>50</v>
      </c>
      <c r="F2911" s="30" t="s">
        <v>47</v>
      </c>
      <c r="G2911" s="33">
        <v>2.6747040000000002</v>
      </c>
      <c r="H2911" s="83" t="s">
        <v>88</v>
      </c>
    </row>
    <row r="2912" spans="1:8" ht="16.5" customHeight="1" x14ac:dyDescent="0.25">
      <c r="A2912" s="27">
        <v>45999</v>
      </c>
      <c r="B2912" s="80">
        <v>2025</v>
      </c>
      <c r="C2912" s="80">
        <v>12</v>
      </c>
      <c r="D2912" s="30" t="s">
        <v>70</v>
      </c>
      <c r="E2912" s="30" t="s">
        <v>50</v>
      </c>
      <c r="F2912" s="30" t="s">
        <v>51</v>
      </c>
      <c r="G2912" s="33">
        <v>0.50149999999999995</v>
      </c>
      <c r="H2912" s="83" t="s">
        <v>88</v>
      </c>
    </row>
    <row r="2913" spans="1:8" ht="16.5" customHeight="1" x14ac:dyDescent="0.25">
      <c r="A2913" s="27">
        <v>45999</v>
      </c>
      <c r="B2913" s="80">
        <v>2025</v>
      </c>
      <c r="C2913" s="80">
        <v>12</v>
      </c>
      <c r="D2913" s="30" t="s">
        <v>70</v>
      </c>
      <c r="E2913" s="30" t="s">
        <v>50</v>
      </c>
      <c r="F2913" s="30" t="s">
        <v>58</v>
      </c>
      <c r="G2913" s="33">
        <v>0.276335</v>
      </c>
      <c r="H2913" s="83" t="s">
        <v>88</v>
      </c>
    </row>
    <row r="2914" spans="1:8" ht="16.5" customHeight="1" x14ac:dyDescent="0.25">
      <c r="A2914" s="27">
        <v>45999</v>
      </c>
      <c r="B2914" s="80">
        <v>2025</v>
      </c>
      <c r="C2914" s="80">
        <v>12</v>
      </c>
      <c r="D2914" s="30" t="s">
        <v>70</v>
      </c>
      <c r="E2914" s="30" t="s">
        <v>54</v>
      </c>
      <c r="F2914" s="30" t="s">
        <v>43</v>
      </c>
      <c r="G2914" s="33">
        <v>1.17</v>
      </c>
      <c r="H2914" s="83" t="s">
        <v>88</v>
      </c>
    </row>
    <row r="2915" spans="1:8" ht="16.5" customHeight="1" x14ac:dyDescent="0.25">
      <c r="A2915" s="27">
        <v>45999</v>
      </c>
      <c r="B2915" s="80">
        <v>2025</v>
      </c>
      <c r="C2915" s="80">
        <v>12</v>
      </c>
      <c r="D2915" s="30" t="s">
        <v>70</v>
      </c>
      <c r="E2915" s="30" t="s">
        <v>57</v>
      </c>
      <c r="F2915" s="30" t="s">
        <v>39</v>
      </c>
      <c r="G2915" s="33">
        <v>28.652799999999999</v>
      </c>
      <c r="H2915" s="83" t="s">
        <v>89</v>
      </c>
    </row>
    <row r="2916" spans="1:8" ht="16.5" customHeight="1" x14ac:dyDescent="0.25">
      <c r="A2916" s="27">
        <v>45999</v>
      </c>
      <c r="B2916" s="80">
        <v>2025</v>
      </c>
      <c r="C2916" s="80">
        <v>12</v>
      </c>
      <c r="D2916" s="30" t="s">
        <v>70</v>
      </c>
      <c r="E2916" s="30" t="s">
        <v>66</v>
      </c>
      <c r="F2916" s="30" t="s">
        <v>43</v>
      </c>
      <c r="G2916" s="33">
        <v>1.19</v>
      </c>
      <c r="H2916" s="83" t="s">
        <v>89</v>
      </c>
    </row>
    <row r="2917" spans="1:8" ht="16.5" customHeight="1" x14ac:dyDescent="0.25">
      <c r="A2917" s="27">
        <v>45999</v>
      </c>
      <c r="B2917" s="80">
        <v>2025</v>
      </c>
      <c r="C2917" s="80">
        <v>12</v>
      </c>
      <c r="D2917" s="30" t="s">
        <v>70</v>
      </c>
      <c r="E2917" s="30" t="s">
        <v>66</v>
      </c>
      <c r="F2917" s="30" t="s">
        <v>55</v>
      </c>
      <c r="G2917" s="33">
        <v>0.82</v>
      </c>
      <c r="H2917" s="83" t="s">
        <v>89</v>
      </c>
    </row>
    <row r="2918" spans="1:8" ht="16.5" customHeight="1" x14ac:dyDescent="0.25">
      <c r="A2918" s="27">
        <v>45999</v>
      </c>
      <c r="B2918" s="80">
        <v>2025</v>
      </c>
      <c r="C2918" s="80">
        <v>12</v>
      </c>
      <c r="D2918" s="30" t="s">
        <v>70</v>
      </c>
      <c r="E2918" s="30" t="s">
        <v>68</v>
      </c>
      <c r="F2918" s="30" t="s">
        <v>43</v>
      </c>
      <c r="G2918" s="33">
        <v>2.6459999999999999</v>
      </c>
      <c r="H2918" s="83" t="s">
        <v>89</v>
      </c>
    </row>
    <row r="2919" spans="1:8" ht="16.5" customHeight="1" x14ac:dyDescent="0.25">
      <c r="A2919" s="27">
        <v>45999</v>
      </c>
      <c r="B2919" s="80">
        <v>2025</v>
      </c>
      <c r="C2919" s="80">
        <v>12</v>
      </c>
      <c r="D2919" s="30" t="s">
        <v>70</v>
      </c>
      <c r="E2919" s="30" t="s">
        <v>71</v>
      </c>
      <c r="F2919" s="30" t="s">
        <v>43</v>
      </c>
      <c r="G2919" s="33">
        <v>11.418340000000001</v>
      </c>
      <c r="H2919" s="83" t="s">
        <v>89</v>
      </c>
    </row>
    <row r="2920" spans="1:8" ht="16.5" customHeight="1" x14ac:dyDescent="0.25">
      <c r="A2920" s="27">
        <v>45999</v>
      </c>
      <c r="B2920" s="80">
        <v>2025</v>
      </c>
      <c r="C2920" s="80">
        <v>12</v>
      </c>
      <c r="D2920" s="30" t="s">
        <v>70</v>
      </c>
      <c r="E2920" s="30" t="s">
        <v>76</v>
      </c>
      <c r="F2920" s="30" t="s">
        <v>39</v>
      </c>
      <c r="G2920" s="33">
        <v>46.688524999999998</v>
      </c>
      <c r="H2920" s="83" t="s">
        <v>48</v>
      </c>
    </row>
    <row r="2921" spans="1:8" ht="16.5" customHeight="1" x14ac:dyDescent="0.25">
      <c r="A2921" s="27">
        <v>46000</v>
      </c>
      <c r="B2921" s="80">
        <v>2025</v>
      </c>
      <c r="C2921" s="80">
        <v>12</v>
      </c>
      <c r="D2921" s="30" t="s">
        <v>70</v>
      </c>
      <c r="E2921" s="30" t="s">
        <v>46</v>
      </c>
      <c r="F2921" s="30" t="s">
        <v>58</v>
      </c>
      <c r="G2921" s="33">
        <v>0.44328383999999998</v>
      </c>
      <c r="H2921" s="83" t="s">
        <v>88</v>
      </c>
    </row>
    <row r="2922" spans="1:8" ht="16.5" customHeight="1" x14ac:dyDescent="0.25">
      <c r="A2922" s="27">
        <v>46000</v>
      </c>
      <c r="B2922" s="80">
        <v>2025</v>
      </c>
      <c r="C2922" s="80">
        <v>12</v>
      </c>
      <c r="D2922" s="30" t="s">
        <v>70</v>
      </c>
      <c r="E2922" s="30" t="s">
        <v>50</v>
      </c>
      <c r="F2922" s="30" t="s">
        <v>43</v>
      </c>
      <c r="G2922" s="33">
        <v>1.0256695</v>
      </c>
      <c r="H2922" s="83" t="s">
        <v>88</v>
      </c>
    </row>
    <row r="2923" spans="1:8" ht="16.5" customHeight="1" x14ac:dyDescent="0.25">
      <c r="A2923" s="27">
        <v>46000</v>
      </c>
      <c r="B2923" s="80">
        <v>2025</v>
      </c>
      <c r="C2923" s="80">
        <v>12</v>
      </c>
      <c r="D2923" s="30" t="s">
        <v>70</v>
      </c>
      <c r="E2923" s="30" t="s">
        <v>50</v>
      </c>
      <c r="F2923" s="30" t="s">
        <v>47</v>
      </c>
      <c r="G2923" s="33">
        <v>0.62160000000000004</v>
      </c>
      <c r="H2923" s="83" t="s">
        <v>88</v>
      </c>
    </row>
    <row r="2924" spans="1:8" ht="16.5" customHeight="1" x14ac:dyDescent="0.25">
      <c r="A2924" s="27">
        <v>46000</v>
      </c>
      <c r="B2924" s="80">
        <v>2025</v>
      </c>
      <c r="C2924" s="80">
        <v>12</v>
      </c>
      <c r="D2924" s="30" t="s">
        <v>70</v>
      </c>
      <c r="E2924" s="30" t="s">
        <v>50</v>
      </c>
      <c r="F2924" s="30" t="s">
        <v>51</v>
      </c>
      <c r="G2924" s="33">
        <v>0.44475536999999998</v>
      </c>
      <c r="H2924" s="83" t="s">
        <v>88</v>
      </c>
    </row>
    <row r="2925" spans="1:8" ht="16.5" customHeight="1" x14ac:dyDescent="0.25">
      <c r="A2925" s="27">
        <v>46000</v>
      </c>
      <c r="B2925" s="80">
        <v>2025</v>
      </c>
      <c r="C2925" s="80">
        <v>12</v>
      </c>
      <c r="D2925" s="30" t="s">
        <v>70</v>
      </c>
      <c r="E2925" s="30" t="s">
        <v>54</v>
      </c>
      <c r="F2925" s="30" t="s">
        <v>43</v>
      </c>
      <c r="G2925" s="33">
        <v>2.9049999999999998</v>
      </c>
      <c r="H2925" s="83" t="s">
        <v>88</v>
      </c>
    </row>
    <row r="2926" spans="1:8" ht="16.5" customHeight="1" x14ac:dyDescent="0.25">
      <c r="A2926" s="27">
        <v>46000</v>
      </c>
      <c r="B2926" s="80">
        <v>2025</v>
      </c>
      <c r="C2926" s="80">
        <v>12</v>
      </c>
      <c r="D2926" s="30" t="s">
        <v>70</v>
      </c>
      <c r="E2926" s="30" t="s">
        <v>68</v>
      </c>
      <c r="F2926" s="30" t="s">
        <v>43</v>
      </c>
      <c r="G2926" s="33">
        <v>2.673</v>
      </c>
      <c r="H2926" s="83" t="s">
        <v>89</v>
      </c>
    </row>
    <row r="2927" spans="1:8" ht="16.5" customHeight="1" x14ac:dyDescent="0.25">
      <c r="A2927" s="27">
        <v>46000</v>
      </c>
      <c r="B2927" s="80">
        <v>2025</v>
      </c>
      <c r="C2927" s="80">
        <v>12</v>
      </c>
      <c r="D2927" s="30" t="s">
        <v>70</v>
      </c>
      <c r="E2927" s="30" t="s">
        <v>71</v>
      </c>
      <c r="F2927" s="30" t="s">
        <v>39</v>
      </c>
      <c r="G2927" s="33">
        <v>2.4230499999999999</v>
      </c>
      <c r="H2927" s="83" t="s">
        <v>89</v>
      </c>
    </row>
    <row r="2928" spans="1:8" ht="16.5" customHeight="1" x14ac:dyDescent="0.25">
      <c r="A2928" s="27">
        <v>46000</v>
      </c>
      <c r="B2928" s="80">
        <v>2025</v>
      </c>
      <c r="C2928" s="80">
        <v>12</v>
      </c>
      <c r="D2928" s="30" t="s">
        <v>70</v>
      </c>
      <c r="E2928" s="30" t="s">
        <v>71</v>
      </c>
      <c r="F2928" s="30" t="s">
        <v>43</v>
      </c>
      <c r="G2928" s="33">
        <v>3.1175000000000002</v>
      </c>
      <c r="H2928" s="83" t="s">
        <v>89</v>
      </c>
    </row>
    <row r="2929" spans="1:8" ht="16.5" customHeight="1" x14ac:dyDescent="0.25">
      <c r="A2929" s="27">
        <v>46000</v>
      </c>
      <c r="B2929" s="80">
        <v>2025</v>
      </c>
      <c r="C2929" s="80">
        <v>12</v>
      </c>
      <c r="D2929" s="30" t="s">
        <v>70</v>
      </c>
      <c r="E2929" s="30" t="s">
        <v>73</v>
      </c>
      <c r="F2929" s="30" t="s">
        <v>43</v>
      </c>
      <c r="G2929" s="33">
        <v>4.6433999999999997</v>
      </c>
      <c r="H2929" s="83" t="s">
        <v>89</v>
      </c>
    </row>
    <row r="2930" spans="1:8" ht="16.5" customHeight="1" x14ac:dyDescent="0.25">
      <c r="A2930" s="27">
        <v>46001</v>
      </c>
      <c r="B2930" s="80">
        <v>2025</v>
      </c>
      <c r="C2930" s="80">
        <v>12</v>
      </c>
      <c r="D2930" s="30" t="s">
        <v>70</v>
      </c>
      <c r="E2930" s="30" t="s">
        <v>38</v>
      </c>
      <c r="F2930" s="30" t="s">
        <v>43</v>
      </c>
      <c r="G2930" s="33">
        <v>4.4880000000000004</v>
      </c>
      <c r="H2930" s="83" t="s">
        <v>88</v>
      </c>
    </row>
    <row r="2931" spans="1:8" ht="16.5" customHeight="1" x14ac:dyDescent="0.25">
      <c r="A2931" s="27">
        <v>46001</v>
      </c>
      <c r="B2931" s="80">
        <v>2025</v>
      </c>
      <c r="C2931" s="80">
        <v>12</v>
      </c>
      <c r="D2931" s="30" t="s">
        <v>70</v>
      </c>
      <c r="E2931" s="30" t="s">
        <v>42</v>
      </c>
      <c r="F2931" s="30" t="s">
        <v>43</v>
      </c>
      <c r="G2931" s="33">
        <v>6.8667999999999996</v>
      </c>
      <c r="H2931" s="83" t="s">
        <v>88</v>
      </c>
    </row>
    <row r="2932" spans="1:8" ht="16.5" customHeight="1" x14ac:dyDescent="0.25">
      <c r="A2932" s="27">
        <v>46001</v>
      </c>
      <c r="B2932" s="80">
        <v>2025</v>
      </c>
      <c r="C2932" s="80">
        <v>12</v>
      </c>
      <c r="D2932" s="30" t="s">
        <v>70</v>
      </c>
      <c r="E2932" s="30" t="s">
        <v>46</v>
      </c>
      <c r="F2932" s="30" t="s">
        <v>43</v>
      </c>
      <c r="G2932" s="33">
        <v>8.9547962400000003</v>
      </c>
      <c r="H2932" s="83" t="s">
        <v>88</v>
      </c>
    </row>
    <row r="2933" spans="1:8" ht="16.5" customHeight="1" x14ac:dyDescent="0.25">
      <c r="A2933" s="27">
        <v>46001</v>
      </c>
      <c r="B2933" s="80">
        <v>2025</v>
      </c>
      <c r="C2933" s="80">
        <v>12</v>
      </c>
      <c r="D2933" s="30" t="s">
        <v>70</v>
      </c>
      <c r="E2933" s="30" t="s">
        <v>46</v>
      </c>
      <c r="F2933" s="30" t="s">
        <v>55</v>
      </c>
      <c r="G2933" s="33">
        <v>0.76056900000000005</v>
      </c>
      <c r="H2933" s="83" t="s">
        <v>88</v>
      </c>
    </row>
    <row r="2934" spans="1:8" ht="16.5" customHeight="1" x14ac:dyDescent="0.25">
      <c r="A2934" s="27">
        <v>46001</v>
      </c>
      <c r="B2934" s="80">
        <v>2025</v>
      </c>
      <c r="C2934" s="80">
        <v>12</v>
      </c>
      <c r="D2934" s="30" t="s">
        <v>70</v>
      </c>
      <c r="E2934" s="30" t="s">
        <v>50</v>
      </c>
      <c r="F2934" s="30" t="s">
        <v>43</v>
      </c>
      <c r="G2934" s="33">
        <v>3.3988885</v>
      </c>
      <c r="H2934" s="83" t="s">
        <v>88</v>
      </c>
    </row>
    <row r="2935" spans="1:8" ht="16.5" customHeight="1" x14ac:dyDescent="0.25">
      <c r="A2935" s="27">
        <v>46001</v>
      </c>
      <c r="B2935" s="80">
        <v>2025</v>
      </c>
      <c r="C2935" s="80">
        <v>12</v>
      </c>
      <c r="D2935" s="30" t="s">
        <v>70</v>
      </c>
      <c r="E2935" s="30" t="s">
        <v>50</v>
      </c>
      <c r="F2935" s="30" t="s">
        <v>47</v>
      </c>
      <c r="G2935" s="33">
        <v>0.45879249999999999</v>
      </c>
      <c r="H2935" s="83" t="s">
        <v>88</v>
      </c>
    </row>
    <row r="2936" spans="1:8" ht="16.5" customHeight="1" x14ac:dyDescent="0.25">
      <c r="A2936" s="27">
        <v>46001</v>
      </c>
      <c r="B2936" s="80">
        <v>2025</v>
      </c>
      <c r="C2936" s="80">
        <v>12</v>
      </c>
      <c r="D2936" s="30" t="s">
        <v>70</v>
      </c>
      <c r="E2936" s="30" t="s">
        <v>50</v>
      </c>
      <c r="F2936" s="30" t="s">
        <v>55</v>
      </c>
      <c r="G2936" s="33">
        <v>1.6755899999999999</v>
      </c>
      <c r="H2936" s="83" t="s">
        <v>88</v>
      </c>
    </row>
    <row r="2937" spans="1:8" ht="16.5" customHeight="1" x14ac:dyDescent="0.25">
      <c r="A2937" s="27">
        <v>46001</v>
      </c>
      <c r="B2937" s="80">
        <v>2025</v>
      </c>
      <c r="C2937" s="80">
        <v>12</v>
      </c>
      <c r="D2937" s="30" t="s">
        <v>70</v>
      </c>
      <c r="E2937" s="30" t="s">
        <v>50</v>
      </c>
      <c r="F2937" s="30" t="s">
        <v>58</v>
      </c>
      <c r="G2937" s="33">
        <v>1.2646613419999999</v>
      </c>
      <c r="H2937" s="83" t="s">
        <v>88</v>
      </c>
    </row>
    <row r="2938" spans="1:8" ht="16.5" customHeight="1" x14ac:dyDescent="0.25">
      <c r="A2938" s="27">
        <v>46001</v>
      </c>
      <c r="B2938" s="80">
        <v>2025</v>
      </c>
      <c r="C2938" s="80">
        <v>12</v>
      </c>
      <c r="D2938" s="30" t="s">
        <v>70</v>
      </c>
      <c r="E2938" s="30" t="s">
        <v>54</v>
      </c>
      <c r="F2938" s="30" t="s">
        <v>43</v>
      </c>
      <c r="G2938" s="33">
        <v>12.62415</v>
      </c>
      <c r="H2938" s="83" t="s">
        <v>88</v>
      </c>
    </row>
    <row r="2939" spans="1:8" ht="16.5" customHeight="1" x14ac:dyDescent="0.25">
      <c r="A2939" s="27">
        <v>46001</v>
      </c>
      <c r="B2939" s="80">
        <v>2025</v>
      </c>
      <c r="C2939" s="80">
        <v>12</v>
      </c>
      <c r="D2939" s="30" t="s">
        <v>70</v>
      </c>
      <c r="E2939" s="30" t="s">
        <v>57</v>
      </c>
      <c r="F2939" s="30" t="s">
        <v>39</v>
      </c>
      <c r="G2939" s="33">
        <v>64.423900000000003</v>
      </c>
      <c r="H2939" s="83" t="s">
        <v>89</v>
      </c>
    </row>
    <row r="2940" spans="1:8" ht="16.5" customHeight="1" x14ac:dyDescent="0.25">
      <c r="A2940" s="27">
        <v>46001</v>
      </c>
      <c r="B2940" s="80">
        <v>2025</v>
      </c>
      <c r="C2940" s="80">
        <v>12</v>
      </c>
      <c r="D2940" s="30" t="s">
        <v>70</v>
      </c>
      <c r="E2940" s="30" t="s">
        <v>64</v>
      </c>
      <c r="F2940" s="30" t="s">
        <v>43</v>
      </c>
      <c r="G2940" s="33">
        <v>18.599599999999999</v>
      </c>
      <c r="H2940" s="83" t="s">
        <v>89</v>
      </c>
    </row>
    <row r="2941" spans="1:8" ht="16.5" customHeight="1" x14ac:dyDescent="0.25">
      <c r="A2941" s="27">
        <v>46001</v>
      </c>
      <c r="B2941" s="80">
        <v>2025</v>
      </c>
      <c r="C2941" s="80">
        <v>12</v>
      </c>
      <c r="D2941" s="30" t="s">
        <v>70</v>
      </c>
      <c r="E2941" s="30" t="s">
        <v>66</v>
      </c>
      <c r="F2941" s="30" t="s">
        <v>43</v>
      </c>
      <c r="G2941" s="33">
        <v>1.1725000000000001</v>
      </c>
      <c r="H2941" s="83" t="s">
        <v>89</v>
      </c>
    </row>
    <row r="2942" spans="1:8" ht="16.5" customHeight="1" x14ac:dyDescent="0.25">
      <c r="A2942" s="27">
        <v>46001</v>
      </c>
      <c r="B2942" s="80">
        <v>2025</v>
      </c>
      <c r="C2942" s="80">
        <v>12</v>
      </c>
      <c r="D2942" s="30" t="s">
        <v>70</v>
      </c>
      <c r="E2942" s="30" t="s">
        <v>68</v>
      </c>
      <c r="F2942" s="30" t="s">
        <v>43</v>
      </c>
      <c r="G2942" s="33">
        <v>7.9165000000000001</v>
      </c>
      <c r="H2942" s="83" t="s">
        <v>89</v>
      </c>
    </row>
    <row r="2943" spans="1:8" ht="16.5" customHeight="1" x14ac:dyDescent="0.25">
      <c r="A2943" s="27">
        <v>46001</v>
      </c>
      <c r="B2943" s="80">
        <v>2025</v>
      </c>
      <c r="C2943" s="80">
        <v>12</v>
      </c>
      <c r="D2943" s="30" t="s">
        <v>70</v>
      </c>
      <c r="E2943" s="30" t="s">
        <v>75</v>
      </c>
      <c r="F2943" s="30" t="s">
        <v>43</v>
      </c>
      <c r="G2943" s="33">
        <v>12.259118750000001</v>
      </c>
      <c r="H2943" s="83" t="s">
        <v>48</v>
      </c>
    </row>
    <row r="2944" spans="1:8" ht="16.5" customHeight="1" x14ac:dyDescent="0.25">
      <c r="A2944" s="27">
        <v>46002</v>
      </c>
      <c r="B2944" s="80">
        <v>2025</v>
      </c>
      <c r="C2944" s="80">
        <v>12</v>
      </c>
      <c r="D2944" s="30" t="s">
        <v>70</v>
      </c>
      <c r="E2944" s="30" t="s">
        <v>42</v>
      </c>
      <c r="F2944" s="30" t="s">
        <v>43</v>
      </c>
      <c r="G2944" s="33">
        <v>13.959</v>
      </c>
      <c r="H2944" s="83" t="s">
        <v>88</v>
      </c>
    </row>
    <row r="2945" spans="1:8" ht="16.5" customHeight="1" x14ac:dyDescent="0.25">
      <c r="A2945" s="27">
        <v>46002</v>
      </c>
      <c r="B2945" s="80">
        <v>2025</v>
      </c>
      <c r="C2945" s="80">
        <v>12</v>
      </c>
      <c r="D2945" s="30" t="s">
        <v>70</v>
      </c>
      <c r="E2945" s="30" t="s">
        <v>46</v>
      </c>
      <c r="F2945" s="30" t="s">
        <v>58</v>
      </c>
      <c r="G2945" s="33">
        <v>0.65164655999999999</v>
      </c>
      <c r="H2945" s="83" t="s">
        <v>88</v>
      </c>
    </row>
    <row r="2946" spans="1:8" ht="16.5" customHeight="1" x14ac:dyDescent="0.25">
      <c r="A2946" s="27">
        <v>46002</v>
      </c>
      <c r="B2946" s="80">
        <v>2025</v>
      </c>
      <c r="C2946" s="80">
        <v>12</v>
      </c>
      <c r="D2946" s="30" t="s">
        <v>70</v>
      </c>
      <c r="E2946" s="30" t="s">
        <v>50</v>
      </c>
      <c r="F2946" s="30" t="s">
        <v>39</v>
      </c>
      <c r="G2946" s="33">
        <v>7.6473936</v>
      </c>
      <c r="H2946" s="83" t="s">
        <v>88</v>
      </c>
    </row>
    <row r="2947" spans="1:8" ht="16.5" customHeight="1" x14ac:dyDescent="0.25">
      <c r="A2947" s="27">
        <v>46002</v>
      </c>
      <c r="B2947" s="80">
        <v>2025</v>
      </c>
      <c r="C2947" s="80">
        <v>12</v>
      </c>
      <c r="D2947" s="30" t="s">
        <v>70</v>
      </c>
      <c r="E2947" s="30" t="s">
        <v>50</v>
      </c>
      <c r="F2947" s="30" t="s">
        <v>43</v>
      </c>
      <c r="G2947" s="33">
        <v>131.59340552</v>
      </c>
      <c r="H2947" s="83" t="s">
        <v>88</v>
      </c>
    </row>
    <row r="2948" spans="1:8" ht="16.5" customHeight="1" x14ac:dyDescent="0.25">
      <c r="A2948" s="27">
        <v>46002</v>
      </c>
      <c r="B2948" s="80">
        <v>2025</v>
      </c>
      <c r="C2948" s="80">
        <v>12</v>
      </c>
      <c r="D2948" s="30" t="s">
        <v>70</v>
      </c>
      <c r="E2948" s="30" t="s">
        <v>50</v>
      </c>
      <c r="F2948" s="30" t="s">
        <v>58</v>
      </c>
      <c r="G2948" s="33">
        <v>0.94599599999999995</v>
      </c>
      <c r="H2948" s="83" t="s">
        <v>88</v>
      </c>
    </row>
    <row r="2949" spans="1:8" ht="16.5" customHeight="1" x14ac:dyDescent="0.25">
      <c r="A2949" s="27">
        <v>46002</v>
      </c>
      <c r="B2949" s="80">
        <v>2025</v>
      </c>
      <c r="C2949" s="80">
        <v>12</v>
      </c>
      <c r="D2949" s="30" t="s">
        <v>70</v>
      </c>
      <c r="E2949" s="30" t="s">
        <v>68</v>
      </c>
      <c r="F2949" s="30" t="s">
        <v>43</v>
      </c>
      <c r="G2949" s="33">
        <v>2.0625</v>
      </c>
      <c r="H2949" s="83" t="s">
        <v>89</v>
      </c>
    </row>
    <row r="2950" spans="1:8" ht="16.5" customHeight="1" x14ac:dyDescent="0.25">
      <c r="A2950" s="27">
        <v>46002</v>
      </c>
      <c r="B2950" s="80">
        <v>2025</v>
      </c>
      <c r="C2950" s="80">
        <v>12</v>
      </c>
      <c r="D2950" s="30" t="s">
        <v>70</v>
      </c>
      <c r="E2950" s="30" t="s">
        <v>71</v>
      </c>
      <c r="F2950" s="30" t="s">
        <v>47</v>
      </c>
      <c r="G2950" s="33">
        <v>0.28000000000000003</v>
      </c>
      <c r="H2950" s="83" t="s">
        <v>89</v>
      </c>
    </row>
    <row r="2951" spans="1:8" ht="16.5" customHeight="1" x14ac:dyDescent="0.25">
      <c r="A2951" s="27">
        <v>46002</v>
      </c>
      <c r="B2951" s="80">
        <v>2025</v>
      </c>
      <c r="C2951" s="80">
        <v>12</v>
      </c>
      <c r="D2951" s="30" t="s">
        <v>70</v>
      </c>
      <c r="E2951" s="30" t="s">
        <v>74</v>
      </c>
      <c r="F2951" s="30" t="s">
        <v>43</v>
      </c>
      <c r="G2951" s="33">
        <v>32.723999999999997</v>
      </c>
      <c r="H2951" s="83" t="s">
        <v>89</v>
      </c>
    </row>
    <row r="2952" spans="1:8" ht="16.5" customHeight="1" x14ac:dyDescent="0.25">
      <c r="A2952" s="27">
        <v>46002</v>
      </c>
      <c r="B2952" s="80">
        <v>2025</v>
      </c>
      <c r="C2952" s="80">
        <v>12</v>
      </c>
      <c r="D2952" s="30" t="s">
        <v>70</v>
      </c>
      <c r="E2952" s="30" t="s">
        <v>76</v>
      </c>
      <c r="F2952" s="30" t="s">
        <v>39</v>
      </c>
      <c r="G2952" s="33">
        <v>48.927999999999997</v>
      </c>
      <c r="H2952" s="83" t="s">
        <v>48</v>
      </c>
    </row>
    <row r="2953" spans="1:8" ht="16.5" customHeight="1" x14ac:dyDescent="0.25">
      <c r="A2953" s="27">
        <v>46003</v>
      </c>
      <c r="B2953" s="80">
        <v>2025</v>
      </c>
      <c r="C2953" s="80">
        <v>12</v>
      </c>
      <c r="D2953" s="30" t="s">
        <v>70</v>
      </c>
      <c r="E2953" s="30" t="s">
        <v>38</v>
      </c>
      <c r="F2953" s="30" t="s">
        <v>43</v>
      </c>
      <c r="G2953" s="33">
        <v>1.1594</v>
      </c>
      <c r="H2953" s="83" t="s">
        <v>88</v>
      </c>
    </row>
    <row r="2954" spans="1:8" ht="16.5" customHeight="1" x14ac:dyDescent="0.25">
      <c r="A2954" s="27">
        <v>46003</v>
      </c>
      <c r="B2954" s="80">
        <v>2025</v>
      </c>
      <c r="C2954" s="80">
        <v>12</v>
      </c>
      <c r="D2954" s="30" t="s">
        <v>70</v>
      </c>
      <c r="E2954" s="30" t="s">
        <v>42</v>
      </c>
      <c r="F2954" s="30" t="s">
        <v>39</v>
      </c>
      <c r="G2954" s="33">
        <v>36.664250000000003</v>
      </c>
      <c r="H2954" s="83" t="s">
        <v>88</v>
      </c>
    </row>
    <row r="2955" spans="1:8" ht="16.5" customHeight="1" x14ac:dyDescent="0.25">
      <c r="A2955" s="27">
        <v>46003</v>
      </c>
      <c r="B2955" s="80">
        <v>2025</v>
      </c>
      <c r="C2955" s="80">
        <v>12</v>
      </c>
      <c r="D2955" s="30" t="s">
        <v>70</v>
      </c>
      <c r="E2955" s="30" t="s">
        <v>42</v>
      </c>
      <c r="F2955" s="30" t="s">
        <v>43</v>
      </c>
      <c r="G2955" s="33">
        <v>2.5840000000000001</v>
      </c>
      <c r="H2955" s="83" t="s">
        <v>88</v>
      </c>
    </row>
    <row r="2956" spans="1:8" ht="16.5" customHeight="1" x14ac:dyDescent="0.25">
      <c r="A2956" s="27">
        <v>46003</v>
      </c>
      <c r="B2956" s="80">
        <v>2025</v>
      </c>
      <c r="C2956" s="80">
        <v>12</v>
      </c>
      <c r="D2956" s="30" t="s">
        <v>70</v>
      </c>
      <c r="E2956" s="30" t="s">
        <v>50</v>
      </c>
      <c r="F2956" s="30" t="s">
        <v>47</v>
      </c>
      <c r="G2956" s="33">
        <v>3.6782222400000002</v>
      </c>
      <c r="H2956" s="83" t="s">
        <v>88</v>
      </c>
    </row>
    <row r="2957" spans="1:8" ht="16.5" customHeight="1" x14ac:dyDescent="0.25">
      <c r="A2957" s="27">
        <v>46003</v>
      </c>
      <c r="B2957" s="80">
        <v>2025</v>
      </c>
      <c r="C2957" s="80">
        <v>12</v>
      </c>
      <c r="D2957" s="30" t="s">
        <v>70</v>
      </c>
      <c r="E2957" s="30" t="s">
        <v>54</v>
      </c>
      <c r="F2957" s="30" t="s">
        <v>43</v>
      </c>
      <c r="G2957" s="33">
        <v>10.617000000000001</v>
      </c>
      <c r="H2957" s="83" t="s">
        <v>88</v>
      </c>
    </row>
    <row r="2958" spans="1:8" ht="16.5" customHeight="1" x14ac:dyDescent="0.25">
      <c r="A2958" s="27">
        <v>46003</v>
      </c>
      <c r="B2958" s="80">
        <v>2025</v>
      </c>
      <c r="C2958" s="80">
        <v>12</v>
      </c>
      <c r="D2958" s="30" t="s">
        <v>70</v>
      </c>
      <c r="E2958" s="30" t="s">
        <v>57</v>
      </c>
      <c r="F2958" s="30" t="s">
        <v>43</v>
      </c>
      <c r="G2958" s="33">
        <v>6.165</v>
      </c>
      <c r="H2958" s="83" t="s">
        <v>89</v>
      </c>
    </row>
    <row r="2959" spans="1:8" ht="16.5" customHeight="1" x14ac:dyDescent="0.25">
      <c r="A2959" s="27">
        <v>46003</v>
      </c>
      <c r="B2959" s="80">
        <v>2025</v>
      </c>
      <c r="C2959" s="80">
        <v>12</v>
      </c>
      <c r="D2959" s="30" t="s">
        <v>70</v>
      </c>
      <c r="E2959" s="30" t="s">
        <v>61</v>
      </c>
      <c r="F2959" s="30" t="s">
        <v>39</v>
      </c>
      <c r="G2959" s="33">
        <v>7.6430999999999996</v>
      </c>
      <c r="H2959" s="83" t="s">
        <v>89</v>
      </c>
    </row>
    <row r="2960" spans="1:8" ht="16.5" customHeight="1" x14ac:dyDescent="0.25">
      <c r="A2960" s="27">
        <v>46003</v>
      </c>
      <c r="B2960" s="80">
        <v>2025</v>
      </c>
      <c r="C2960" s="80">
        <v>12</v>
      </c>
      <c r="D2960" s="30" t="s">
        <v>70</v>
      </c>
      <c r="E2960" s="30" t="s">
        <v>61</v>
      </c>
      <c r="F2960" s="30" t="s">
        <v>43</v>
      </c>
      <c r="G2960" s="33">
        <v>9.35</v>
      </c>
      <c r="H2960" s="83" t="s">
        <v>89</v>
      </c>
    </row>
    <row r="2961" spans="1:8" ht="16.5" customHeight="1" x14ac:dyDescent="0.25">
      <c r="A2961" s="27">
        <v>46003</v>
      </c>
      <c r="B2961" s="80">
        <v>2025</v>
      </c>
      <c r="C2961" s="80">
        <v>12</v>
      </c>
      <c r="D2961" s="30" t="s">
        <v>70</v>
      </c>
      <c r="E2961" s="30" t="s">
        <v>64</v>
      </c>
      <c r="F2961" s="30" t="s">
        <v>43</v>
      </c>
      <c r="G2961" s="33">
        <v>24.783899999999999</v>
      </c>
      <c r="H2961" s="83" t="s">
        <v>89</v>
      </c>
    </row>
    <row r="2962" spans="1:8" ht="16.5" customHeight="1" x14ac:dyDescent="0.25">
      <c r="A2962" s="27">
        <v>46003</v>
      </c>
      <c r="B2962" s="80">
        <v>2025</v>
      </c>
      <c r="C2962" s="80">
        <v>12</v>
      </c>
      <c r="D2962" s="30" t="s">
        <v>70</v>
      </c>
      <c r="E2962" s="30" t="s">
        <v>66</v>
      </c>
      <c r="F2962" s="30" t="s">
        <v>43</v>
      </c>
      <c r="G2962" s="33">
        <v>3.5815000000000001</v>
      </c>
      <c r="H2962" s="83" t="s">
        <v>89</v>
      </c>
    </row>
    <row r="2963" spans="1:8" ht="16.5" customHeight="1" x14ac:dyDescent="0.25">
      <c r="A2963" s="27">
        <v>46003</v>
      </c>
      <c r="B2963" s="80">
        <v>2025</v>
      </c>
      <c r="C2963" s="80">
        <v>12</v>
      </c>
      <c r="D2963" s="30" t="s">
        <v>70</v>
      </c>
      <c r="E2963" s="30" t="s">
        <v>68</v>
      </c>
      <c r="F2963" s="30" t="s">
        <v>43</v>
      </c>
      <c r="G2963" s="33">
        <v>2.0055000000000001</v>
      </c>
      <c r="H2963" s="83" t="s">
        <v>89</v>
      </c>
    </row>
    <row r="2964" spans="1:8" ht="16.5" customHeight="1" x14ac:dyDescent="0.25">
      <c r="A2964" s="27">
        <v>46003</v>
      </c>
      <c r="B2964" s="80">
        <v>2025</v>
      </c>
      <c r="C2964" s="80">
        <v>12</v>
      </c>
      <c r="D2964" s="30" t="s">
        <v>70</v>
      </c>
      <c r="E2964" s="30" t="s">
        <v>74</v>
      </c>
      <c r="F2964" s="30" t="s">
        <v>43</v>
      </c>
      <c r="G2964" s="33">
        <v>8.08995</v>
      </c>
      <c r="H2964" s="83" t="s">
        <v>89</v>
      </c>
    </row>
    <row r="2965" spans="1:8" ht="16.5" customHeight="1" x14ac:dyDescent="0.25">
      <c r="A2965" s="27">
        <v>46006</v>
      </c>
      <c r="B2965" s="80">
        <v>2025</v>
      </c>
      <c r="C2965" s="80">
        <v>12</v>
      </c>
      <c r="D2965" s="30" t="s">
        <v>70</v>
      </c>
      <c r="E2965" s="30" t="s">
        <v>38</v>
      </c>
      <c r="F2965" s="30" t="s">
        <v>43</v>
      </c>
      <c r="G2965" s="33">
        <v>5.4384499999999996</v>
      </c>
      <c r="H2965" s="83" t="s">
        <v>88</v>
      </c>
    </row>
    <row r="2966" spans="1:8" ht="16.5" customHeight="1" x14ac:dyDescent="0.25">
      <c r="A2966" s="27">
        <v>46006</v>
      </c>
      <c r="B2966" s="80">
        <v>2025</v>
      </c>
      <c r="C2966" s="80">
        <v>12</v>
      </c>
      <c r="D2966" s="30" t="s">
        <v>70</v>
      </c>
      <c r="E2966" s="30" t="s">
        <v>38</v>
      </c>
      <c r="F2966" s="30" t="s">
        <v>58</v>
      </c>
      <c r="G2966" s="33">
        <v>0.94756200000000002</v>
      </c>
      <c r="H2966" s="83" t="s">
        <v>88</v>
      </c>
    </row>
    <row r="2967" spans="1:8" ht="16.5" customHeight="1" x14ac:dyDescent="0.25">
      <c r="A2967" s="27">
        <v>46006</v>
      </c>
      <c r="B2967" s="80">
        <v>2025</v>
      </c>
      <c r="C2967" s="80">
        <v>12</v>
      </c>
      <c r="D2967" s="30" t="s">
        <v>70</v>
      </c>
      <c r="E2967" s="30" t="s">
        <v>42</v>
      </c>
      <c r="F2967" s="30" t="s">
        <v>43</v>
      </c>
      <c r="G2967" s="33">
        <v>1.292</v>
      </c>
      <c r="H2967" s="83" t="s">
        <v>88</v>
      </c>
    </row>
    <row r="2968" spans="1:8" ht="16.5" customHeight="1" x14ac:dyDescent="0.25">
      <c r="A2968" s="27">
        <v>46006</v>
      </c>
      <c r="B2968" s="80">
        <v>2025</v>
      </c>
      <c r="C2968" s="80">
        <v>12</v>
      </c>
      <c r="D2968" s="30" t="s">
        <v>70</v>
      </c>
      <c r="E2968" s="30" t="s">
        <v>50</v>
      </c>
      <c r="F2968" s="30" t="s">
        <v>43</v>
      </c>
      <c r="G2968" s="33">
        <v>3.4264931999999999</v>
      </c>
      <c r="H2968" s="83" t="s">
        <v>88</v>
      </c>
    </row>
    <row r="2969" spans="1:8" ht="16.5" customHeight="1" x14ac:dyDescent="0.25">
      <c r="A2969" s="27">
        <v>46006</v>
      </c>
      <c r="B2969" s="80">
        <v>2025</v>
      </c>
      <c r="C2969" s="80">
        <v>12</v>
      </c>
      <c r="D2969" s="30" t="s">
        <v>70</v>
      </c>
      <c r="E2969" s="30" t="s">
        <v>50</v>
      </c>
      <c r="F2969" s="30" t="s">
        <v>47</v>
      </c>
      <c r="G2969" s="33">
        <v>0.88251599999999997</v>
      </c>
      <c r="H2969" s="83" t="s">
        <v>88</v>
      </c>
    </row>
    <row r="2970" spans="1:8" ht="16.5" customHeight="1" x14ac:dyDescent="0.25">
      <c r="A2970" s="27">
        <v>46006</v>
      </c>
      <c r="B2970" s="80">
        <v>2025</v>
      </c>
      <c r="C2970" s="80">
        <v>12</v>
      </c>
      <c r="D2970" s="30" t="s">
        <v>70</v>
      </c>
      <c r="E2970" s="30" t="s">
        <v>50</v>
      </c>
      <c r="F2970" s="30" t="s">
        <v>55</v>
      </c>
      <c r="G2970" s="33">
        <v>0.35699999999999998</v>
      </c>
      <c r="H2970" s="83" t="s">
        <v>88</v>
      </c>
    </row>
    <row r="2971" spans="1:8" ht="16.5" customHeight="1" x14ac:dyDescent="0.25">
      <c r="A2971" s="27">
        <v>46006</v>
      </c>
      <c r="B2971" s="80">
        <v>2025</v>
      </c>
      <c r="C2971" s="80">
        <v>12</v>
      </c>
      <c r="D2971" s="30" t="s">
        <v>70</v>
      </c>
      <c r="E2971" s="30" t="s">
        <v>50</v>
      </c>
      <c r="F2971" s="30" t="s">
        <v>58</v>
      </c>
      <c r="G2971" s="33">
        <v>0.77109508999999998</v>
      </c>
      <c r="H2971" s="83" t="s">
        <v>88</v>
      </c>
    </row>
    <row r="2972" spans="1:8" ht="16.5" customHeight="1" x14ac:dyDescent="0.25">
      <c r="A2972" s="27">
        <v>46006</v>
      </c>
      <c r="B2972" s="80">
        <v>2025</v>
      </c>
      <c r="C2972" s="80">
        <v>12</v>
      </c>
      <c r="D2972" s="30" t="s">
        <v>70</v>
      </c>
      <c r="E2972" s="30" t="s">
        <v>54</v>
      </c>
      <c r="F2972" s="30" t="s">
        <v>43</v>
      </c>
      <c r="G2972" s="33">
        <v>3.09</v>
      </c>
      <c r="H2972" s="83" t="s">
        <v>88</v>
      </c>
    </row>
    <row r="2973" spans="1:8" ht="16.5" customHeight="1" x14ac:dyDescent="0.25">
      <c r="A2973" s="27">
        <v>46006</v>
      </c>
      <c r="B2973" s="80">
        <v>2025</v>
      </c>
      <c r="C2973" s="80">
        <v>12</v>
      </c>
      <c r="D2973" s="30" t="s">
        <v>70</v>
      </c>
      <c r="E2973" s="30" t="s">
        <v>57</v>
      </c>
      <c r="F2973" s="30" t="s">
        <v>39</v>
      </c>
      <c r="G2973" s="33">
        <v>10.9125</v>
      </c>
      <c r="H2973" s="83" t="s">
        <v>89</v>
      </c>
    </row>
    <row r="2974" spans="1:8" ht="16.5" customHeight="1" x14ac:dyDescent="0.25">
      <c r="A2974" s="27">
        <v>46006</v>
      </c>
      <c r="B2974" s="80">
        <v>2025</v>
      </c>
      <c r="C2974" s="80">
        <v>12</v>
      </c>
      <c r="D2974" s="30" t="s">
        <v>70</v>
      </c>
      <c r="E2974" s="30" t="s">
        <v>57</v>
      </c>
      <c r="F2974" s="30" t="s">
        <v>43</v>
      </c>
      <c r="G2974" s="33">
        <v>2.5055999999999998</v>
      </c>
      <c r="H2974" s="83" t="s">
        <v>89</v>
      </c>
    </row>
    <row r="2975" spans="1:8" ht="16.5" customHeight="1" x14ac:dyDescent="0.25">
      <c r="A2975" s="27">
        <v>46006</v>
      </c>
      <c r="B2975" s="80">
        <v>2025</v>
      </c>
      <c r="C2975" s="80">
        <v>12</v>
      </c>
      <c r="D2975" s="30" t="s">
        <v>70</v>
      </c>
      <c r="E2975" s="30" t="s">
        <v>66</v>
      </c>
      <c r="F2975" s="30" t="s">
        <v>43</v>
      </c>
      <c r="G2975" s="33">
        <v>6.67875</v>
      </c>
      <c r="H2975" s="83" t="s">
        <v>89</v>
      </c>
    </row>
    <row r="2976" spans="1:8" ht="16.5" customHeight="1" x14ac:dyDescent="0.25">
      <c r="A2976" s="27">
        <v>46006</v>
      </c>
      <c r="B2976" s="80">
        <v>2025</v>
      </c>
      <c r="C2976" s="80">
        <v>12</v>
      </c>
      <c r="D2976" s="30" t="s">
        <v>70</v>
      </c>
      <c r="E2976" s="30" t="s">
        <v>73</v>
      </c>
      <c r="F2976" s="30" t="s">
        <v>43</v>
      </c>
      <c r="G2976" s="33">
        <v>88.427625000000006</v>
      </c>
      <c r="H2976" s="83" t="s">
        <v>89</v>
      </c>
    </row>
    <row r="2977" spans="1:8" ht="16.5" customHeight="1" x14ac:dyDescent="0.25">
      <c r="A2977" s="27">
        <v>46006</v>
      </c>
      <c r="B2977" s="80">
        <v>2025</v>
      </c>
      <c r="C2977" s="80">
        <v>12</v>
      </c>
      <c r="D2977" s="30" t="s">
        <v>70</v>
      </c>
      <c r="E2977" s="30" t="s">
        <v>75</v>
      </c>
      <c r="F2977" s="30" t="s">
        <v>43</v>
      </c>
      <c r="G2977" s="33">
        <v>4.9851999999999999</v>
      </c>
      <c r="H2977" s="83" t="s">
        <v>48</v>
      </c>
    </row>
    <row r="2978" spans="1:8" ht="16.5" customHeight="1" x14ac:dyDescent="0.25">
      <c r="A2978" s="27">
        <v>46007</v>
      </c>
      <c r="B2978" s="80">
        <v>2025</v>
      </c>
      <c r="C2978" s="80">
        <v>12</v>
      </c>
      <c r="D2978" s="30" t="s">
        <v>70</v>
      </c>
      <c r="E2978" s="30" t="s">
        <v>38</v>
      </c>
      <c r="F2978" s="30" t="s">
        <v>43</v>
      </c>
      <c r="G2978" s="33">
        <v>7.6529999999999996</v>
      </c>
      <c r="H2978" s="83" t="s">
        <v>88</v>
      </c>
    </row>
    <row r="2979" spans="1:8" ht="16.5" customHeight="1" x14ac:dyDescent="0.25">
      <c r="A2979" s="27">
        <v>46007</v>
      </c>
      <c r="B2979" s="80">
        <v>2025</v>
      </c>
      <c r="C2979" s="80">
        <v>12</v>
      </c>
      <c r="D2979" s="30" t="s">
        <v>70</v>
      </c>
      <c r="E2979" s="30" t="s">
        <v>42</v>
      </c>
      <c r="F2979" s="30" t="s">
        <v>43</v>
      </c>
      <c r="G2979" s="33">
        <v>63.4176</v>
      </c>
      <c r="H2979" s="83" t="s">
        <v>88</v>
      </c>
    </row>
    <row r="2980" spans="1:8" ht="16.5" customHeight="1" x14ac:dyDescent="0.25">
      <c r="A2980" s="27">
        <v>46007</v>
      </c>
      <c r="B2980" s="80">
        <v>2025</v>
      </c>
      <c r="C2980" s="80">
        <v>12</v>
      </c>
      <c r="D2980" s="30" t="s">
        <v>70</v>
      </c>
      <c r="E2980" s="30" t="s">
        <v>42</v>
      </c>
      <c r="F2980" s="30" t="s">
        <v>51</v>
      </c>
      <c r="G2980" s="33">
        <v>0.45</v>
      </c>
      <c r="H2980" s="83" t="s">
        <v>88</v>
      </c>
    </row>
    <row r="2981" spans="1:8" ht="16.5" customHeight="1" x14ac:dyDescent="0.25">
      <c r="A2981" s="27">
        <v>46007</v>
      </c>
      <c r="B2981" s="80">
        <v>2025</v>
      </c>
      <c r="C2981" s="80">
        <v>12</v>
      </c>
      <c r="D2981" s="30" t="s">
        <v>70</v>
      </c>
      <c r="E2981" s="30" t="s">
        <v>46</v>
      </c>
      <c r="F2981" s="30" t="s">
        <v>43</v>
      </c>
      <c r="G2981" s="33">
        <v>0.30938399999999999</v>
      </c>
      <c r="H2981" s="83" t="s">
        <v>88</v>
      </c>
    </row>
    <row r="2982" spans="1:8" ht="16.5" customHeight="1" x14ac:dyDescent="0.25">
      <c r="A2982" s="27">
        <v>46007</v>
      </c>
      <c r="B2982" s="80">
        <v>2025</v>
      </c>
      <c r="C2982" s="80">
        <v>12</v>
      </c>
      <c r="D2982" s="30" t="s">
        <v>70</v>
      </c>
      <c r="E2982" s="30" t="s">
        <v>50</v>
      </c>
      <c r="F2982" s="30" t="s">
        <v>43</v>
      </c>
      <c r="G2982" s="33">
        <v>8.6486975000000008</v>
      </c>
      <c r="H2982" s="83" t="s">
        <v>88</v>
      </c>
    </row>
    <row r="2983" spans="1:8" ht="16.5" customHeight="1" x14ac:dyDescent="0.25">
      <c r="A2983" s="27">
        <v>46007</v>
      </c>
      <c r="B2983" s="80">
        <v>2025</v>
      </c>
      <c r="C2983" s="80">
        <v>12</v>
      </c>
      <c r="D2983" s="30" t="s">
        <v>70</v>
      </c>
      <c r="E2983" s="30" t="s">
        <v>50</v>
      </c>
      <c r="F2983" s="30" t="s">
        <v>47</v>
      </c>
      <c r="G2983" s="33">
        <v>0.62160000000000004</v>
      </c>
      <c r="H2983" s="83" t="s">
        <v>88</v>
      </c>
    </row>
    <row r="2984" spans="1:8" ht="16.5" customHeight="1" x14ac:dyDescent="0.25">
      <c r="A2984" s="27">
        <v>46007</v>
      </c>
      <c r="B2984" s="80">
        <v>2025</v>
      </c>
      <c r="C2984" s="80">
        <v>12</v>
      </c>
      <c r="D2984" s="30" t="s">
        <v>70</v>
      </c>
      <c r="E2984" s="30" t="s">
        <v>54</v>
      </c>
      <c r="F2984" s="30" t="s">
        <v>43</v>
      </c>
      <c r="G2984" s="33">
        <v>1.79</v>
      </c>
      <c r="H2984" s="83" t="s">
        <v>88</v>
      </c>
    </row>
    <row r="2985" spans="1:8" ht="16.5" customHeight="1" x14ac:dyDescent="0.25">
      <c r="A2985" s="27">
        <v>46007</v>
      </c>
      <c r="B2985" s="80">
        <v>2025</v>
      </c>
      <c r="C2985" s="80">
        <v>12</v>
      </c>
      <c r="D2985" s="30" t="s">
        <v>70</v>
      </c>
      <c r="E2985" s="30" t="s">
        <v>66</v>
      </c>
      <c r="F2985" s="30" t="s">
        <v>43</v>
      </c>
      <c r="G2985" s="33">
        <v>19.38</v>
      </c>
      <c r="H2985" s="83" t="s">
        <v>89</v>
      </c>
    </row>
    <row r="2986" spans="1:8" ht="16.5" customHeight="1" x14ac:dyDescent="0.25">
      <c r="A2986" s="27">
        <v>46007</v>
      </c>
      <c r="B2986" s="80">
        <v>2025</v>
      </c>
      <c r="C2986" s="80">
        <v>12</v>
      </c>
      <c r="D2986" s="30" t="s">
        <v>70</v>
      </c>
      <c r="E2986" s="30" t="s">
        <v>71</v>
      </c>
      <c r="F2986" s="30" t="s">
        <v>43</v>
      </c>
      <c r="G2986" s="33">
        <v>0.94</v>
      </c>
      <c r="H2986" s="83" t="s">
        <v>89</v>
      </c>
    </row>
    <row r="2987" spans="1:8" ht="16.5" customHeight="1" x14ac:dyDescent="0.25">
      <c r="A2987" s="27">
        <v>46007</v>
      </c>
      <c r="B2987" s="80">
        <v>2025</v>
      </c>
      <c r="C2987" s="80">
        <v>12</v>
      </c>
      <c r="D2987" s="30" t="s">
        <v>70</v>
      </c>
      <c r="E2987" s="30" t="s">
        <v>71</v>
      </c>
      <c r="F2987" s="30" t="s">
        <v>51</v>
      </c>
      <c r="G2987" s="33">
        <v>3.27522</v>
      </c>
      <c r="H2987" s="83" t="s">
        <v>89</v>
      </c>
    </row>
    <row r="2988" spans="1:8" ht="16.5" customHeight="1" x14ac:dyDescent="0.25">
      <c r="A2988" s="27">
        <v>46007</v>
      </c>
      <c r="B2988" s="80">
        <v>2025</v>
      </c>
      <c r="C2988" s="80">
        <v>12</v>
      </c>
      <c r="D2988" s="30" t="s">
        <v>70</v>
      </c>
      <c r="E2988" s="30" t="s">
        <v>75</v>
      </c>
      <c r="F2988" s="30" t="s">
        <v>43</v>
      </c>
      <c r="G2988" s="33">
        <v>72.644565</v>
      </c>
      <c r="H2988" s="83" t="s">
        <v>48</v>
      </c>
    </row>
    <row r="2989" spans="1:8" ht="16.5" customHeight="1" x14ac:dyDescent="0.25">
      <c r="A2989" s="27">
        <v>46007</v>
      </c>
      <c r="B2989" s="80">
        <v>2025</v>
      </c>
      <c r="C2989" s="80">
        <v>12</v>
      </c>
      <c r="D2989" s="30" t="s">
        <v>70</v>
      </c>
      <c r="E2989" s="30" t="s">
        <v>75</v>
      </c>
      <c r="F2989" s="30" t="s">
        <v>47</v>
      </c>
      <c r="G2989" s="33">
        <v>1.179</v>
      </c>
      <c r="H2989" s="83" t="s">
        <v>48</v>
      </c>
    </row>
    <row r="2990" spans="1:8" ht="16.5" customHeight="1" x14ac:dyDescent="0.25">
      <c r="A2990" s="27">
        <v>46008</v>
      </c>
      <c r="B2990" s="80">
        <v>2025</v>
      </c>
      <c r="C2990" s="80">
        <v>12</v>
      </c>
      <c r="D2990" s="30" t="s">
        <v>70</v>
      </c>
      <c r="E2990" s="30" t="s">
        <v>38</v>
      </c>
      <c r="F2990" s="30" t="s">
        <v>43</v>
      </c>
      <c r="G2990" s="33">
        <v>10.755000000000001</v>
      </c>
      <c r="H2990" s="83" t="s">
        <v>88</v>
      </c>
    </row>
    <row r="2991" spans="1:8" ht="16.5" customHeight="1" x14ac:dyDescent="0.25">
      <c r="A2991" s="27">
        <v>46008</v>
      </c>
      <c r="B2991" s="80">
        <v>2025</v>
      </c>
      <c r="C2991" s="80">
        <v>12</v>
      </c>
      <c r="D2991" s="30" t="s">
        <v>70</v>
      </c>
      <c r="E2991" s="30" t="s">
        <v>42</v>
      </c>
      <c r="F2991" s="30" t="s">
        <v>43</v>
      </c>
      <c r="G2991" s="33">
        <v>9.3337500000000002</v>
      </c>
      <c r="H2991" s="83" t="s">
        <v>88</v>
      </c>
    </row>
    <row r="2992" spans="1:8" ht="16.5" customHeight="1" x14ac:dyDescent="0.25">
      <c r="A2992" s="27">
        <v>46008</v>
      </c>
      <c r="B2992" s="80">
        <v>2025</v>
      </c>
      <c r="C2992" s="80">
        <v>12</v>
      </c>
      <c r="D2992" s="30" t="s">
        <v>70</v>
      </c>
      <c r="E2992" s="30" t="s">
        <v>46</v>
      </c>
      <c r="F2992" s="30" t="s">
        <v>58</v>
      </c>
      <c r="G2992" s="33">
        <v>0.36634496</v>
      </c>
      <c r="H2992" s="83" t="s">
        <v>88</v>
      </c>
    </row>
    <row r="2993" spans="1:8" ht="16.5" customHeight="1" x14ac:dyDescent="0.25">
      <c r="A2993" s="27">
        <v>46008</v>
      </c>
      <c r="B2993" s="80">
        <v>2025</v>
      </c>
      <c r="C2993" s="80">
        <v>12</v>
      </c>
      <c r="D2993" s="30" t="s">
        <v>70</v>
      </c>
      <c r="E2993" s="30" t="s">
        <v>54</v>
      </c>
      <c r="F2993" s="30" t="s">
        <v>43</v>
      </c>
      <c r="G2993" s="33">
        <v>4.923</v>
      </c>
      <c r="H2993" s="83" t="s">
        <v>88</v>
      </c>
    </row>
    <row r="2994" spans="1:8" ht="16.5" customHeight="1" x14ac:dyDescent="0.25">
      <c r="A2994" s="27">
        <v>46008</v>
      </c>
      <c r="B2994" s="80">
        <v>2025</v>
      </c>
      <c r="C2994" s="80">
        <v>12</v>
      </c>
      <c r="D2994" s="30" t="s">
        <v>70</v>
      </c>
      <c r="E2994" s="30" t="s">
        <v>66</v>
      </c>
      <c r="F2994" s="30" t="s">
        <v>43</v>
      </c>
      <c r="G2994" s="33">
        <v>26.217500000000001</v>
      </c>
      <c r="H2994" s="83" t="s">
        <v>89</v>
      </c>
    </row>
    <row r="2995" spans="1:8" ht="16.5" customHeight="1" x14ac:dyDescent="0.25">
      <c r="A2995" s="27">
        <v>46008</v>
      </c>
      <c r="B2995" s="80">
        <v>2025</v>
      </c>
      <c r="C2995" s="80">
        <v>12</v>
      </c>
      <c r="D2995" s="30" t="s">
        <v>70</v>
      </c>
      <c r="E2995" s="30" t="s">
        <v>66</v>
      </c>
      <c r="F2995" s="30" t="s">
        <v>47</v>
      </c>
      <c r="G2995" s="33">
        <v>5.95</v>
      </c>
      <c r="H2995" s="83" t="s">
        <v>89</v>
      </c>
    </row>
    <row r="2996" spans="1:8" ht="16.5" customHeight="1" x14ac:dyDescent="0.25">
      <c r="A2996" s="27">
        <v>46008</v>
      </c>
      <c r="B2996" s="80">
        <v>2025</v>
      </c>
      <c r="C2996" s="80">
        <v>12</v>
      </c>
      <c r="D2996" s="30" t="s">
        <v>70</v>
      </c>
      <c r="E2996" s="30" t="s">
        <v>71</v>
      </c>
      <c r="F2996" s="30" t="s">
        <v>39</v>
      </c>
      <c r="G2996" s="33">
        <v>7.7018199999999997</v>
      </c>
      <c r="H2996" s="83" t="s">
        <v>89</v>
      </c>
    </row>
    <row r="2997" spans="1:8" ht="16.5" customHeight="1" x14ac:dyDescent="0.25">
      <c r="A2997" s="27">
        <v>46008</v>
      </c>
      <c r="B2997" s="80">
        <v>2025</v>
      </c>
      <c r="C2997" s="80">
        <v>12</v>
      </c>
      <c r="D2997" s="30" t="s">
        <v>70</v>
      </c>
      <c r="E2997" s="30" t="s">
        <v>71</v>
      </c>
      <c r="F2997" s="30" t="s">
        <v>43</v>
      </c>
      <c r="G2997" s="33">
        <v>1.3552</v>
      </c>
      <c r="H2997" s="83" t="s">
        <v>89</v>
      </c>
    </row>
    <row r="2998" spans="1:8" ht="16.5" customHeight="1" x14ac:dyDescent="0.25">
      <c r="A2998" s="27">
        <v>46009</v>
      </c>
      <c r="B2998" s="80">
        <v>2025</v>
      </c>
      <c r="C2998" s="80">
        <v>12</v>
      </c>
      <c r="D2998" s="30" t="s">
        <v>70</v>
      </c>
      <c r="E2998" s="30" t="s">
        <v>38</v>
      </c>
      <c r="F2998" s="30" t="s">
        <v>43</v>
      </c>
      <c r="G2998" s="33">
        <v>12.24</v>
      </c>
      <c r="H2998" s="83" t="s">
        <v>88</v>
      </c>
    </row>
    <row r="2999" spans="1:8" ht="16.5" customHeight="1" x14ac:dyDescent="0.25">
      <c r="A2999" s="27">
        <v>46009</v>
      </c>
      <c r="B2999" s="80">
        <v>2025</v>
      </c>
      <c r="C2999" s="80">
        <v>12</v>
      </c>
      <c r="D2999" s="30" t="s">
        <v>70</v>
      </c>
      <c r="E2999" s="30" t="s">
        <v>42</v>
      </c>
      <c r="F2999" s="30" t="s">
        <v>43</v>
      </c>
      <c r="G2999" s="33">
        <v>2.3490000000000002</v>
      </c>
      <c r="H2999" s="83" t="s">
        <v>88</v>
      </c>
    </row>
    <row r="3000" spans="1:8" ht="16.5" customHeight="1" x14ac:dyDescent="0.25">
      <c r="A3000" s="27">
        <v>46009</v>
      </c>
      <c r="B3000" s="80">
        <v>2025</v>
      </c>
      <c r="C3000" s="80">
        <v>12</v>
      </c>
      <c r="D3000" s="30" t="s">
        <v>70</v>
      </c>
      <c r="E3000" s="30" t="s">
        <v>46</v>
      </c>
      <c r="F3000" s="30" t="s">
        <v>43</v>
      </c>
      <c r="G3000" s="33">
        <v>4.8960096000000002</v>
      </c>
      <c r="H3000" s="83" t="s">
        <v>88</v>
      </c>
    </row>
    <row r="3001" spans="1:8" ht="16.5" customHeight="1" x14ac:dyDescent="0.25">
      <c r="A3001" s="27">
        <v>46009</v>
      </c>
      <c r="B3001" s="80">
        <v>2025</v>
      </c>
      <c r="C3001" s="80">
        <v>12</v>
      </c>
      <c r="D3001" s="30" t="s">
        <v>70</v>
      </c>
      <c r="E3001" s="30" t="s">
        <v>46</v>
      </c>
      <c r="F3001" s="30" t="s">
        <v>51</v>
      </c>
      <c r="G3001" s="33">
        <v>0.72319999999999995</v>
      </c>
      <c r="H3001" s="83" t="s">
        <v>88</v>
      </c>
    </row>
    <row r="3002" spans="1:8" ht="16.5" customHeight="1" x14ac:dyDescent="0.25">
      <c r="A3002" s="27">
        <v>46009</v>
      </c>
      <c r="B3002" s="80">
        <v>2025</v>
      </c>
      <c r="C3002" s="80">
        <v>12</v>
      </c>
      <c r="D3002" s="30" t="s">
        <v>70</v>
      </c>
      <c r="E3002" s="30" t="s">
        <v>50</v>
      </c>
      <c r="F3002" s="30" t="s">
        <v>43</v>
      </c>
      <c r="G3002" s="33">
        <v>30.245859400000001</v>
      </c>
      <c r="H3002" s="83" t="s">
        <v>88</v>
      </c>
    </row>
    <row r="3003" spans="1:8" ht="16.5" customHeight="1" x14ac:dyDescent="0.25">
      <c r="A3003" s="27">
        <v>46009</v>
      </c>
      <c r="B3003" s="80">
        <v>2025</v>
      </c>
      <c r="C3003" s="80">
        <v>12</v>
      </c>
      <c r="D3003" s="30" t="s">
        <v>70</v>
      </c>
      <c r="E3003" s="30" t="s">
        <v>50</v>
      </c>
      <c r="F3003" s="30" t="s">
        <v>47</v>
      </c>
      <c r="G3003" s="33">
        <v>0.62160000000000004</v>
      </c>
      <c r="H3003" s="83" t="s">
        <v>88</v>
      </c>
    </row>
    <row r="3004" spans="1:8" ht="16.5" customHeight="1" x14ac:dyDescent="0.25">
      <c r="A3004" s="27">
        <v>46009</v>
      </c>
      <c r="B3004" s="80">
        <v>2025</v>
      </c>
      <c r="C3004" s="80">
        <v>12</v>
      </c>
      <c r="D3004" s="30" t="s">
        <v>70</v>
      </c>
      <c r="E3004" s="30" t="s">
        <v>50</v>
      </c>
      <c r="F3004" s="30" t="s">
        <v>55</v>
      </c>
      <c r="G3004" s="33">
        <v>0.26475539999999997</v>
      </c>
      <c r="H3004" s="83" t="s">
        <v>88</v>
      </c>
    </row>
    <row r="3005" spans="1:8" ht="16.5" customHeight="1" x14ac:dyDescent="0.25">
      <c r="A3005" s="27">
        <v>46009</v>
      </c>
      <c r="B3005" s="80">
        <v>2025</v>
      </c>
      <c r="C3005" s="80">
        <v>12</v>
      </c>
      <c r="D3005" s="30" t="s">
        <v>70</v>
      </c>
      <c r="E3005" s="30" t="s">
        <v>50</v>
      </c>
      <c r="F3005" s="30" t="s">
        <v>58</v>
      </c>
      <c r="G3005" s="33">
        <v>2.8217944949999998</v>
      </c>
      <c r="H3005" s="83" t="s">
        <v>88</v>
      </c>
    </row>
    <row r="3006" spans="1:8" ht="16.5" customHeight="1" x14ac:dyDescent="0.25">
      <c r="A3006" s="27">
        <v>46009</v>
      </c>
      <c r="B3006" s="80">
        <v>2025</v>
      </c>
      <c r="C3006" s="80">
        <v>12</v>
      </c>
      <c r="D3006" s="30" t="s">
        <v>70</v>
      </c>
      <c r="E3006" s="30" t="s">
        <v>54</v>
      </c>
      <c r="F3006" s="30" t="s">
        <v>43</v>
      </c>
      <c r="G3006" s="33">
        <v>15.26</v>
      </c>
      <c r="H3006" s="83" t="s">
        <v>88</v>
      </c>
    </row>
    <row r="3007" spans="1:8" ht="16.5" customHeight="1" x14ac:dyDescent="0.25">
      <c r="A3007" s="27">
        <v>46009</v>
      </c>
      <c r="B3007" s="80">
        <v>2025</v>
      </c>
      <c r="C3007" s="80">
        <v>12</v>
      </c>
      <c r="D3007" s="30" t="s">
        <v>70</v>
      </c>
      <c r="E3007" s="30" t="s">
        <v>66</v>
      </c>
      <c r="F3007" s="30" t="s">
        <v>39</v>
      </c>
      <c r="G3007" s="33">
        <v>5.18</v>
      </c>
      <c r="H3007" s="83" t="s">
        <v>89</v>
      </c>
    </row>
    <row r="3008" spans="1:8" ht="16.5" customHeight="1" x14ac:dyDescent="0.25">
      <c r="A3008" s="27">
        <v>46009</v>
      </c>
      <c r="B3008" s="80">
        <v>2025</v>
      </c>
      <c r="C3008" s="80">
        <v>12</v>
      </c>
      <c r="D3008" s="30" t="s">
        <v>70</v>
      </c>
      <c r="E3008" s="30" t="s">
        <v>68</v>
      </c>
      <c r="F3008" s="30" t="s">
        <v>55</v>
      </c>
      <c r="G3008" s="33">
        <v>1.24</v>
      </c>
      <c r="H3008" s="83" t="s">
        <v>89</v>
      </c>
    </row>
    <row r="3009" spans="1:8" ht="16.5" customHeight="1" x14ac:dyDescent="0.25">
      <c r="A3009" s="27">
        <v>46009</v>
      </c>
      <c r="B3009" s="80">
        <v>2025</v>
      </c>
      <c r="C3009" s="80">
        <v>12</v>
      </c>
      <c r="D3009" s="30" t="s">
        <v>70</v>
      </c>
      <c r="E3009" s="30" t="s">
        <v>71</v>
      </c>
      <c r="F3009" s="30" t="s">
        <v>43</v>
      </c>
      <c r="G3009" s="33">
        <v>25.265999999999998</v>
      </c>
      <c r="H3009" s="83" t="s">
        <v>89</v>
      </c>
    </row>
    <row r="3010" spans="1:8" ht="16.5" customHeight="1" x14ac:dyDescent="0.25">
      <c r="A3010" s="27">
        <v>46009</v>
      </c>
      <c r="B3010" s="80">
        <v>2025</v>
      </c>
      <c r="C3010" s="80">
        <v>12</v>
      </c>
      <c r="D3010" s="30" t="s">
        <v>70</v>
      </c>
      <c r="E3010" s="30" t="s">
        <v>75</v>
      </c>
      <c r="F3010" s="30" t="s">
        <v>43</v>
      </c>
      <c r="G3010" s="33">
        <v>9.2034944999999997</v>
      </c>
      <c r="H3010" s="83" t="s">
        <v>48</v>
      </c>
    </row>
    <row r="3011" spans="1:8" ht="16.5" customHeight="1" x14ac:dyDescent="0.25">
      <c r="A3011" s="27">
        <v>46009</v>
      </c>
      <c r="B3011" s="80">
        <v>2025</v>
      </c>
      <c r="C3011" s="80">
        <v>12</v>
      </c>
      <c r="D3011" s="30" t="s">
        <v>70</v>
      </c>
      <c r="E3011" s="30" t="s">
        <v>76</v>
      </c>
      <c r="F3011" s="30" t="s">
        <v>39</v>
      </c>
      <c r="G3011" s="33">
        <v>51.4076235</v>
      </c>
      <c r="H3011" s="83" t="s">
        <v>48</v>
      </c>
    </row>
    <row r="3012" spans="1:8" ht="16.5" customHeight="1" x14ac:dyDescent="0.25">
      <c r="A3012" s="27">
        <v>46010</v>
      </c>
      <c r="B3012" s="80">
        <v>2025</v>
      </c>
      <c r="C3012" s="80">
        <v>12</v>
      </c>
      <c r="D3012" s="30" t="s">
        <v>70</v>
      </c>
      <c r="E3012" s="30" t="s">
        <v>42</v>
      </c>
      <c r="F3012" s="30" t="s">
        <v>43</v>
      </c>
      <c r="G3012" s="33">
        <v>6.58</v>
      </c>
      <c r="H3012" s="83" t="s">
        <v>88</v>
      </c>
    </row>
    <row r="3013" spans="1:8" ht="16.5" customHeight="1" x14ac:dyDescent="0.25">
      <c r="A3013" s="27">
        <v>46010</v>
      </c>
      <c r="B3013" s="80">
        <v>2025</v>
      </c>
      <c r="C3013" s="80">
        <v>12</v>
      </c>
      <c r="D3013" s="30" t="s">
        <v>70</v>
      </c>
      <c r="E3013" s="30" t="s">
        <v>50</v>
      </c>
      <c r="F3013" s="30" t="s">
        <v>58</v>
      </c>
      <c r="G3013" s="33">
        <v>7.2508233600000001</v>
      </c>
      <c r="H3013" s="83" t="s">
        <v>88</v>
      </c>
    </row>
    <row r="3014" spans="1:8" ht="16.5" customHeight="1" x14ac:dyDescent="0.25">
      <c r="A3014" s="27">
        <v>46010</v>
      </c>
      <c r="B3014" s="80">
        <v>2025</v>
      </c>
      <c r="C3014" s="80">
        <v>12</v>
      </c>
      <c r="D3014" s="30" t="s">
        <v>70</v>
      </c>
      <c r="E3014" s="30" t="s">
        <v>54</v>
      </c>
      <c r="F3014" s="30" t="s">
        <v>43</v>
      </c>
      <c r="G3014" s="33">
        <v>2.44225</v>
      </c>
      <c r="H3014" s="83" t="s">
        <v>88</v>
      </c>
    </row>
    <row r="3015" spans="1:8" ht="16.5" customHeight="1" x14ac:dyDescent="0.25">
      <c r="A3015" s="27">
        <v>46010</v>
      </c>
      <c r="B3015" s="80">
        <v>2025</v>
      </c>
      <c r="C3015" s="80">
        <v>12</v>
      </c>
      <c r="D3015" s="30" t="s">
        <v>70</v>
      </c>
      <c r="E3015" s="30" t="s">
        <v>61</v>
      </c>
      <c r="F3015" s="30" t="s">
        <v>43</v>
      </c>
      <c r="G3015" s="33">
        <v>1.3959999999999999</v>
      </c>
      <c r="H3015" s="83" t="s">
        <v>89</v>
      </c>
    </row>
    <row r="3016" spans="1:8" ht="16.5" customHeight="1" x14ac:dyDescent="0.25">
      <c r="A3016" s="27">
        <v>46010</v>
      </c>
      <c r="B3016" s="80">
        <v>2025</v>
      </c>
      <c r="C3016" s="80">
        <v>12</v>
      </c>
      <c r="D3016" s="30" t="s">
        <v>70</v>
      </c>
      <c r="E3016" s="30" t="s">
        <v>64</v>
      </c>
      <c r="F3016" s="30" t="s">
        <v>43</v>
      </c>
      <c r="G3016" s="33">
        <v>3.9931100000000002</v>
      </c>
      <c r="H3016" s="83" t="s">
        <v>89</v>
      </c>
    </row>
    <row r="3017" spans="1:8" ht="16.5" customHeight="1" x14ac:dyDescent="0.25">
      <c r="A3017" s="27">
        <v>46010</v>
      </c>
      <c r="B3017" s="80">
        <v>2025</v>
      </c>
      <c r="C3017" s="80">
        <v>12</v>
      </c>
      <c r="D3017" s="30" t="s">
        <v>70</v>
      </c>
      <c r="E3017" s="30" t="s">
        <v>66</v>
      </c>
      <c r="F3017" s="30" t="s">
        <v>39</v>
      </c>
      <c r="G3017" s="33">
        <v>24.393599999999999</v>
      </c>
      <c r="H3017" s="83" t="s">
        <v>89</v>
      </c>
    </row>
    <row r="3018" spans="1:8" ht="16.5" customHeight="1" x14ac:dyDescent="0.25">
      <c r="A3018" s="27">
        <v>46010</v>
      </c>
      <c r="B3018" s="80">
        <v>2025</v>
      </c>
      <c r="C3018" s="80">
        <v>12</v>
      </c>
      <c r="D3018" s="30" t="s">
        <v>70</v>
      </c>
      <c r="E3018" s="30" t="s">
        <v>66</v>
      </c>
      <c r="F3018" s="30" t="s">
        <v>43</v>
      </c>
      <c r="G3018" s="33">
        <v>3.7174999999999998</v>
      </c>
      <c r="H3018" s="83" t="s">
        <v>89</v>
      </c>
    </row>
    <row r="3019" spans="1:8" ht="16.5" customHeight="1" x14ac:dyDescent="0.25">
      <c r="A3019" s="27">
        <v>46010</v>
      </c>
      <c r="B3019" s="80">
        <v>2025</v>
      </c>
      <c r="C3019" s="80">
        <v>12</v>
      </c>
      <c r="D3019" s="30" t="s">
        <v>70</v>
      </c>
      <c r="E3019" s="30" t="s">
        <v>66</v>
      </c>
      <c r="F3019" s="30" t="s">
        <v>51</v>
      </c>
      <c r="G3019" s="33">
        <v>2.2799999999999998</v>
      </c>
      <c r="H3019" s="83" t="s">
        <v>89</v>
      </c>
    </row>
    <row r="3020" spans="1:8" ht="16.5" customHeight="1" x14ac:dyDescent="0.25">
      <c r="A3020" s="27">
        <v>46010</v>
      </c>
      <c r="B3020" s="80">
        <v>2025</v>
      </c>
      <c r="C3020" s="80">
        <v>12</v>
      </c>
      <c r="D3020" s="30" t="s">
        <v>70</v>
      </c>
      <c r="E3020" s="30" t="s">
        <v>66</v>
      </c>
      <c r="F3020" s="30" t="s">
        <v>55</v>
      </c>
      <c r="G3020" s="33">
        <v>1.95</v>
      </c>
      <c r="H3020" s="83" t="s">
        <v>89</v>
      </c>
    </row>
    <row r="3021" spans="1:8" ht="16.5" customHeight="1" x14ac:dyDescent="0.25">
      <c r="A3021" s="27">
        <v>46010</v>
      </c>
      <c r="B3021" s="80">
        <v>2025</v>
      </c>
      <c r="C3021" s="80">
        <v>12</v>
      </c>
      <c r="D3021" s="30" t="s">
        <v>70</v>
      </c>
      <c r="E3021" s="30" t="s">
        <v>71</v>
      </c>
      <c r="F3021" s="30" t="s">
        <v>43</v>
      </c>
      <c r="G3021" s="33">
        <v>3.3450000000000002</v>
      </c>
      <c r="H3021" s="83" t="s">
        <v>89</v>
      </c>
    </row>
    <row r="3022" spans="1:8" ht="16.5" customHeight="1" x14ac:dyDescent="0.25">
      <c r="A3022" s="27">
        <v>46010</v>
      </c>
      <c r="B3022" s="80">
        <v>2025</v>
      </c>
      <c r="C3022" s="80">
        <v>12</v>
      </c>
      <c r="D3022" s="30" t="s">
        <v>70</v>
      </c>
      <c r="E3022" s="30" t="s">
        <v>73</v>
      </c>
      <c r="F3022" s="30" t="s">
        <v>43</v>
      </c>
      <c r="G3022" s="33">
        <v>1.54775</v>
      </c>
      <c r="H3022" s="83" t="s">
        <v>89</v>
      </c>
    </row>
    <row r="3023" spans="1:8" ht="16.5" customHeight="1" x14ac:dyDescent="0.25">
      <c r="A3023" s="27">
        <v>46013</v>
      </c>
      <c r="B3023" s="80">
        <v>2025</v>
      </c>
      <c r="C3023" s="80">
        <v>12</v>
      </c>
      <c r="D3023" s="30" t="s">
        <v>70</v>
      </c>
      <c r="E3023" s="30" t="s">
        <v>38</v>
      </c>
      <c r="F3023" s="30" t="s">
        <v>43</v>
      </c>
      <c r="G3023" s="33">
        <v>2.2250000000000001</v>
      </c>
      <c r="H3023" s="83" t="s">
        <v>88</v>
      </c>
    </row>
    <row r="3024" spans="1:8" ht="16.5" customHeight="1" x14ac:dyDescent="0.25">
      <c r="A3024" s="27">
        <v>46013</v>
      </c>
      <c r="B3024" s="80">
        <v>2025</v>
      </c>
      <c r="C3024" s="80">
        <v>12</v>
      </c>
      <c r="D3024" s="30" t="s">
        <v>70</v>
      </c>
      <c r="E3024" s="30" t="s">
        <v>46</v>
      </c>
      <c r="F3024" s="30" t="s">
        <v>43</v>
      </c>
      <c r="G3024" s="33">
        <v>0.4</v>
      </c>
      <c r="H3024" s="83" t="s">
        <v>88</v>
      </c>
    </row>
    <row r="3025" spans="1:8" ht="16.5" customHeight="1" x14ac:dyDescent="0.25">
      <c r="A3025" s="27">
        <v>46013</v>
      </c>
      <c r="B3025" s="80">
        <v>2025</v>
      </c>
      <c r="C3025" s="80">
        <v>12</v>
      </c>
      <c r="D3025" s="30" t="s">
        <v>70</v>
      </c>
      <c r="E3025" s="30" t="s">
        <v>46</v>
      </c>
      <c r="F3025" s="30" t="s">
        <v>47</v>
      </c>
      <c r="G3025" s="33">
        <v>0.20924799999999999</v>
      </c>
      <c r="H3025" s="83" t="s">
        <v>88</v>
      </c>
    </row>
    <row r="3026" spans="1:8" ht="16.5" customHeight="1" x14ac:dyDescent="0.25">
      <c r="A3026" s="27">
        <v>46013</v>
      </c>
      <c r="B3026" s="80">
        <v>2025</v>
      </c>
      <c r="C3026" s="80">
        <v>12</v>
      </c>
      <c r="D3026" s="30" t="s">
        <v>70</v>
      </c>
      <c r="E3026" s="30" t="s">
        <v>46</v>
      </c>
      <c r="F3026" s="30" t="s">
        <v>58</v>
      </c>
      <c r="G3026" s="33">
        <v>0.24811984000000001</v>
      </c>
      <c r="H3026" s="83" t="s">
        <v>88</v>
      </c>
    </row>
    <row r="3027" spans="1:8" ht="16.5" customHeight="1" x14ac:dyDescent="0.25">
      <c r="A3027" s="27">
        <v>46013</v>
      </c>
      <c r="B3027" s="80">
        <v>2025</v>
      </c>
      <c r="C3027" s="80">
        <v>12</v>
      </c>
      <c r="D3027" s="30" t="s">
        <v>70</v>
      </c>
      <c r="E3027" s="30" t="s">
        <v>50</v>
      </c>
      <c r="F3027" s="30" t="s">
        <v>43</v>
      </c>
      <c r="G3027" s="33">
        <v>2.5969920000000002</v>
      </c>
      <c r="H3027" s="83" t="s">
        <v>88</v>
      </c>
    </row>
    <row r="3028" spans="1:8" ht="16.5" customHeight="1" x14ac:dyDescent="0.25">
      <c r="A3028" s="27">
        <v>46013</v>
      </c>
      <c r="B3028" s="80">
        <v>2025</v>
      </c>
      <c r="C3028" s="80">
        <v>12</v>
      </c>
      <c r="D3028" s="30" t="s">
        <v>70</v>
      </c>
      <c r="E3028" s="30" t="s">
        <v>50</v>
      </c>
      <c r="F3028" s="30" t="s">
        <v>47</v>
      </c>
      <c r="G3028" s="33">
        <v>0.43146600000000002</v>
      </c>
      <c r="H3028" s="83" t="s">
        <v>88</v>
      </c>
    </row>
    <row r="3029" spans="1:8" ht="16.5" customHeight="1" x14ac:dyDescent="0.25">
      <c r="A3029" s="27">
        <v>46013</v>
      </c>
      <c r="B3029" s="80">
        <v>2025</v>
      </c>
      <c r="C3029" s="80">
        <v>12</v>
      </c>
      <c r="D3029" s="30" t="s">
        <v>70</v>
      </c>
      <c r="E3029" s="30" t="s">
        <v>50</v>
      </c>
      <c r="F3029" s="30" t="s">
        <v>51</v>
      </c>
      <c r="G3029" s="33">
        <v>1.496</v>
      </c>
      <c r="H3029" s="83" t="s">
        <v>88</v>
      </c>
    </row>
    <row r="3030" spans="1:8" ht="16.5" customHeight="1" x14ac:dyDescent="0.25">
      <c r="A3030" s="27">
        <v>46013</v>
      </c>
      <c r="B3030" s="80">
        <v>2025</v>
      </c>
      <c r="C3030" s="80">
        <v>12</v>
      </c>
      <c r="D3030" s="30" t="s">
        <v>70</v>
      </c>
      <c r="E3030" s="30" t="s">
        <v>50</v>
      </c>
      <c r="F3030" s="30" t="s">
        <v>55</v>
      </c>
      <c r="G3030" s="33">
        <v>0.65280000000000005</v>
      </c>
      <c r="H3030" s="83" t="s">
        <v>88</v>
      </c>
    </row>
    <row r="3031" spans="1:8" ht="16.5" customHeight="1" x14ac:dyDescent="0.25">
      <c r="A3031" s="27">
        <v>46013</v>
      </c>
      <c r="B3031" s="80">
        <v>2025</v>
      </c>
      <c r="C3031" s="80">
        <v>12</v>
      </c>
      <c r="D3031" s="30" t="s">
        <v>70</v>
      </c>
      <c r="E3031" s="30" t="s">
        <v>50</v>
      </c>
      <c r="F3031" s="30" t="s">
        <v>58</v>
      </c>
      <c r="G3031" s="33">
        <v>0.24464591999999999</v>
      </c>
      <c r="H3031" s="83" t="s">
        <v>88</v>
      </c>
    </row>
    <row r="3032" spans="1:8" ht="16.5" customHeight="1" x14ac:dyDescent="0.25">
      <c r="A3032" s="27">
        <v>46013</v>
      </c>
      <c r="B3032" s="80">
        <v>2025</v>
      </c>
      <c r="C3032" s="80">
        <v>12</v>
      </c>
      <c r="D3032" s="30" t="s">
        <v>70</v>
      </c>
      <c r="E3032" s="30" t="s">
        <v>54</v>
      </c>
      <c r="F3032" s="30" t="s">
        <v>43</v>
      </c>
      <c r="G3032" s="33">
        <v>2.407</v>
      </c>
      <c r="H3032" s="83" t="s">
        <v>88</v>
      </c>
    </row>
    <row r="3033" spans="1:8" ht="16.5" customHeight="1" x14ac:dyDescent="0.25">
      <c r="A3033" s="27">
        <v>46013</v>
      </c>
      <c r="B3033" s="80">
        <v>2025</v>
      </c>
      <c r="C3033" s="80">
        <v>12</v>
      </c>
      <c r="D3033" s="30" t="s">
        <v>70</v>
      </c>
      <c r="E3033" s="30" t="s">
        <v>57</v>
      </c>
      <c r="F3033" s="30" t="s">
        <v>43</v>
      </c>
      <c r="G3033" s="33">
        <v>3.4910000000000001</v>
      </c>
      <c r="H3033" s="83" t="s">
        <v>89</v>
      </c>
    </row>
    <row r="3034" spans="1:8" ht="16.5" customHeight="1" x14ac:dyDescent="0.25">
      <c r="A3034" s="27">
        <v>46013</v>
      </c>
      <c r="B3034" s="80">
        <v>2025</v>
      </c>
      <c r="C3034" s="80">
        <v>12</v>
      </c>
      <c r="D3034" s="30" t="s">
        <v>70</v>
      </c>
      <c r="E3034" s="30" t="s">
        <v>61</v>
      </c>
      <c r="F3034" s="30" t="s">
        <v>43</v>
      </c>
      <c r="G3034" s="33">
        <v>11.96</v>
      </c>
      <c r="H3034" s="83" t="s">
        <v>89</v>
      </c>
    </row>
    <row r="3035" spans="1:8" ht="16.5" customHeight="1" x14ac:dyDescent="0.25">
      <c r="A3035" s="27">
        <v>46013</v>
      </c>
      <c r="B3035" s="80">
        <v>2025</v>
      </c>
      <c r="C3035" s="80">
        <v>12</v>
      </c>
      <c r="D3035" s="30" t="s">
        <v>70</v>
      </c>
      <c r="E3035" s="30" t="s">
        <v>64</v>
      </c>
      <c r="F3035" s="30" t="s">
        <v>55</v>
      </c>
      <c r="G3035" s="33">
        <v>1.38</v>
      </c>
      <c r="H3035" s="83" t="s">
        <v>89</v>
      </c>
    </row>
    <row r="3036" spans="1:8" ht="16.5" customHeight="1" x14ac:dyDescent="0.25">
      <c r="A3036" s="27">
        <v>46013</v>
      </c>
      <c r="B3036" s="80">
        <v>2025</v>
      </c>
      <c r="C3036" s="80">
        <v>12</v>
      </c>
      <c r="D3036" s="30" t="s">
        <v>70</v>
      </c>
      <c r="E3036" s="30" t="s">
        <v>68</v>
      </c>
      <c r="F3036" s="30" t="s">
        <v>43</v>
      </c>
      <c r="G3036" s="33">
        <v>0.66039999999999999</v>
      </c>
      <c r="H3036" s="83" t="s">
        <v>89</v>
      </c>
    </row>
    <row r="3037" spans="1:8" ht="16.5" customHeight="1" x14ac:dyDescent="0.25">
      <c r="A3037" s="27">
        <v>46013</v>
      </c>
      <c r="B3037" s="80">
        <v>2025</v>
      </c>
      <c r="C3037" s="80">
        <v>12</v>
      </c>
      <c r="D3037" s="30" t="s">
        <v>70</v>
      </c>
      <c r="E3037" s="30" t="s">
        <v>75</v>
      </c>
      <c r="F3037" s="30" t="s">
        <v>39</v>
      </c>
      <c r="G3037" s="33">
        <v>95.227199999999996</v>
      </c>
      <c r="H3037" s="83" t="s">
        <v>48</v>
      </c>
    </row>
    <row r="3038" spans="1:8" ht="16.5" customHeight="1" x14ac:dyDescent="0.25">
      <c r="A3038" s="27">
        <v>46013</v>
      </c>
      <c r="B3038" s="80">
        <v>2025</v>
      </c>
      <c r="C3038" s="80">
        <v>12</v>
      </c>
      <c r="D3038" s="30" t="s">
        <v>70</v>
      </c>
      <c r="E3038" s="30" t="s">
        <v>75</v>
      </c>
      <c r="F3038" s="30" t="s">
        <v>43</v>
      </c>
      <c r="G3038" s="33">
        <v>12.648002999999999</v>
      </c>
      <c r="H3038" s="83" t="s">
        <v>48</v>
      </c>
    </row>
    <row r="3039" spans="1:8" ht="16.5" customHeight="1" x14ac:dyDescent="0.25">
      <c r="A3039" s="27">
        <v>46013</v>
      </c>
      <c r="B3039" s="80">
        <v>2025</v>
      </c>
      <c r="C3039" s="80">
        <v>12</v>
      </c>
      <c r="D3039" s="30" t="s">
        <v>70</v>
      </c>
      <c r="E3039" s="30" t="s">
        <v>76</v>
      </c>
      <c r="F3039" s="30" t="s">
        <v>39</v>
      </c>
      <c r="G3039" s="33">
        <v>54.883187499999998</v>
      </c>
      <c r="H3039" s="83" t="s">
        <v>48</v>
      </c>
    </row>
    <row r="3040" spans="1:8" ht="16.5" customHeight="1" x14ac:dyDescent="0.25">
      <c r="A3040" s="27">
        <v>46014</v>
      </c>
      <c r="B3040" s="80">
        <v>2025</v>
      </c>
      <c r="C3040" s="80">
        <v>12</v>
      </c>
      <c r="D3040" s="30" t="s">
        <v>70</v>
      </c>
      <c r="E3040" s="30" t="s">
        <v>42</v>
      </c>
      <c r="F3040" s="30" t="s">
        <v>58</v>
      </c>
      <c r="G3040" s="33">
        <v>0.59699000000000002</v>
      </c>
      <c r="H3040" s="83" t="s">
        <v>88</v>
      </c>
    </row>
    <row r="3041" spans="1:8" ht="16.5" customHeight="1" x14ac:dyDescent="0.25">
      <c r="A3041" s="27">
        <v>46014</v>
      </c>
      <c r="B3041" s="80">
        <v>2025</v>
      </c>
      <c r="C3041" s="80">
        <v>12</v>
      </c>
      <c r="D3041" s="30" t="s">
        <v>70</v>
      </c>
      <c r="E3041" s="30" t="s">
        <v>50</v>
      </c>
      <c r="F3041" s="30" t="s">
        <v>58</v>
      </c>
      <c r="G3041" s="33">
        <v>10.660299999999999</v>
      </c>
      <c r="H3041" s="83" t="s">
        <v>88</v>
      </c>
    </row>
    <row r="3042" spans="1:8" ht="16.5" customHeight="1" x14ac:dyDescent="0.25">
      <c r="A3042" s="27">
        <v>46014</v>
      </c>
      <c r="B3042" s="80">
        <v>2025</v>
      </c>
      <c r="C3042" s="80">
        <v>12</v>
      </c>
      <c r="D3042" s="30" t="s">
        <v>70</v>
      </c>
      <c r="E3042" s="30" t="s">
        <v>54</v>
      </c>
      <c r="F3042" s="30" t="s">
        <v>43</v>
      </c>
      <c r="G3042" s="33">
        <v>6.2460000000000004</v>
      </c>
      <c r="H3042" s="83" t="s">
        <v>88</v>
      </c>
    </row>
    <row r="3043" spans="1:8" ht="16.5" customHeight="1" x14ac:dyDescent="0.25">
      <c r="A3043" s="27">
        <v>46014</v>
      </c>
      <c r="B3043" s="80">
        <v>2025</v>
      </c>
      <c r="C3043" s="80">
        <v>12</v>
      </c>
      <c r="D3043" s="30" t="s">
        <v>70</v>
      </c>
      <c r="E3043" s="30" t="s">
        <v>57</v>
      </c>
      <c r="F3043" s="30" t="s">
        <v>43</v>
      </c>
      <c r="G3043" s="33">
        <v>20.248750000000001</v>
      </c>
      <c r="H3043" s="83" t="s">
        <v>89</v>
      </c>
    </row>
    <row r="3044" spans="1:8" ht="16.5" customHeight="1" x14ac:dyDescent="0.25">
      <c r="A3044" s="27">
        <v>46014</v>
      </c>
      <c r="B3044" s="80">
        <v>2025</v>
      </c>
      <c r="C3044" s="80">
        <v>12</v>
      </c>
      <c r="D3044" s="30" t="s">
        <v>70</v>
      </c>
      <c r="E3044" s="30" t="s">
        <v>64</v>
      </c>
      <c r="F3044" s="30" t="s">
        <v>43</v>
      </c>
      <c r="G3044" s="33">
        <v>3.5175000000000001</v>
      </c>
      <c r="H3044" s="83" t="s">
        <v>89</v>
      </c>
    </row>
    <row r="3045" spans="1:8" ht="16.5" customHeight="1" x14ac:dyDescent="0.25">
      <c r="A3045" s="27">
        <v>46015</v>
      </c>
      <c r="B3045" s="80">
        <v>2025</v>
      </c>
      <c r="C3045" s="80">
        <v>12</v>
      </c>
      <c r="D3045" s="30" t="s">
        <v>70</v>
      </c>
      <c r="E3045" s="30" t="s">
        <v>50</v>
      </c>
      <c r="F3045" s="30" t="s">
        <v>51</v>
      </c>
      <c r="G3045" s="33">
        <v>1.377</v>
      </c>
      <c r="H3045" s="83" t="s">
        <v>88</v>
      </c>
    </row>
    <row r="3046" spans="1:8" ht="16.5" customHeight="1" x14ac:dyDescent="0.25">
      <c r="A3046" s="27">
        <v>46016</v>
      </c>
      <c r="B3046" s="80">
        <v>2025</v>
      </c>
      <c r="C3046" s="80">
        <v>12</v>
      </c>
      <c r="D3046" s="30" t="s">
        <v>70</v>
      </c>
      <c r="E3046" s="30" t="s">
        <v>50</v>
      </c>
      <c r="F3046" s="30" t="s">
        <v>47</v>
      </c>
      <c r="G3046" s="33">
        <v>0.62160000000000004</v>
      </c>
      <c r="H3046" s="83" t="s">
        <v>88</v>
      </c>
    </row>
    <row r="3047" spans="1:8" ht="16.5" customHeight="1" x14ac:dyDescent="0.25">
      <c r="A3047" s="27">
        <v>46020</v>
      </c>
      <c r="B3047" s="80">
        <v>2025</v>
      </c>
      <c r="C3047" s="80">
        <v>12</v>
      </c>
      <c r="D3047" s="30" t="s">
        <v>70</v>
      </c>
      <c r="E3047" s="30" t="s">
        <v>38</v>
      </c>
      <c r="F3047" s="30" t="s">
        <v>43</v>
      </c>
      <c r="G3047" s="33">
        <v>4.7602500000000001</v>
      </c>
      <c r="H3047" s="83" t="s">
        <v>88</v>
      </c>
    </row>
    <row r="3048" spans="1:8" ht="16.5" customHeight="1" x14ac:dyDescent="0.25">
      <c r="A3048" s="27">
        <v>46020</v>
      </c>
      <c r="B3048" s="80">
        <v>2025</v>
      </c>
      <c r="C3048" s="80">
        <v>12</v>
      </c>
      <c r="D3048" s="30" t="s">
        <v>70</v>
      </c>
      <c r="E3048" s="30" t="s">
        <v>50</v>
      </c>
      <c r="F3048" s="30" t="s">
        <v>43</v>
      </c>
      <c r="G3048" s="33">
        <v>0.75224999999999997</v>
      </c>
      <c r="H3048" s="83" t="s">
        <v>88</v>
      </c>
    </row>
    <row r="3049" spans="1:8" ht="16.5" customHeight="1" x14ac:dyDescent="0.25">
      <c r="A3049" s="27">
        <v>46020</v>
      </c>
      <c r="B3049" s="80">
        <v>2025</v>
      </c>
      <c r="C3049" s="80">
        <v>12</v>
      </c>
      <c r="D3049" s="30" t="s">
        <v>70</v>
      </c>
      <c r="E3049" s="30" t="s">
        <v>50</v>
      </c>
      <c r="F3049" s="30" t="s">
        <v>47</v>
      </c>
      <c r="G3049" s="33">
        <v>0.62160000000000004</v>
      </c>
      <c r="H3049" s="83" t="s">
        <v>88</v>
      </c>
    </row>
    <row r="3050" spans="1:8" ht="16.5" customHeight="1" x14ac:dyDescent="0.25">
      <c r="A3050" s="27">
        <v>46020</v>
      </c>
      <c r="B3050" s="80">
        <v>2025</v>
      </c>
      <c r="C3050" s="80">
        <v>12</v>
      </c>
      <c r="D3050" s="30" t="s">
        <v>70</v>
      </c>
      <c r="E3050" s="30" t="s">
        <v>50</v>
      </c>
      <c r="F3050" s="30" t="s">
        <v>55</v>
      </c>
      <c r="G3050" s="33">
        <v>0.53549999999999998</v>
      </c>
      <c r="H3050" s="83" t="s">
        <v>88</v>
      </c>
    </row>
    <row r="3051" spans="1:8" ht="16.5" customHeight="1" x14ac:dyDescent="0.25">
      <c r="A3051" s="27">
        <v>46020</v>
      </c>
      <c r="B3051" s="80">
        <v>2025</v>
      </c>
      <c r="C3051" s="80">
        <v>12</v>
      </c>
      <c r="D3051" s="30" t="s">
        <v>70</v>
      </c>
      <c r="E3051" s="30" t="s">
        <v>50</v>
      </c>
      <c r="F3051" s="30" t="s">
        <v>58</v>
      </c>
      <c r="G3051" s="33">
        <v>0.32206499999999999</v>
      </c>
      <c r="H3051" s="83" t="s">
        <v>88</v>
      </c>
    </row>
    <row r="3052" spans="1:8" ht="16.5" customHeight="1" x14ac:dyDescent="0.25">
      <c r="A3052" s="27">
        <v>46020</v>
      </c>
      <c r="B3052" s="80">
        <v>2025</v>
      </c>
      <c r="C3052" s="80">
        <v>12</v>
      </c>
      <c r="D3052" s="30" t="s">
        <v>70</v>
      </c>
      <c r="E3052" s="30" t="s">
        <v>54</v>
      </c>
      <c r="F3052" s="30" t="s">
        <v>43</v>
      </c>
      <c r="G3052" s="33">
        <v>3.8374999999999999</v>
      </c>
      <c r="H3052" s="83" t="s">
        <v>88</v>
      </c>
    </row>
    <row r="3053" spans="1:8" ht="16.5" customHeight="1" x14ac:dyDescent="0.25">
      <c r="A3053" s="27">
        <v>46020</v>
      </c>
      <c r="B3053" s="80">
        <v>2025</v>
      </c>
      <c r="C3053" s="80">
        <v>12</v>
      </c>
      <c r="D3053" s="30" t="s">
        <v>70</v>
      </c>
      <c r="E3053" s="30" t="s">
        <v>54</v>
      </c>
      <c r="F3053" s="30" t="s">
        <v>47</v>
      </c>
      <c r="G3053" s="33">
        <v>0.39</v>
      </c>
      <c r="H3053" s="83" t="s">
        <v>88</v>
      </c>
    </row>
    <row r="3054" spans="1:8" ht="16.5" customHeight="1" x14ac:dyDescent="0.25">
      <c r="A3054" s="27">
        <v>46020</v>
      </c>
      <c r="B3054" s="80">
        <v>2025</v>
      </c>
      <c r="C3054" s="80">
        <v>12</v>
      </c>
      <c r="D3054" s="30" t="s">
        <v>70</v>
      </c>
      <c r="E3054" s="30" t="s">
        <v>68</v>
      </c>
      <c r="F3054" s="30" t="s">
        <v>43</v>
      </c>
      <c r="G3054" s="33">
        <v>3.78</v>
      </c>
      <c r="H3054" s="83" t="s">
        <v>89</v>
      </c>
    </row>
    <row r="3055" spans="1:8" ht="16.5" customHeight="1" x14ac:dyDescent="0.25">
      <c r="A3055" s="27">
        <v>46020</v>
      </c>
      <c r="B3055" s="80">
        <v>2025</v>
      </c>
      <c r="C3055" s="80">
        <v>12</v>
      </c>
      <c r="D3055" s="30" t="s">
        <v>70</v>
      </c>
      <c r="E3055" s="30" t="s">
        <v>74</v>
      </c>
      <c r="F3055" s="30" t="s">
        <v>43</v>
      </c>
      <c r="G3055" s="33">
        <v>29.30677</v>
      </c>
      <c r="H3055" s="83" t="s">
        <v>89</v>
      </c>
    </row>
    <row r="3056" spans="1:8" ht="16.5" customHeight="1" x14ac:dyDescent="0.25">
      <c r="A3056" s="27">
        <v>46020</v>
      </c>
      <c r="B3056" s="80">
        <v>2025</v>
      </c>
      <c r="C3056" s="80">
        <v>12</v>
      </c>
      <c r="D3056" s="30" t="s">
        <v>70</v>
      </c>
      <c r="E3056" s="30" t="s">
        <v>75</v>
      </c>
      <c r="F3056" s="30" t="s">
        <v>43</v>
      </c>
      <c r="G3056" s="33">
        <v>3.5880000000000001</v>
      </c>
      <c r="H3056" s="83" t="s">
        <v>48</v>
      </c>
    </row>
    <row r="3057" spans="1:8" ht="16.5" customHeight="1" x14ac:dyDescent="0.25">
      <c r="A3057" s="27">
        <v>46020</v>
      </c>
      <c r="B3057" s="80">
        <v>2025</v>
      </c>
      <c r="C3057" s="80">
        <v>12</v>
      </c>
      <c r="D3057" s="30" t="s">
        <v>70</v>
      </c>
      <c r="E3057" s="30" t="s">
        <v>76</v>
      </c>
      <c r="F3057" s="30" t="s">
        <v>39</v>
      </c>
      <c r="G3057" s="33">
        <v>47.952531999999998</v>
      </c>
      <c r="H3057" s="83" t="s">
        <v>48</v>
      </c>
    </row>
    <row r="3058" spans="1:8" ht="16.5" customHeight="1" x14ac:dyDescent="0.25">
      <c r="A3058" s="27">
        <v>46021</v>
      </c>
      <c r="B3058" s="80">
        <v>2025</v>
      </c>
      <c r="C3058" s="80">
        <v>12</v>
      </c>
      <c r="D3058" s="30" t="s">
        <v>70</v>
      </c>
      <c r="E3058" s="30" t="s">
        <v>50</v>
      </c>
      <c r="F3058" s="30" t="s">
        <v>43</v>
      </c>
      <c r="G3058" s="33">
        <v>1.0306249999999999</v>
      </c>
      <c r="H3058" s="83" t="s">
        <v>88</v>
      </c>
    </row>
    <row r="3059" spans="1:8" ht="16.5" customHeight="1" x14ac:dyDescent="0.25">
      <c r="A3059" s="27">
        <v>46021</v>
      </c>
      <c r="B3059" s="80">
        <v>2025</v>
      </c>
      <c r="C3059" s="80">
        <v>12</v>
      </c>
      <c r="D3059" s="30" t="s">
        <v>70</v>
      </c>
      <c r="E3059" s="30" t="s">
        <v>50</v>
      </c>
      <c r="F3059" s="30" t="s">
        <v>47</v>
      </c>
      <c r="G3059" s="33">
        <v>0.31080000000000002</v>
      </c>
      <c r="H3059" s="83" t="s">
        <v>88</v>
      </c>
    </row>
    <row r="3060" spans="1:8" ht="16.5" customHeight="1" x14ac:dyDescent="0.25">
      <c r="A3060" s="27">
        <v>46021</v>
      </c>
      <c r="B3060" s="80">
        <v>2025</v>
      </c>
      <c r="C3060" s="80">
        <v>12</v>
      </c>
      <c r="D3060" s="30" t="s">
        <v>70</v>
      </c>
      <c r="E3060" s="30" t="s">
        <v>75</v>
      </c>
      <c r="F3060" s="30" t="s">
        <v>43</v>
      </c>
      <c r="G3060" s="33">
        <v>62.956800000000001</v>
      </c>
      <c r="H3060" s="83" t="s">
        <v>48</v>
      </c>
    </row>
    <row r="3061" spans="1:8" ht="16.5" customHeight="1" x14ac:dyDescent="0.25">
      <c r="A3061" s="27">
        <v>46022</v>
      </c>
      <c r="B3061" s="80">
        <v>2025</v>
      </c>
      <c r="C3061" s="80">
        <v>12</v>
      </c>
      <c r="D3061" s="30" t="s">
        <v>70</v>
      </c>
      <c r="E3061" s="30" t="s">
        <v>66</v>
      </c>
      <c r="F3061" s="30" t="s">
        <v>43</v>
      </c>
      <c r="G3061" s="33">
        <v>1.1499999999999999</v>
      </c>
      <c r="H3061" s="83" t="s">
        <v>89</v>
      </c>
    </row>
    <row r="3062" spans="1:8" ht="16.5" customHeight="1" x14ac:dyDescent="0.25">
      <c r="A3062" s="27">
        <v>46022</v>
      </c>
      <c r="B3062" s="80">
        <v>2025</v>
      </c>
      <c r="C3062" s="80">
        <v>12</v>
      </c>
      <c r="D3062" s="30" t="s">
        <v>70</v>
      </c>
      <c r="E3062" s="30" t="s">
        <v>75</v>
      </c>
      <c r="F3062" s="30" t="s">
        <v>43</v>
      </c>
      <c r="G3062" s="33">
        <v>1.2419549999999999</v>
      </c>
      <c r="H3062" s="83" t="s">
        <v>48</v>
      </c>
    </row>
    <row r="3063" spans="1:8" ht="16.5" customHeight="1" x14ac:dyDescent="0.25">
      <c r="A3063" s="27">
        <v>46024</v>
      </c>
      <c r="B3063" s="80">
        <v>2026</v>
      </c>
      <c r="C3063" s="80">
        <v>1</v>
      </c>
      <c r="D3063" s="30" t="s">
        <v>35</v>
      </c>
      <c r="E3063" s="30" t="s">
        <v>38</v>
      </c>
      <c r="F3063" s="30" t="s">
        <v>43</v>
      </c>
      <c r="G3063" s="33">
        <v>1.125</v>
      </c>
      <c r="H3063" s="83" t="s">
        <v>88</v>
      </c>
    </row>
    <row r="3064" spans="1:8" ht="16.5" customHeight="1" x14ac:dyDescent="0.25">
      <c r="A3064" s="27">
        <v>46024</v>
      </c>
      <c r="B3064" s="80">
        <v>2026</v>
      </c>
      <c r="C3064" s="80">
        <v>1</v>
      </c>
      <c r="D3064" s="30" t="s">
        <v>35</v>
      </c>
      <c r="E3064" s="30" t="s">
        <v>46</v>
      </c>
      <c r="F3064" s="30" t="s">
        <v>43</v>
      </c>
      <c r="G3064" s="33">
        <v>2.1450624</v>
      </c>
      <c r="H3064" s="83" t="s">
        <v>88</v>
      </c>
    </row>
    <row r="3065" spans="1:8" ht="16.5" customHeight="1" x14ac:dyDescent="0.25">
      <c r="A3065" s="27">
        <v>46024</v>
      </c>
      <c r="B3065" s="80">
        <v>2026</v>
      </c>
      <c r="C3065" s="80">
        <v>1</v>
      </c>
      <c r="D3065" s="30" t="s">
        <v>35</v>
      </c>
      <c r="E3065" s="30" t="s">
        <v>46</v>
      </c>
      <c r="F3065" s="30" t="s">
        <v>47</v>
      </c>
      <c r="G3065" s="33">
        <v>0.43971199999999999</v>
      </c>
      <c r="H3065" s="83" t="s">
        <v>88</v>
      </c>
    </row>
    <row r="3066" spans="1:8" ht="16.5" customHeight="1" x14ac:dyDescent="0.25">
      <c r="A3066" s="27">
        <v>46024</v>
      </c>
      <c r="B3066" s="80">
        <v>2026</v>
      </c>
      <c r="C3066" s="80">
        <v>1</v>
      </c>
      <c r="D3066" s="30" t="s">
        <v>35</v>
      </c>
      <c r="E3066" s="30" t="s">
        <v>50</v>
      </c>
      <c r="F3066" s="30" t="s">
        <v>43</v>
      </c>
      <c r="G3066" s="33">
        <v>1.0613589999999999</v>
      </c>
      <c r="H3066" s="83" t="s">
        <v>88</v>
      </c>
    </row>
    <row r="3067" spans="1:8" ht="16.5" customHeight="1" x14ac:dyDescent="0.25">
      <c r="A3067" s="27">
        <v>46024</v>
      </c>
      <c r="B3067" s="80">
        <v>2026</v>
      </c>
      <c r="C3067" s="80">
        <v>1</v>
      </c>
      <c r="D3067" s="30" t="s">
        <v>35</v>
      </c>
      <c r="E3067" s="30" t="s">
        <v>68</v>
      </c>
      <c r="F3067" s="30" t="s">
        <v>55</v>
      </c>
      <c r="G3067" s="33">
        <v>0.56000000000000005</v>
      </c>
      <c r="H3067" s="83" t="s">
        <v>89</v>
      </c>
    </row>
    <row r="3068" spans="1:8" ht="16.5" customHeight="1" x14ac:dyDescent="0.25">
      <c r="A3068" s="27">
        <v>46024</v>
      </c>
      <c r="B3068" s="80">
        <v>2026</v>
      </c>
      <c r="C3068" s="80">
        <v>1</v>
      </c>
      <c r="D3068" s="30" t="s">
        <v>35</v>
      </c>
      <c r="E3068" s="30" t="s">
        <v>71</v>
      </c>
      <c r="F3068" s="30" t="s">
        <v>43</v>
      </c>
      <c r="G3068" s="33">
        <v>11.568</v>
      </c>
      <c r="H3068" s="83" t="s">
        <v>89</v>
      </c>
    </row>
    <row r="3069" spans="1:8" ht="16.5" customHeight="1" x14ac:dyDescent="0.25">
      <c r="A3069" s="27">
        <v>46027</v>
      </c>
      <c r="B3069" s="80">
        <v>2026</v>
      </c>
      <c r="C3069" s="80">
        <v>1</v>
      </c>
      <c r="D3069" s="30" t="s">
        <v>35</v>
      </c>
      <c r="E3069" s="30" t="s">
        <v>38</v>
      </c>
      <c r="F3069" s="30" t="s">
        <v>43</v>
      </c>
      <c r="G3069" s="33">
        <v>3.3864000000000001</v>
      </c>
      <c r="H3069" s="83" t="s">
        <v>88</v>
      </c>
    </row>
    <row r="3070" spans="1:8" ht="16.5" customHeight="1" x14ac:dyDescent="0.25">
      <c r="A3070" s="27">
        <v>46027</v>
      </c>
      <c r="B3070" s="80">
        <v>2026</v>
      </c>
      <c r="C3070" s="80">
        <v>1</v>
      </c>
      <c r="D3070" s="30" t="s">
        <v>35</v>
      </c>
      <c r="E3070" s="30" t="s">
        <v>42</v>
      </c>
      <c r="F3070" s="30" t="s">
        <v>47</v>
      </c>
      <c r="G3070" s="33">
        <v>1.2</v>
      </c>
      <c r="H3070" s="83" t="s">
        <v>88</v>
      </c>
    </row>
    <row r="3071" spans="1:8" ht="16.5" customHeight="1" x14ac:dyDescent="0.25">
      <c r="A3071" s="27">
        <v>46027</v>
      </c>
      <c r="B3071" s="80">
        <v>2026</v>
      </c>
      <c r="C3071" s="80">
        <v>1</v>
      </c>
      <c r="D3071" s="30" t="s">
        <v>35</v>
      </c>
      <c r="E3071" s="30" t="s">
        <v>46</v>
      </c>
      <c r="F3071" s="30" t="s">
        <v>55</v>
      </c>
      <c r="G3071" s="33">
        <v>1.082368</v>
      </c>
      <c r="H3071" s="83" t="s">
        <v>88</v>
      </c>
    </row>
    <row r="3072" spans="1:8" ht="16.5" customHeight="1" x14ac:dyDescent="0.25">
      <c r="A3072" s="27">
        <v>46027</v>
      </c>
      <c r="B3072" s="80">
        <v>2026</v>
      </c>
      <c r="C3072" s="80">
        <v>1</v>
      </c>
      <c r="D3072" s="30" t="s">
        <v>35</v>
      </c>
      <c r="E3072" s="30" t="s">
        <v>50</v>
      </c>
      <c r="F3072" s="30" t="s">
        <v>43</v>
      </c>
      <c r="G3072" s="33">
        <v>1.0613589999999999</v>
      </c>
      <c r="H3072" s="83" t="s">
        <v>88</v>
      </c>
    </row>
    <row r="3073" spans="1:8" ht="16.5" customHeight="1" x14ac:dyDescent="0.25">
      <c r="A3073" s="27">
        <v>46027</v>
      </c>
      <c r="B3073" s="80">
        <v>2026</v>
      </c>
      <c r="C3073" s="80">
        <v>1</v>
      </c>
      <c r="D3073" s="30" t="s">
        <v>35</v>
      </c>
      <c r="E3073" s="30" t="s">
        <v>50</v>
      </c>
      <c r="F3073" s="30" t="s">
        <v>47</v>
      </c>
      <c r="G3073" s="33">
        <v>0.62160000000000004</v>
      </c>
      <c r="H3073" s="83" t="s">
        <v>88</v>
      </c>
    </row>
    <row r="3074" spans="1:8" ht="16.5" customHeight="1" x14ac:dyDescent="0.25">
      <c r="A3074" s="27">
        <v>46027</v>
      </c>
      <c r="B3074" s="80">
        <v>2026</v>
      </c>
      <c r="C3074" s="80">
        <v>1</v>
      </c>
      <c r="D3074" s="30" t="s">
        <v>35</v>
      </c>
      <c r="E3074" s="30" t="s">
        <v>50</v>
      </c>
      <c r="F3074" s="30" t="s">
        <v>55</v>
      </c>
      <c r="G3074" s="33">
        <v>0.53549999999999998</v>
      </c>
      <c r="H3074" s="83" t="s">
        <v>88</v>
      </c>
    </row>
    <row r="3075" spans="1:8" ht="16.5" customHeight="1" x14ac:dyDescent="0.25">
      <c r="A3075" s="27">
        <v>46027</v>
      </c>
      <c r="B3075" s="80">
        <v>2026</v>
      </c>
      <c r="C3075" s="80">
        <v>1</v>
      </c>
      <c r="D3075" s="30" t="s">
        <v>35</v>
      </c>
      <c r="E3075" s="30" t="s">
        <v>66</v>
      </c>
      <c r="F3075" s="30" t="s">
        <v>43</v>
      </c>
      <c r="G3075" s="33">
        <v>4.992</v>
      </c>
      <c r="H3075" s="83" t="s">
        <v>89</v>
      </c>
    </row>
    <row r="3076" spans="1:8" ht="16.5" customHeight="1" x14ac:dyDescent="0.25">
      <c r="A3076" s="27">
        <v>46027</v>
      </c>
      <c r="B3076" s="80">
        <v>2026</v>
      </c>
      <c r="C3076" s="80">
        <v>1</v>
      </c>
      <c r="D3076" s="30" t="s">
        <v>35</v>
      </c>
      <c r="E3076" s="30" t="s">
        <v>68</v>
      </c>
      <c r="F3076" s="30" t="s">
        <v>43</v>
      </c>
      <c r="G3076" s="33">
        <v>1.595</v>
      </c>
      <c r="H3076" s="83" t="s">
        <v>89</v>
      </c>
    </row>
    <row r="3077" spans="1:8" ht="16.5" customHeight="1" x14ac:dyDescent="0.25">
      <c r="A3077" s="27">
        <v>46028</v>
      </c>
      <c r="B3077" s="80">
        <v>2026</v>
      </c>
      <c r="C3077" s="80">
        <v>1</v>
      </c>
      <c r="D3077" s="30" t="s">
        <v>35</v>
      </c>
      <c r="E3077" s="30" t="s">
        <v>38</v>
      </c>
      <c r="F3077" s="30" t="s">
        <v>55</v>
      </c>
      <c r="G3077" s="33">
        <v>0.9</v>
      </c>
      <c r="H3077" s="83" t="s">
        <v>88</v>
      </c>
    </row>
    <row r="3078" spans="1:8" ht="16.5" customHeight="1" x14ac:dyDescent="0.25">
      <c r="A3078" s="27">
        <v>46028</v>
      </c>
      <c r="B3078" s="80">
        <v>2026</v>
      </c>
      <c r="C3078" s="80">
        <v>1</v>
      </c>
      <c r="D3078" s="30" t="s">
        <v>35</v>
      </c>
      <c r="E3078" s="30" t="s">
        <v>42</v>
      </c>
      <c r="F3078" s="30" t="s">
        <v>43</v>
      </c>
      <c r="G3078" s="33">
        <v>3.1415999999999999</v>
      </c>
      <c r="H3078" s="83" t="s">
        <v>88</v>
      </c>
    </row>
    <row r="3079" spans="1:8" ht="16.5" customHeight="1" x14ac:dyDescent="0.25">
      <c r="A3079" s="27">
        <v>46028</v>
      </c>
      <c r="B3079" s="80">
        <v>2026</v>
      </c>
      <c r="C3079" s="80">
        <v>1</v>
      </c>
      <c r="D3079" s="30" t="s">
        <v>35</v>
      </c>
      <c r="E3079" s="30" t="s">
        <v>46</v>
      </c>
      <c r="F3079" s="30" t="s">
        <v>43</v>
      </c>
      <c r="G3079" s="33">
        <v>1.6478995000000001</v>
      </c>
      <c r="H3079" s="83" t="s">
        <v>88</v>
      </c>
    </row>
    <row r="3080" spans="1:8" ht="16.5" customHeight="1" x14ac:dyDescent="0.25">
      <c r="A3080" s="27">
        <v>46028</v>
      </c>
      <c r="B3080" s="80">
        <v>2026</v>
      </c>
      <c r="C3080" s="80">
        <v>1</v>
      </c>
      <c r="D3080" s="30" t="s">
        <v>35</v>
      </c>
      <c r="E3080" s="30" t="s">
        <v>50</v>
      </c>
      <c r="F3080" s="30" t="s">
        <v>43</v>
      </c>
      <c r="G3080" s="33">
        <v>258.30372699999998</v>
      </c>
      <c r="H3080" s="83" t="s">
        <v>88</v>
      </c>
    </row>
    <row r="3081" spans="1:8" ht="16.5" customHeight="1" x14ac:dyDescent="0.25">
      <c r="A3081" s="27">
        <v>46028</v>
      </c>
      <c r="B3081" s="80">
        <v>2026</v>
      </c>
      <c r="C3081" s="80">
        <v>1</v>
      </c>
      <c r="D3081" s="30" t="s">
        <v>35</v>
      </c>
      <c r="E3081" s="30" t="s">
        <v>50</v>
      </c>
      <c r="F3081" s="30" t="s">
        <v>58</v>
      </c>
      <c r="G3081" s="33">
        <v>0.49029434999999999</v>
      </c>
      <c r="H3081" s="83" t="s">
        <v>88</v>
      </c>
    </row>
    <row r="3082" spans="1:8" ht="16.5" customHeight="1" x14ac:dyDescent="0.25">
      <c r="A3082" s="27">
        <v>46028</v>
      </c>
      <c r="B3082" s="80">
        <v>2026</v>
      </c>
      <c r="C3082" s="80">
        <v>1</v>
      </c>
      <c r="D3082" s="30" t="s">
        <v>35</v>
      </c>
      <c r="E3082" s="30" t="s">
        <v>54</v>
      </c>
      <c r="F3082" s="30" t="s">
        <v>43</v>
      </c>
      <c r="G3082" s="33">
        <v>13.695550000000001</v>
      </c>
      <c r="H3082" s="83" t="s">
        <v>88</v>
      </c>
    </row>
    <row r="3083" spans="1:8" ht="16.5" customHeight="1" x14ac:dyDescent="0.25">
      <c r="A3083" s="27">
        <v>46028</v>
      </c>
      <c r="B3083" s="80">
        <v>2026</v>
      </c>
      <c r="C3083" s="80">
        <v>1</v>
      </c>
      <c r="D3083" s="30" t="s">
        <v>35</v>
      </c>
      <c r="E3083" s="30" t="s">
        <v>66</v>
      </c>
      <c r="F3083" s="30" t="s">
        <v>43</v>
      </c>
      <c r="G3083" s="33">
        <v>8.2175999999999991</v>
      </c>
      <c r="H3083" s="83" t="s">
        <v>89</v>
      </c>
    </row>
    <row r="3084" spans="1:8" ht="16.5" customHeight="1" x14ac:dyDescent="0.25">
      <c r="A3084" s="27">
        <v>46028</v>
      </c>
      <c r="B3084" s="80">
        <v>2026</v>
      </c>
      <c r="C3084" s="80">
        <v>1</v>
      </c>
      <c r="D3084" s="30" t="s">
        <v>35</v>
      </c>
      <c r="E3084" s="30" t="s">
        <v>68</v>
      </c>
      <c r="F3084" s="30" t="s">
        <v>43</v>
      </c>
      <c r="G3084" s="33">
        <v>4.3624999999999998</v>
      </c>
      <c r="H3084" s="83" t="s">
        <v>89</v>
      </c>
    </row>
    <row r="3085" spans="1:8" ht="16.5" customHeight="1" x14ac:dyDescent="0.25">
      <c r="A3085" s="27">
        <v>46028</v>
      </c>
      <c r="B3085" s="80">
        <v>2026</v>
      </c>
      <c r="C3085" s="80">
        <v>1</v>
      </c>
      <c r="D3085" s="30" t="s">
        <v>35</v>
      </c>
      <c r="E3085" s="30" t="s">
        <v>68</v>
      </c>
      <c r="F3085" s="30" t="s">
        <v>55</v>
      </c>
      <c r="G3085" s="33">
        <v>1.6</v>
      </c>
      <c r="H3085" s="83" t="s">
        <v>89</v>
      </c>
    </row>
    <row r="3086" spans="1:8" ht="16.5" customHeight="1" x14ac:dyDescent="0.25">
      <c r="A3086" s="27">
        <v>46028</v>
      </c>
      <c r="B3086" s="80">
        <v>2026</v>
      </c>
      <c r="C3086" s="80">
        <v>1</v>
      </c>
      <c r="D3086" s="30" t="s">
        <v>35</v>
      </c>
      <c r="E3086" s="30" t="s">
        <v>71</v>
      </c>
      <c r="F3086" s="30" t="s">
        <v>39</v>
      </c>
      <c r="G3086" s="33">
        <v>104.3152</v>
      </c>
      <c r="H3086" s="83" t="s">
        <v>89</v>
      </c>
    </row>
    <row r="3087" spans="1:8" ht="16.5" customHeight="1" x14ac:dyDescent="0.25">
      <c r="A3087" s="27">
        <v>46028</v>
      </c>
      <c r="B3087" s="80">
        <v>2026</v>
      </c>
      <c r="C3087" s="80">
        <v>1</v>
      </c>
      <c r="D3087" s="30" t="s">
        <v>35</v>
      </c>
      <c r="E3087" s="30" t="s">
        <v>71</v>
      </c>
      <c r="F3087" s="30" t="s">
        <v>55</v>
      </c>
      <c r="G3087" s="33">
        <v>2.1</v>
      </c>
      <c r="H3087" s="83" t="s">
        <v>89</v>
      </c>
    </row>
    <row r="3088" spans="1:8" ht="16.5" customHeight="1" x14ac:dyDescent="0.25">
      <c r="A3088" s="27">
        <v>46028</v>
      </c>
      <c r="B3088" s="80">
        <v>2026</v>
      </c>
      <c r="C3088" s="80">
        <v>1</v>
      </c>
      <c r="D3088" s="30" t="s">
        <v>35</v>
      </c>
      <c r="E3088" s="30" t="s">
        <v>75</v>
      </c>
      <c r="F3088" s="30" t="s">
        <v>43</v>
      </c>
      <c r="G3088" s="33">
        <v>6.9362399999999997</v>
      </c>
      <c r="H3088" s="83" t="s">
        <v>48</v>
      </c>
    </row>
    <row r="3089" spans="1:8" ht="16.5" customHeight="1" x14ac:dyDescent="0.25">
      <c r="A3089" s="27">
        <v>46029</v>
      </c>
      <c r="B3089" s="80">
        <v>2026</v>
      </c>
      <c r="C3089" s="80">
        <v>1</v>
      </c>
      <c r="D3089" s="30" t="s">
        <v>35</v>
      </c>
      <c r="E3089" s="30" t="s">
        <v>38</v>
      </c>
      <c r="F3089" s="30" t="s">
        <v>43</v>
      </c>
      <c r="G3089" s="33">
        <v>2.215576</v>
      </c>
      <c r="H3089" s="83" t="s">
        <v>88</v>
      </c>
    </row>
    <row r="3090" spans="1:8" ht="16.5" customHeight="1" x14ac:dyDescent="0.25">
      <c r="A3090" s="27">
        <v>46029</v>
      </c>
      <c r="B3090" s="80">
        <v>2026</v>
      </c>
      <c r="C3090" s="80">
        <v>1</v>
      </c>
      <c r="D3090" s="30" t="s">
        <v>35</v>
      </c>
      <c r="E3090" s="30" t="s">
        <v>38</v>
      </c>
      <c r="F3090" s="30" t="s">
        <v>55</v>
      </c>
      <c r="G3090" s="33">
        <v>0.33</v>
      </c>
      <c r="H3090" s="83" t="s">
        <v>88</v>
      </c>
    </row>
    <row r="3091" spans="1:8" ht="16.5" customHeight="1" x14ac:dyDescent="0.25">
      <c r="A3091" s="27">
        <v>46029</v>
      </c>
      <c r="B3091" s="80">
        <v>2026</v>
      </c>
      <c r="C3091" s="80">
        <v>1</v>
      </c>
      <c r="D3091" s="30" t="s">
        <v>35</v>
      </c>
      <c r="E3091" s="30" t="s">
        <v>38</v>
      </c>
      <c r="F3091" s="30" t="s">
        <v>58</v>
      </c>
      <c r="G3091" s="33">
        <v>9.9920800000000004E-2</v>
      </c>
      <c r="H3091" s="83" t="s">
        <v>88</v>
      </c>
    </row>
    <row r="3092" spans="1:8" ht="16.5" customHeight="1" x14ac:dyDescent="0.25">
      <c r="A3092" s="27">
        <v>46029</v>
      </c>
      <c r="B3092" s="80">
        <v>2026</v>
      </c>
      <c r="C3092" s="80">
        <v>1</v>
      </c>
      <c r="D3092" s="30" t="s">
        <v>35</v>
      </c>
      <c r="E3092" s="30" t="s">
        <v>42</v>
      </c>
      <c r="F3092" s="30" t="s">
        <v>43</v>
      </c>
      <c r="G3092" s="33">
        <v>5.85</v>
      </c>
      <c r="H3092" s="83" t="s">
        <v>88</v>
      </c>
    </row>
    <row r="3093" spans="1:8" ht="16.5" customHeight="1" x14ac:dyDescent="0.25">
      <c r="A3093" s="27">
        <v>46029</v>
      </c>
      <c r="B3093" s="80">
        <v>2026</v>
      </c>
      <c r="C3093" s="80">
        <v>1</v>
      </c>
      <c r="D3093" s="30" t="s">
        <v>35</v>
      </c>
      <c r="E3093" s="30" t="s">
        <v>50</v>
      </c>
      <c r="F3093" s="30" t="s">
        <v>43</v>
      </c>
      <c r="G3093" s="33">
        <v>8.9195119999999992</v>
      </c>
      <c r="H3093" s="83" t="s">
        <v>88</v>
      </c>
    </row>
    <row r="3094" spans="1:8" ht="16.5" customHeight="1" x14ac:dyDescent="0.25">
      <c r="A3094" s="27">
        <v>46029</v>
      </c>
      <c r="B3094" s="80">
        <v>2026</v>
      </c>
      <c r="C3094" s="80">
        <v>1</v>
      </c>
      <c r="D3094" s="30" t="s">
        <v>35</v>
      </c>
      <c r="E3094" s="30" t="s">
        <v>54</v>
      </c>
      <c r="F3094" s="30" t="s">
        <v>43</v>
      </c>
      <c r="G3094" s="33">
        <v>3.1320000000000001</v>
      </c>
      <c r="H3094" s="83" t="s">
        <v>88</v>
      </c>
    </row>
    <row r="3095" spans="1:8" ht="16.5" customHeight="1" x14ac:dyDescent="0.25">
      <c r="A3095" s="27">
        <v>46029</v>
      </c>
      <c r="B3095" s="80">
        <v>2026</v>
      </c>
      <c r="C3095" s="80">
        <v>1</v>
      </c>
      <c r="D3095" s="30" t="s">
        <v>35</v>
      </c>
      <c r="E3095" s="30" t="s">
        <v>57</v>
      </c>
      <c r="F3095" s="30" t="s">
        <v>43</v>
      </c>
      <c r="G3095" s="33">
        <v>2.9460000000000002</v>
      </c>
      <c r="H3095" s="83" t="s">
        <v>89</v>
      </c>
    </row>
    <row r="3096" spans="1:8" ht="16.5" customHeight="1" x14ac:dyDescent="0.25">
      <c r="A3096" s="27">
        <v>46029</v>
      </c>
      <c r="B3096" s="80">
        <v>2026</v>
      </c>
      <c r="C3096" s="80">
        <v>1</v>
      </c>
      <c r="D3096" s="30" t="s">
        <v>35</v>
      </c>
      <c r="E3096" s="30" t="s">
        <v>66</v>
      </c>
      <c r="F3096" s="30" t="s">
        <v>43</v>
      </c>
      <c r="G3096" s="33">
        <v>1.25</v>
      </c>
      <c r="H3096" s="83" t="s">
        <v>89</v>
      </c>
    </row>
    <row r="3097" spans="1:8" ht="16.5" customHeight="1" x14ac:dyDescent="0.25">
      <c r="A3097" s="27">
        <v>46029</v>
      </c>
      <c r="B3097" s="80">
        <v>2026</v>
      </c>
      <c r="C3097" s="80">
        <v>1</v>
      </c>
      <c r="D3097" s="30" t="s">
        <v>35</v>
      </c>
      <c r="E3097" s="30" t="s">
        <v>66</v>
      </c>
      <c r="F3097" s="30" t="s">
        <v>55</v>
      </c>
      <c r="G3097" s="33">
        <v>0.84</v>
      </c>
      <c r="H3097" s="83" t="s">
        <v>89</v>
      </c>
    </row>
    <row r="3098" spans="1:8" ht="16.5" customHeight="1" x14ac:dyDescent="0.25">
      <c r="A3098" s="27">
        <v>46029</v>
      </c>
      <c r="B3098" s="80">
        <v>2026</v>
      </c>
      <c r="C3098" s="80">
        <v>1</v>
      </c>
      <c r="D3098" s="30" t="s">
        <v>35</v>
      </c>
      <c r="E3098" s="30" t="s">
        <v>68</v>
      </c>
      <c r="F3098" s="30" t="s">
        <v>43</v>
      </c>
      <c r="G3098" s="33">
        <v>5.4480000000000004</v>
      </c>
      <c r="H3098" s="83" t="s">
        <v>89</v>
      </c>
    </row>
    <row r="3099" spans="1:8" ht="16.5" customHeight="1" x14ac:dyDescent="0.25">
      <c r="A3099" s="27">
        <v>46029</v>
      </c>
      <c r="B3099" s="80">
        <v>2026</v>
      </c>
      <c r="C3099" s="80">
        <v>1</v>
      </c>
      <c r="D3099" s="30" t="s">
        <v>35</v>
      </c>
      <c r="E3099" s="30" t="s">
        <v>75</v>
      </c>
      <c r="F3099" s="30" t="s">
        <v>43</v>
      </c>
      <c r="G3099" s="33">
        <v>29.87875</v>
      </c>
      <c r="H3099" s="83" t="s">
        <v>48</v>
      </c>
    </row>
    <row r="3100" spans="1:8" ht="16.5" customHeight="1" x14ac:dyDescent="0.25">
      <c r="A3100" s="27">
        <v>46029</v>
      </c>
      <c r="B3100" s="80">
        <v>2026</v>
      </c>
      <c r="C3100" s="80">
        <v>1</v>
      </c>
      <c r="D3100" s="30" t="s">
        <v>35</v>
      </c>
      <c r="E3100" s="30" t="s">
        <v>76</v>
      </c>
      <c r="F3100" s="30" t="s">
        <v>43</v>
      </c>
      <c r="G3100" s="33">
        <v>1.9475</v>
      </c>
      <c r="H3100" s="83" t="s">
        <v>48</v>
      </c>
    </row>
    <row r="3101" spans="1:8" ht="16.5" customHeight="1" x14ac:dyDescent="0.25">
      <c r="A3101" s="27">
        <v>46030</v>
      </c>
      <c r="B3101" s="80">
        <v>2026</v>
      </c>
      <c r="C3101" s="80">
        <v>1</v>
      </c>
      <c r="D3101" s="30" t="s">
        <v>35</v>
      </c>
      <c r="E3101" s="30" t="s">
        <v>42</v>
      </c>
      <c r="F3101" s="30" t="s">
        <v>43</v>
      </c>
      <c r="G3101" s="33">
        <v>9.9532500000000006</v>
      </c>
      <c r="H3101" s="83" t="s">
        <v>88</v>
      </c>
    </row>
    <row r="3102" spans="1:8" ht="16.5" customHeight="1" x14ac:dyDescent="0.25">
      <c r="A3102" s="27">
        <v>46030</v>
      </c>
      <c r="B3102" s="80">
        <v>2026</v>
      </c>
      <c r="C3102" s="80">
        <v>1</v>
      </c>
      <c r="D3102" s="30" t="s">
        <v>35</v>
      </c>
      <c r="E3102" s="30" t="s">
        <v>46</v>
      </c>
      <c r="F3102" s="30" t="s">
        <v>43</v>
      </c>
      <c r="G3102" s="33">
        <v>3.0171000000000001</v>
      </c>
      <c r="H3102" s="83" t="s">
        <v>88</v>
      </c>
    </row>
    <row r="3103" spans="1:8" ht="16.5" customHeight="1" x14ac:dyDescent="0.25">
      <c r="A3103" s="27">
        <v>46030</v>
      </c>
      <c r="B3103" s="80">
        <v>2026</v>
      </c>
      <c r="C3103" s="80">
        <v>1</v>
      </c>
      <c r="D3103" s="30" t="s">
        <v>35</v>
      </c>
      <c r="E3103" s="30" t="s">
        <v>46</v>
      </c>
      <c r="F3103" s="30" t="s">
        <v>51</v>
      </c>
      <c r="G3103" s="33">
        <v>1.00796</v>
      </c>
      <c r="H3103" s="83" t="s">
        <v>88</v>
      </c>
    </row>
    <row r="3104" spans="1:8" ht="16.5" customHeight="1" x14ac:dyDescent="0.25">
      <c r="A3104" s="27">
        <v>46030</v>
      </c>
      <c r="B3104" s="80">
        <v>2026</v>
      </c>
      <c r="C3104" s="80">
        <v>1</v>
      </c>
      <c r="D3104" s="30" t="s">
        <v>35</v>
      </c>
      <c r="E3104" s="30" t="s">
        <v>46</v>
      </c>
      <c r="F3104" s="30" t="s">
        <v>58</v>
      </c>
      <c r="G3104" s="33">
        <v>3.2334499999999999</v>
      </c>
      <c r="H3104" s="83" t="s">
        <v>88</v>
      </c>
    </row>
    <row r="3105" spans="1:8" ht="16.5" customHeight="1" x14ac:dyDescent="0.25">
      <c r="A3105" s="27">
        <v>46030</v>
      </c>
      <c r="B3105" s="80">
        <v>2026</v>
      </c>
      <c r="C3105" s="80">
        <v>1</v>
      </c>
      <c r="D3105" s="30" t="s">
        <v>35</v>
      </c>
      <c r="E3105" s="30" t="s">
        <v>50</v>
      </c>
      <c r="F3105" s="30" t="s">
        <v>43</v>
      </c>
      <c r="G3105" s="33">
        <v>20.161000000000001</v>
      </c>
      <c r="H3105" s="83" t="s">
        <v>88</v>
      </c>
    </row>
    <row r="3106" spans="1:8" ht="16.5" customHeight="1" x14ac:dyDescent="0.25">
      <c r="A3106" s="27">
        <v>46030</v>
      </c>
      <c r="B3106" s="80">
        <v>2026</v>
      </c>
      <c r="C3106" s="80">
        <v>1</v>
      </c>
      <c r="D3106" s="30" t="s">
        <v>35</v>
      </c>
      <c r="E3106" s="30" t="s">
        <v>50</v>
      </c>
      <c r="F3106" s="30" t="s">
        <v>58</v>
      </c>
      <c r="G3106" s="33">
        <v>48.748098460000001</v>
      </c>
      <c r="H3106" s="83" t="s">
        <v>88</v>
      </c>
    </row>
    <row r="3107" spans="1:8" ht="16.5" customHeight="1" x14ac:dyDescent="0.25">
      <c r="A3107" s="27">
        <v>46030</v>
      </c>
      <c r="B3107" s="80">
        <v>2026</v>
      </c>
      <c r="C3107" s="80">
        <v>1</v>
      </c>
      <c r="D3107" s="30" t="s">
        <v>35</v>
      </c>
      <c r="E3107" s="30" t="s">
        <v>54</v>
      </c>
      <c r="F3107" s="30" t="s">
        <v>43</v>
      </c>
      <c r="G3107" s="33">
        <v>2.9372500000000001</v>
      </c>
      <c r="H3107" s="83" t="s">
        <v>88</v>
      </c>
    </row>
    <row r="3108" spans="1:8" ht="16.5" customHeight="1" x14ac:dyDescent="0.25">
      <c r="A3108" s="27">
        <v>46030</v>
      </c>
      <c r="B3108" s="80">
        <v>2026</v>
      </c>
      <c r="C3108" s="80">
        <v>1</v>
      </c>
      <c r="D3108" s="30" t="s">
        <v>35</v>
      </c>
      <c r="E3108" s="30" t="s">
        <v>57</v>
      </c>
      <c r="F3108" s="30" t="s">
        <v>43</v>
      </c>
      <c r="G3108" s="33">
        <v>0.96399999999999997</v>
      </c>
      <c r="H3108" s="83" t="s">
        <v>89</v>
      </c>
    </row>
    <row r="3109" spans="1:8" ht="16.5" customHeight="1" x14ac:dyDescent="0.25">
      <c r="A3109" s="27">
        <v>46030</v>
      </c>
      <c r="B3109" s="80">
        <v>2026</v>
      </c>
      <c r="C3109" s="80">
        <v>1</v>
      </c>
      <c r="D3109" s="30" t="s">
        <v>35</v>
      </c>
      <c r="E3109" s="30" t="s">
        <v>68</v>
      </c>
      <c r="F3109" s="30" t="s">
        <v>43</v>
      </c>
      <c r="G3109" s="33">
        <v>7.4749999999999996</v>
      </c>
      <c r="H3109" s="83" t="s">
        <v>89</v>
      </c>
    </row>
    <row r="3110" spans="1:8" ht="16.5" customHeight="1" x14ac:dyDescent="0.25">
      <c r="A3110" s="27">
        <v>46030</v>
      </c>
      <c r="B3110" s="80">
        <v>2026</v>
      </c>
      <c r="C3110" s="80">
        <v>1</v>
      </c>
      <c r="D3110" s="30" t="s">
        <v>35</v>
      </c>
      <c r="E3110" s="30" t="s">
        <v>68</v>
      </c>
      <c r="F3110" s="30" t="s">
        <v>51</v>
      </c>
      <c r="G3110" s="33">
        <v>1.8614999999999999</v>
      </c>
      <c r="H3110" s="83" t="s">
        <v>89</v>
      </c>
    </row>
    <row r="3111" spans="1:8" ht="16.5" customHeight="1" x14ac:dyDescent="0.25">
      <c r="A3111" s="27">
        <v>46030</v>
      </c>
      <c r="B3111" s="80">
        <v>2026</v>
      </c>
      <c r="C3111" s="80">
        <v>1</v>
      </c>
      <c r="D3111" s="30" t="s">
        <v>35</v>
      </c>
      <c r="E3111" s="30" t="s">
        <v>75</v>
      </c>
      <c r="F3111" s="30" t="s">
        <v>43</v>
      </c>
      <c r="G3111" s="33">
        <v>3.2863500000000001</v>
      </c>
      <c r="H3111" s="83" t="s">
        <v>48</v>
      </c>
    </row>
    <row r="3112" spans="1:8" ht="16.5" customHeight="1" x14ac:dyDescent="0.25">
      <c r="A3112" s="27">
        <v>46031</v>
      </c>
      <c r="B3112" s="80">
        <v>2026</v>
      </c>
      <c r="C3112" s="80">
        <v>1</v>
      </c>
      <c r="D3112" s="30" t="s">
        <v>35</v>
      </c>
      <c r="E3112" s="30" t="s">
        <v>38</v>
      </c>
      <c r="F3112" s="30" t="s">
        <v>43</v>
      </c>
      <c r="G3112" s="33">
        <v>4.08</v>
      </c>
      <c r="H3112" s="83" t="s">
        <v>88</v>
      </c>
    </row>
    <row r="3113" spans="1:8" ht="16.5" customHeight="1" x14ac:dyDescent="0.25">
      <c r="A3113" s="27">
        <v>46031</v>
      </c>
      <c r="B3113" s="80">
        <v>2026</v>
      </c>
      <c r="C3113" s="80">
        <v>1</v>
      </c>
      <c r="D3113" s="30" t="s">
        <v>35</v>
      </c>
      <c r="E3113" s="30" t="s">
        <v>50</v>
      </c>
      <c r="F3113" s="30" t="s">
        <v>43</v>
      </c>
      <c r="G3113" s="33">
        <v>28.332778000000001</v>
      </c>
      <c r="H3113" s="83" t="s">
        <v>88</v>
      </c>
    </row>
    <row r="3114" spans="1:8" ht="16.5" customHeight="1" x14ac:dyDescent="0.25">
      <c r="A3114" s="27">
        <v>46031</v>
      </c>
      <c r="B3114" s="80">
        <v>2026</v>
      </c>
      <c r="C3114" s="80">
        <v>1</v>
      </c>
      <c r="D3114" s="30" t="s">
        <v>35</v>
      </c>
      <c r="E3114" s="30" t="s">
        <v>50</v>
      </c>
      <c r="F3114" s="30" t="s">
        <v>58</v>
      </c>
      <c r="G3114" s="33">
        <v>4.3019753999999999</v>
      </c>
      <c r="H3114" s="83" t="s">
        <v>88</v>
      </c>
    </row>
    <row r="3115" spans="1:8" ht="16.5" customHeight="1" x14ac:dyDescent="0.25">
      <c r="A3115" s="27">
        <v>46031</v>
      </c>
      <c r="B3115" s="80">
        <v>2026</v>
      </c>
      <c r="C3115" s="80">
        <v>1</v>
      </c>
      <c r="D3115" s="30" t="s">
        <v>35</v>
      </c>
      <c r="E3115" s="30" t="s">
        <v>54</v>
      </c>
      <c r="F3115" s="30" t="s">
        <v>43</v>
      </c>
      <c r="G3115" s="33">
        <v>6.0597500000000002</v>
      </c>
      <c r="H3115" s="83" t="s">
        <v>88</v>
      </c>
    </row>
    <row r="3116" spans="1:8" ht="16.5" customHeight="1" x14ac:dyDescent="0.25">
      <c r="A3116" s="27">
        <v>46031</v>
      </c>
      <c r="B3116" s="80">
        <v>2026</v>
      </c>
      <c r="C3116" s="80">
        <v>1</v>
      </c>
      <c r="D3116" s="30" t="s">
        <v>35</v>
      </c>
      <c r="E3116" s="30" t="s">
        <v>66</v>
      </c>
      <c r="F3116" s="30" t="s">
        <v>43</v>
      </c>
      <c r="G3116" s="33">
        <v>39.167999999999999</v>
      </c>
      <c r="H3116" s="83" t="s">
        <v>89</v>
      </c>
    </row>
    <row r="3117" spans="1:8" ht="16.5" customHeight="1" x14ac:dyDescent="0.25">
      <c r="A3117" s="27">
        <v>46031</v>
      </c>
      <c r="B3117" s="80">
        <v>2026</v>
      </c>
      <c r="C3117" s="80">
        <v>1</v>
      </c>
      <c r="D3117" s="30" t="s">
        <v>35</v>
      </c>
      <c r="E3117" s="30" t="s">
        <v>68</v>
      </c>
      <c r="F3117" s="30" t="s">
        <v>43</v>
      </c>
      <c r="G3117" s="33">
        <v>1.02</v>
      </c>
      <c r="H3117" s="83" t="s">
        <v>89</v>
      </c>
    </row>
    <row r="3118" spans="1:8" ht="16.5" customHeight="1" x14ac:dyDescent="0.25">
      <c r="A3118" s="27">
        <v>46031</v>
      </c>
      <c r="B3118" s="80">
        <v>2026</v>
      </c>
      <c r="C3118" s="80">
        <v>1</v>
      </c>
      <c r="D3118" s="30" t="s">
        <v>35</v>
      </c>
      <c r="E3118" s="30" t="s">
        <v>68</v>
      </c>
      <c r="F3118" s="30" t="s">
        <v>55</v>
      </c>
      <c r="G3118" s="33">
        <v>0.54</v>
      </c>
      <c r="H3118" s="83" t="s">
        <v>89</v>
      </c>
    </row>
    <row r="3119" spans="1:8" ht="16.5" customHeight="1" x14ac:dyDescent="0.25">
      <c r="A3119" s="27">
        <v>46031</v>
      </c>
      <c r="B3119" s="80">
        <v>2026</v>
      </c>
      <c r="C3119" s="80">
        <v>1</v>
      </c>
      <c r="D3119" s="30" t="s">
        <v>35</v>
      </c>
      <c r="E3119" s="30" t="s">
        <v>76</v>
      </c>
      <c r="F3119" s="30" t="s">
        <v>43</v>
      </c>
      <c r="G3119" s="33">
        <v>54.228749999999998</v>
      </c>
      <c r="H3119" s="83" t="s">
        <v>48</v>
      </c>
    </row>
    <row r="3120" spans="1:8" ht="16.5" customHeight="1" x14ac:dyDescent="0.25">
      <c r="A3120" s="27">
        <v>46032</v>
      </c>
      <c r="B3120" s="80">
        <v>2026</v>
      </c>
      <c r="C3120" s="80">
        <v>1</v>
      </c>
      <c r="D3120" s="30" t="s">
        <v>35</v>
      </c>
      <c r="E3120" s="30" t="s">
        <v>50</v>
      </c>
      <c r="F3120" s="30" t="s">
        <v>58</v>
      </c>
      <c r="G3120" s="33">
        <v>0.16634499999999999</v>
      </c>
      <c r="H3120" s="83" t="s">
        <v>88</v>
      </c>
    </row>
    <row r="3121" spans="1:8" ht="16.5" customHeight="1" x14ac:dyDescent="0.25">
      <c r="A3121" s="27">
        <v>46034</v>
      </c>
      <c r="B3121" s="80">
        <v>2026</v>
      </c>
      <c r="C3121" s="80">
        <v>1</v>
      </c>
      <c r="D3121" s="30" t="s">
        <v>35</v>
      </c>
      <c r="E3121" s="30" t="s">
        <v>38</v>
      </c>
      <c r="F3121" s="30" t="s">
        <v>43</v>
      </c>
      <c r="G3121" s="33">
        <v>2.65225</v>
      </c>
      <c r="H3121" s="83" t="s">
        <v>88</v>
      </c>
    </row>
    <row r="3122" spans="1:8" ht="16.5" customHeight="1" x14ac:dyDescent="0.25">
      <c r="A3122" s="27">
        <v>46034</v>
      </c>
      <c r="B3122" s="80">
        <v>2026</v>
      </c>
      <c r="C3122" s="80">
        <v>1</v>
      </c>
      <c r="D3122" s="30" t="s">
        <v>35</v>
      </c>
      <c r="E3122" s="30" t="s">
        <v>42</v>
      </c>
      <c r="F3122" s="30" t="s">
        <v>43</v>
      </c>
      <c r="G3122" s="33">
        <v>12.826000000000001</v>
      </c>
      <c r="H3122" s="83" t="s">
        <v>88</v>
      </c>
    </row>
    <row r="3123" spans="1:8" ht="16.5" customHeight="1" x14ac:dyDescent="0.25">
      <c r="A3123" s="27">
        <v>46034</v>
      </c>
      <c r="B3123" s="80">
        <v>2026</v>
      </c>
      <c r="C3123" s="80">
        <v>1</v>
      </c>
      <c r="D3123" s="30" t="s">
        <v>35</v>
      </c>
      <c r="E3123" s="30" t="s">
        <v>46</v>
      </c>
      <c r="F3123" s="30" t="s">
        <v>43</v>
      </c>
      <c r="G3123" s="33">
        <v>0.43358600000000003</v>
      </c>
      <c r="H3123" s="83" t="s">
        <v>88</v>
      </c>
    </row>
    <row r="3124" spans="1:8" ht="16.5" customHeight="1" x14ac:dyDescent="0.25">
      <c r="A3124" s="27">
        <v>46034</v>
      </c>
      <c r="B3124" s="80">
        <v>2026</v>
      </c>
      <c r="C3124" s="80">
        <v>1</v>
      </c>
      <c r="D3124" s="30" t="s">
        <v>35</v>
      </c>
      <c r="E3124" s="30" t="s">
        <v>46</v>
      </c>
      <c r="F3124" s="30" t="s">
        <v>47</v>
      </c>
      <c r="G3124" s="33">
        <v>0.26695200000000002</v>
      </c>
      <c r="H3124" s="83" t="s">
        <v>88</v>
      </c>
    </row>
    <row r="3125" spans="1:8" ht="16.5" customHeight="1" x14ac:dyDescent="0.25">
      <c r="A3125" s="27">
        <v>46034</v>
      </c>
      <c r="B3125" s="80">
        <v>2026</v>
      </c>
      <c r="C3125" s="80">
        <v>1</v>
      </c>
      <c r="D3125" s="30" t="s">
        <v>35</v>
      </c>
      <c r="E3125" s="30" t="s">
        <v>50</v>
      </c>
      <c r="F3125" s="30" t="s">
        <v>43</v>
      </c>
      <c r="G3125" s="33">
        <v>41.189418199999999</v>
      </c>
      <c r="H3125" s="83" t="s">
        <v>88</v>
      </c>
    </row>
    <row r="3126" spans="1:8" ht="16.5" customHeight="1" x14ac:dyDescent="0.25">
      <c r="A3126" s="27">
        <v>46034</v>
      </c>
      <c r="B3126" s="80">
        <v>2026</v>
      </c>
      <c r="C3126" s="80">
        <v>1</v>
      </c>
      <c r="D3126" s="30" t="s">
        <v>35</v>
      </c>
      <c r="E3126" s="30" t="s">
        <v>50</v>
      </c>
      <c r="F3126" s="30" t="s">
        <v>47</v>
      </c>
      <c r="G3126" s="33">
        <v>0.62160000000000004</v>
      </c>
      <c r="H3126" s="83" t="s">
        <v>88</v>
      </c>
    </row>
    <row r="3127" spans="1:8" ht="16.5" customHeight="1" x14ac:dyDescent="0.25">
      <c r="A3127" s="27">
        <v>46034</v>
      </c>
      <c r="B3127" s="80">
        <v>2026</v>
      </c>
      <c r="C3127" s="80">
        <v>1</v>
      </c>
      <c r="D3127" s="30" t="s">
        <v>35</v>
      </c>
      <c r="E3127" s="30" t="s">
        <v>50</v>
      </c>
      <c r="F3127" s="30" t="s">
        <v>51</v>
      </c>
      <c r="G3127" s="33">
        <v>0.748</v>
      </c>
      <c r="H3127" s="83" t="s">
        <v>88</v>
      </c>
    </row>
    <row r="3128" spans="1:8" ht="16.5" customHeight="1" x14ac:dyDescent="0.25">
      <c r="A3128" s="27">
        <v>46034</v>
      </c>
      <c r="B3128" s="80">
        <v>2026</v>
      </c>
      <c r="C3128" s="80">
        <v>1</v>
      </c>
      <c r="D3128" s="30" t="s">
        <v>35</v>
      </c>
      <c r="E3128" s="30" t="s">
        <v>50</v>
      </c>
      <c r="F3128" s="30" t="s">
        <v>55</v>
      </c>
      <c r="G3128" s="33">
        <v>1.0104</v>
      </c>
      <c r="H3128" s="83" t="s">
        <v>88</v>
      </c>
    </row>
    <row r="3129" spans="1:8" ht="16.5" customHeight="1" x14ac:dyDescent="0.25">
      <c r="A3129" s="27">
        <v>46034</v>
      </c>
      <c r="B3129" s="80">
        <v>2026</v>
      </c>
      <c r="C3129" s="80">
        <v>1</v>
      </c>
      <c r="D3129" s="30" t="s">
        <v>35</v>
      </c>
      <c r="E3129" s="30" t="s">
        <v>50</v>
      </c>
      <c r="F3129" s="30" t="s">
        <v>58</v>
      </c>
      <c r="G3129" s="33">
        <v>0.195075</v>
      </c>
      <c r="H3129" s="83" t="s">
        <v>88</v>
      </c>
    </row>
    <row r="3130" spans="1:8" ht="16.5" customHeight="1" x14ac:dyDescent="0.25">
      <c r="A3130" s="27">
        <v>46034</v>
      </c>
      <c r="B3130" s="80">
        <v>2026</v>
      </c>
      <c r="C3130" s="80">
        <v>1</v>
      </c>
      <c r="D3130" s="30" t="s">
        <v>35</v>
      </c>
      <c r="E3130" s="30" t="s">
        <v>54</v>
      </c>
      <c r="F3130" s="30" t="s">
        <v>43</v>
      </c>
      <c r="G3130" s="33">
        <v>0.08</v>
      </c>
      <c r="H3130" s="83" t="s">
        <v>88</v>
      </c>
    </row>
    <row r="3131" spans="1:8" ht="16.5" customHeight="1" x14ac:dyDescent="0.25">
      <c r="A3131" s="27">
        <v>46034</v>
      </c>
      <c r="B3131" s="80">
        <v>2026</v>
      </c>
      <c r="C3131" s="80">
        <v>1</v>
      </c>
      <c r="D3131" s="30" t="s">
        <v>35</v>
      </c>
      <c r="E3131" s="30" t="s">
        <v>68</v>
      </c>
      <c r="F3131" s="30" t="s">
        <v>43</v>
      </c>
      <c r="G3131" s="33">
        <v>12.166442</v>
      </c>
      <c r="H3131" s="83" t="s">
        <v>89</v>
      </c>
    </row>
    <row r="3132" spans="1:8" ht="16.5" customHeight="1" x14ac:dyDescent="0.25">
      <c r="A3132" s="27">
        <v>46034</v>
      </c>
      <c r="B3132" s="80">
        <v>2026</v>
      </c>
      <c r="C3132" s="80">
        <v>1</v>
      </c>
      <c r="D3132" s="30" t="s">
        <v>35</v>
      </c>
      <c r="E3132" s="30" t="s">
        <v>73</v>
      </c>
      <c r="F3132" s="30" t="s">
        <v>39</v>
      </c>
      <c r="G3132" s="33">
        <v>7.7304149999999998</v>
      </c>
      <c r="H3132" s="83" t="s">
        <v>89</v>
      </c>
    </row>
    <row r="3133" spans="1:8" ht="16.5" customHeight="1" x14ac:dyDescent="0.25">
      <c r="A3133" s="27">
        <v>46034</v>
      </c>
      <c r="B3133" s="80">
        <v>2026</v>
      </c>
      <c r="C3133" s="80">
        <v>1</v>
      </c>
      <c r="D3133" s="30" t="s">
        <v>35</v>
      </c>
      <c r="E3133" s="30" t="s">
        <v>75</v>
      </c>
      <c r="F3133" s="30" t="s">
        <v>43</v>
      </c>
      <c r="G3133" s="33">
        <v>155.12162699999999</v>
      </c>
      <c r="H3133" s="83" t="s">
        <v>48</v>
      </c>
    </row>
    <row r="3134" spans="1:8" ht="16.5" customHeight="1" x14ac:dyDescent="0.25">
      <c r="A3134" s="27">
        <v>46034</v>
      </c>
      <c r="B3134" s="80">
        <v>2026</v>
      </c>
      <c r="C3134" s="80">
        <v>1</v>
      </c>
      <c r="D3134" s="30" t="s">
        <v>35</v>
      </c>
      <c r="E3134" s="30" t="s">
        <v>76</v>
      </c>
      <c r="F3134" s="30" t="s">
        <v>39</v>
      </c>
      <c r="G3134" s="33">
        <v>53.762999999999998</v>
      </c>
      <c r="H3134" s="83" t="s">
        <v>48</v>
      </c>
    </row>
    <row r="3135" spans="1:8" ht="16.5" customHeight="1" x14ac:dyDescent="0.25">
      <c r="A3135" s="27">
        <v>46035</v>
      </c>
      <c r="B3135" s="80">
        <v>2026</v>
      </c>
      <c r="C3135" s="80">
        <v>1</v>
      </c>
      <c r="D3135" s="30" t="s">
        <v>35</v>
      </c>
      <c r="E3135" s="30" t="s">
        <v>38</v>
      </c>
      <c r="F3135" s="30" t="s">
        <v>43</v>
      </c>
      <c r="G3135" s="33">
        <v>2.2999999999999998</v>
      </c>
      <c r="H3135" s="83" t="s">
        <v>88</v>
      </c>
    </row>
    <row r="3136" spans="1:8" ht="16.5" customHeight="1" x14ac:dyDescent="0.25">
      <c r="A3136" s="27">
        <v>46035</v>
      </c>
      <c r="B3136" s="80">
        <v>2026</v>
      </c>
      <c r="C3136" s="80">
        <v>1</v>
      </c>
      <c r="D3136" s="30" t="s">
        <v>35</v>
      </c>
      <c r="E3136" s="30" t="s">
        <v>38</v>
      </c>
      <c r="F3136" s="30" t="s">
        <v>55</v>
      </c>
      <c r="G3136" s="33">
        <v>1.82</v>
      </c>
      <c r="H3136" s="83" t="s">
        <v>88</v>
      </c>
    </row>
    <row r="3137" spans="1:8" ht="16.5" customHeight="1" x14ac:dyDescent="0.25">
      <c r="A3137" s="27">
        <v>46035</v>
      </c>
      <c r="B3137" s="80">
        <v>2026</v>
      </c>
      <c r="C3137" s="80">
        <v>1</v>
      </c>
      <c r="D3137" s="30" t="s">
        <v>35</v>
      </c>
      <c r="E3137" s="30" t="s">
        <v>42</v>
      </c>
      <c r="F3137" s="30" t="s">
        <v>58</v>
      </c>
      <c r="G3137" s="33">
        <v>0.89390999999999998</v>
      </c>
      <c r="H3137" s="83" t="s">
        <v>88</v>
      </c>
    </row>
    <row r="3138" spans="1:8" ht="16.5" customHeight="1" x14ac:dyDescent="0.25">
      <c r="A3138" s="27">
        <v>46035</v>
      </c>
      <c r="B3138" s="80">
        <v>2026</v>
      </c>
      <c r="C3138" s="80">
        <v>1</v>
      </c>
      <c r="D3138" s="30" t="s">
        <v>35</v>
      </c>
      <c r="E3138" s="30" t="s">
        <v>46</v>
      </c>
      <c r="F3138" s="30" t="s">
        <v>43</v>
      </c>
      <c r="G3138" s="33">
        <v>11.0075</v>
      </c>
      <c r="H3138" s="83" t="s">
        <v>88</v>
      </c>
    </row>
    <row r="3139" spans="1:8" ht="16.5" customHeight="1" x14ac:dyDescent="0.25">
      <c r="A3139" s="27">
        <v>46035</v>
      </c>
      <c r="B3139" s="80">
        <v>2026</v>
      </c>
      <c r="C3139" s="80">
        <v>1</v>
      </c>
      <c r="D3139" s="30" t="s">
        <v>35</v>
      </c>
      <c r="E3139" s="30" t="s">
        <v>46</v>
      </c>
      <c r="F3139" s="30" t="s">
        <v>47</v>
      </c>
      <c r="G3139" s="33">
        <v>0.270592</v>
      </c>
      <c r="H3139" s="83" t="s">
        <v>88</v>
      </c>
    </row>
    <row r="3140" spans="1:8" ht="16.5" customHeight="1" x14ac:dyDescent="0.25">
      <c r="A3140" s="27">
        <v>46035</v>
      </c>
      <c r="B3140" s="80">
        <v>2026</v>
      </c>
      <c r="C3140" s="80">
        <v>1</v>
      </c>
      <c r="D3140" s="30" t="s">
        <v>35</v>
      </c>
      <c r="E3140" s="30" t="s">
        <v>46</v>
      </c>
      <c r="F3140" s="30" t="s">
        <v>51</v>
      </c>
      <c r="G3140" s="33">
        <v>1.8396399999999999</v>
      </c>
      <c r="H3140" s="83" t="s">
        <v>88</v>
      </c>
    </row>
    <row r="3141" spans="1:8" ht="16.5" customHeight="1" x14ac:dyDescent="0.25">
      <c r="A3141" s="27">
        <v>46035</v>
      </c>
      <c r="B3141" s="80">
        <v>2026</v>
      </c>
      <c r="C3141" s="80">
        <v>1</v>
      </c>
      <c r="D3141" s="30" t="s">
        <v>35</v>
      </c>
      <c r="E3141" s="30" t="s">
        <v>46</v>
      </c>
      <c r="F3141" s="30" t="s">
        <v>55</v>
      </c>
      <c r="G3141" s="33">
        <v>0.18696215999999999</v>
      </c>
      <c r="H3141" s="83" t="s">
        <v>88</v>
      </c>
    </row>
    <row r="3142" spans="1:8" ht="16.5" customHeight="1" x14ac:dyDescent="0.25">
      <c r="A3142" s="27">
        <v>46035</v>
      </c>
      <c r="B3142" s="80">
        <v>2026</v>
      </c>
      <c r="C3142" s="80">
        <v>1</v>
      </c>
      <c r="D3142" s="30" t="s">
        <v>35</v>
      </c>
      <c r="E3142" s="30" t="s">
        <v>50</v>
      </c>
      <c r="F3142" s="30" t="s">
        <v>43</v>
      </c>
      <c r="G3142" s="33">
        <v>3.242718</v>
      </c>
      <c r="H3142" s="83" t="s">
        <v>88</v>
      </c>
    </row>
    <row r="3143" spans="1:8" ht="16.5" customHeight="1" x14ac:dyDescent="0.25">
      <c r="A3143" s="27">
        <v>46035</v>
      </c>
      <c r="B3143" s="80">
        <v>2026</v>
      </c>
      <c r="C3143" s="80">
        <v>1</v>
      </c>
      <c r="D3143" s="30" t="s">
        <v>35</v>
      </c>
      <c r="E3143" s="30" t="s">
        <v>50</v>
      </c>
      <c r="F3143" s="30" t="s">
        <v>58</v>
      </c>
      <c r="G3143" s="33">
        <v>0.577495023</v>
      </c>
      <c r="H3143" s="83" t="s">
        <v>88</v>
      </c>
    </row>
    <row r="3144" spans="1:8" ht="16.5" customHeight="1" x14ac:dyDescent="0.25">
      <c r="A3144" s="27">
        <v>46035</v>
      </c>
      <c r="B3144" s="80">
        <v>2026</v>
      </c>
      <c r="C3144" s="80">
        <v>1</v>
      </c>
      <c r="D3144" s="30" t="s">
        <v>35</v>
      </c>
      <c r="E3144" s="30" t="s">
        <v>54</v>
      </c>
      <c r="F3144" s="30" t="s">
        <v>43</v>
      </c>
      <c r="G3144" s="33">
        <v>4.3222500000000004</v>
      </c>
      <c r="H3144" s="83" t="s">
        <v>88</v>
      </c>
    </row>
    <row r="3145" spans="1:8" ht="16.5" customHeight="1" x14ac:dyDescent="0.25">
      <c r="A3145" s="27">
        <v>46035</v>
      </c>
      <c r="B3145" s="80">
        <v>2026</v>
      </c>
      <c r="C3145" s="80">
        <v>1</v>
      </c>
      <c r="D3145" s="30" t="s">
        <v>35</v>
      </c>
      <c r="E3145" s="30" t="s">
        <v>66</v>
      </c>
      <c r="F3145" s="30" t="s">
        <v>43</v>
      </c>
      <c r="G3145" s="33">
        <v>7.89</v>
      </c>
      <c r="H3145" s="83" t="s">
        <v>89</v>
      </c>
    </row>
    <row r="3146" spans="1:8" ht="16.5" customHeight="1" x14ac:dyDescent="0.25">
      <c r="A3146" s="27">
        <v>46035</v>
      </c>
      <c r="B3146" s="80">
        <v>2026</v>
      </c>
      <c r="C3146" s="80">
        <v>1</v>
      </c>
      <c r="D3146" s="30" t="s">
        <v>35</v>
      </c>
      <c r="E3146" s="30" t="s">
        <v>68</v>
      </c>
      <c r="F3146" s="30" t="s">
        <v>43</v>
      </c>
      <c r="G3146" s="33">
        <v>4.8550000000000004</v>
      </c>
      <c r="H3146" s="83" t="s">
        <v>89</v>
      </c>
    </row>
    <row r="3147" spans="1:8" ht="16.5" customHeight="1" x14ac:dyDescent="0.25">
      <c r="A3147" s="27">
        <v>46035</v>
      </c>
      <c r="B3147" s="80">
        <v>2026</v>
      </c>
      <c r="C3147" s="80">
        <v>1</v>
      </c>
      <c r="D3147" s="30" t="s">
        <v>35</v>
      </c>
      <c r="E3147" s="30" t="s">
        <v>71</v>
      </c>
      <c r="F3147" s="30" t="s">
        <v>39</v>
      </c>
      <c r="G3147" s="33">
        <v>52.889600000000002</v>
      </c>
      <c r="H3147" s="83" t="s">
        <v>89</v>
      </c>
    </row>
    <row r="3148" spans="1:8" ht="16.5" customHeight="1" x14ac:dyDescent="0.25">
      <c r="A3148" s="27">
        <v>46035</v>
      </c>
      <c r="B3148" s="80">
        <v>2026</v>
      </c>
      <c r="C3148" s="80">
        <v>1</v>
      </c>
      <c r="D3148" s="30" t="s">
        <v>35</v>
      </c>
      <c r="E3148" s="30" t="s">
        <v>75</v>
      </c>
      <c r="F3148" s="30" t="s">
        <v>43</v>
      </c>
      <c r="G3148" s="33">
        <v>15.4595</v>
      </c>
      <c r="H3148" s="83" t="s">
        <v>48</v>
      </c>
    </row>
    <row r="3149" spans="1:8" ht="16.5" customHeight="1" x14ac:dyDescent="0.25">
      <c r="A3149" s="27">
        <v>46036</v>
      </c>
      <c r="B3149" s="80">
        <v>2026</v>
      </c>
      <c r="C3149" s="80">
        <v>1</v>
      </c>
      <c r="D3149" s="30" t="s">
        <v>35</v>
      </c>
      <c r="E3149" s="30" t="s">
        <v>42</v>
      </c>
      <c r="F3149" s="30" t="s">
        <v>43</v>
      </c>
      <c r="G3149" s="33">
        <v>1.1515</v>
      </c>
      <c r="H3149" s="83" t="s">
        <v>88</v>
      </c>
    </row>
    <row r="3150" spans="1:8" ht="16.5" customHeight="1" x14ac:dyDescent="0.25">
      <c r="A3150" s="27">
        <v>46036</v>
      </c>
      <c r="B3150" s="80">
        <v>2026</v>
      </c>
      <c r="C3150" s="80">
        <v>1</v>
      </c>
      <c r="D3150" s="30" t="s">
        <v>35</v>
      </c>
      <c r="E3150" s="30" t="s">
        <v>50</v>
      </c>
      <c r="F3150" s="30" t="s">
        <v>43</v>
      </c>
      <c r="G3150" s="33">
        <v>1.0256695</v>
      </c>
      <c r="H3150" s="83" t="s">
        <v>88</v>
      </c>
    </row>
    <row r="3151" spans="1:8" ht="16.5" customHeight="1" x14ac:dyDescent="0.25">
      <c r="A3151" s="27">
        <v>46036</v>
      </c>
      <c r="B3151" s="80">
        <v>2026</v>
      </c>
      <c r="C3151" s="80">
        <v>1</v>
      </c>
      <c r="D3151" s="30" t="s">
        <v>35</v>
      </c>
      <c r="E3151" s="30" t="s">
        <v>50</v>
      </c>
      <c r="F3151" s="30" t="s">
        <v>47</v>
      </c>
      <c r="G3151" s="33">
        <v>0.120666</v>
      </c>
      <c r="H3151" s="83" t="s">
        <v>88</v>
      </c>
    </row>
    <row r="3152" spans="1:8" ht="16.5" customHeight="1" x14ac:dyDescent="0.25">
      <c r="A3152" s="27">
        <v>46036</v>
      </c>
      <c r="B3152" s="80">
        <v>2026</v>
      </c>
      <c r="C3152" s="80">
        <v>1</v>
      </c>
      <c r="D3152" s="30" t="s">
        <v>35</v>
      </c>
      <c r="E3152" s="30" t="s">
        <v>50</v>
      </c>
      <c r="F3152" s="30" t="s">
        <v>51</v>
      </c>
      <c r="G3152" s="33">
        <v>0.62050000000000005</v>
      </c>
      <c r="H3152" s="83" t="s">
        <v>88</v>
      </c>
    </row>
    <row r="3153" spans="1:8" ht="16.5" customHeight="1" x14ac:dyDescent="0.25">
      <c r="A3153" s="27">
        <v>46036</v>
      </c>
      <c r="B3153" s="80">
        <v>2026</v>
      </c>
      <c r="C3153" s="80">
        <v>1</v>
      </c>
      <c r="D3153" s="30" t="s">
        <v>35</v>
      </c>
      <c r="E3153" s="30" t="s">
        <v>50</v>
      </c>
      <c r="F3153" s="30" t="s">
        <v>58</v>
      </c>
      <c r="G3153" s="33">
        <v>14.984373162000001</v>
      </c>
      <c r="H3153" s="83" t="s">
        <v>88</v>
      </c>
    </row>
    <row r="3154" spans="1:8" ht="16.5" customHeight="1" x14ac:dyDescent="0.25">
      <c r="A3154" s="27">
        <v>46036</v>
      </c>
      <c r="B3154" s="80">
        <v>2026</v>
      </c>
      <c r="C3154" s="80">
        <v>1</v>
      </c>
      <c r="D3154" s="30" t="s">
        <v>35</v>
      </c>
      <c r="E3154" s="30" t="s">
        <v>54</v>
      </c>
      <c r="F3154" s="30" t="s">
        <v>43</v>
      </c>
      <c r="G3154" s="33">
        <v>2.99525</v>
      </c>
      <c r="H3154" s="83" t="s">
        <v>88</v>
      </c>
    </row>
    <row r="3155" spans="1:8" ht="16.5" customHeight="1" x14ac:dyDescent="0.25">
      <c r="A3155" s="27">
        <v>46036</v>
      </c>
      <c r="B3155" s="80">
        <v>2026</v>
      </c>
      <c r="C3155" s="80">
        <v>1</v>
      </c>
      <c r="D3155" s="30" t="s">
        <v>35</v>
      </c>
      <c r="E3155" s="30" t="s">
        <v>64</v>
      </c>
      <c r="F3155" s="30" t="s">
        <v>43</v>
      </c>
      <c r="G3155" s="33">
        <v>2.6819999999999999</v>
      </c>
      <c r="H3155" s="83" t="s">
        <v>89</v>
      </c>
    </row>
    <row r="3156" spans="1:8" ht="16.5" customHeight="1" x14ac:dyDescent="0.25">
      <c r="A3156" s="27">
        <v>46036</v>
      </c>
      <c r="B3156" s="80">
        <v>2026</v>
      </c>
      <c r="C3156" s="80">
        <v>1</v>
      </c>
      <c r="D3156" s="30" t="s">
        <v>35</v>
      </c>
      <c r="E3156" s="30" t="s">
        <v>68</v>
      </c>
      <c r="F3156" s="30" t="s">
        <v>43</v>
      </c>
      <c r="G3156" s="33">
        <v>1.5573999999999999</v>
      </c>
      <c r="H3156" s="83" t="s">
        <v>89</v>
      </c>
    </row>
    <row r="3157" spans="1:8" ht="16.5" customHeight="1" x14ac:dyDescent="0.25">
      <c r="A3157" s="27">
        <v>46036</v>
      </c>
      <c r="B3157" s="80">
        <v>2026</v>
      </c>
      <c r="C3157" s="80">
        <v>1</v>
      </c>
      <c r="D3157" s="30" t="s">
        <v>35</v>
      </c>
      <c r="E3157" s="30" t="s">
        <v>71</v>
      </c>
      <c r="F3157" s="30" t="s">
        <v>43</v>
      </c>
      <c r="G3157" s="33">
        <v>5.643624</v>
      </c>
      <c r="H3157" s="83" t="s">
        <v>89</v>
      </c>
    </row>
    <row r="3158" spans="1:8" ht="16.5" customHeight="1" x14ac:dyDescent="0.25">
      <c r="A3158" s="27">
        <v>46036</v>
      </c>
      <c r="B3158" s="80">
        <v>2026</v>
      </c>
      <c r="C3158" s="80">
        <v>1</v>
      </c>
      <c r="D3158" s="30" t="s">
        <v>35</v>
      </c>
      <c r="E3158" s="30" t="s">
        <v>75</v>
      </c>
      <c r="F3158" s="30" t="s">
        <v>43</v>
      </c>
      <c r="G3158" s="33">
        <v>17.399180000000001</v>
      </c>
      <c r="H3158" s="83" t="s">
        <v>48</v>
      </c>
    </row>
    <row r="3159" spans="1:8" ht="16.5" customHeight="1" x14ac:dyDescent="0.25">
      <c r="A3159" s="27">
        <v>46036</v>
      </c>
      <c r="B3159" s="80">
        <v>2026</v>
      </c>
      <c r="C3159" s="80">
        <v>1</v>
      </c>
      <c r="D3159" s="30" t="s">
        <v>35</v>
      </c>
      <c r="E3159" s="30" t="s">
        <v>76</v>
      </c>
      <c r="F3159" s="30" t="s">
        <v>43</v>
      </c>
      <c r="G3159" s="33">
        <v>1.845</v>
      </c>
      <c r="H3159" s="83" t="s">
        <v>48</v>
      </c>
    </row>
    <row r="3160" spans="1:8" ht="16.5" customHeight="1" x14ac:dyDescent="0.25">
      <c r="A3160" s="27">
        <v>46037</v>
      </c>
      <c r="B3160" s="80">
        <v>2026</v>
      </c>
      <c r="C3160" s="80">
        <v>1</v>
      </c>
      <c r="D3160" s="30" t="s">
        <v>35</v>
      </c>
      <c r="E3160" s="30" t="s">
        <v>38</v>
      </c>
      <c r="F3160" s="30" t="s">
        <v>43</v>
      </c>
      <c r="G3160" s="33">
        <v>2.215576</v>
      </c>
      <c r="H3160" s="83" t="s">
        <v>88</v>
      </c>
    </row>
    <row r="3161" spans="1:8" ht="16.5" customHeight="1" x14ac:dyDescent="0.25">
      <c r="A3161" s="27">
        <v>46037</v>
      </c>
      <c r="B3161" s="80">
        <v>2026</v>
      </c>
      <c r="C3161" s="80">
        <v>1</v>
      </c>
      <c r="D3161" s="30" t="s">
        <v>35</v>
      </c>
      <c r="E3161" s="30" t="s">
        <v>42</v>
      </c>
      <c r="F3161" s="30" t="s">
        <v>43</v>
      </c>
      <c r="G3161" s="33">
        <v>3.7334999999999998</v>
      </c>
      <c r="H3161" s="83" t="s">
        <v>88</v>
      </c>
    </row>
    <row r="3162" spans="1:8" ht="16.5" customHeight="1" x14ac:dyDescent="0.25">
      <c r="A3162" s="27">
        <v>46037</v>
      </c>
      <c r="B3162" s="80">
        <v>2026</v>
      </c>
      <c r="C3162" s="80">
        <v>1</v>
      </c>
      <c r="D3162" s="30" t="s">
        <v>35</v>
      </c>
      <c r="E3162" s="30" t="s">
        <v>46</v>
      </c>
      <c r="F3162" s="30" t="s">
        <v>58</v>
      </c>
      <c r="G3162" s="33">
        <v>0.58130704</v>
      </c>
      <c r="H3162" s="83" t="s">
        <v>88</v>
      </c>
    </row>
    <row r="3163" spans="1:8" ht="16.5" customHeight="1" x14ac:dyDescent="0.25">
      <c r="A3163" s="27">
        <v>46037</v>
      </c>
      <c r="B3163" s="80">
        <v>2026</v>
      </c>
      <c r="C3163" s="80">
        <v>1</v>
      </c>
      <c r="D3163" s="30" t="s">
        <v>35</v>
      </c>
      <c r="E3163" s="30" t="s">
        <v>50</v>
      </c>
      <c r="F3163" s="30" t="s">
        <v>43</v>
      </c>
      <c r="G3163" s="33">
        <v>1.040978</v>
      </c>
      <c r="H3163" s="83" t="s">
        <v>88</v>
      </c>
    </row>
    <row r="3164" spans="1:8" ht="16.5" customHeight="1" x14ac:dyDescent="0.25">
      <c r="A3164" s="27">
        <v>46037</v>
      </c>
      <c r="B3164" s="80">
        <v>2026</v>
      </c>
      <c r="C3164" s="80">
        <v>1</v>
      </c>
      <c r="D3164" s="30" t="s">
        <v>35</v>
      </c>
      <c r="E3164" s="30" t="s">
        <v>50</v>
      </c>
      <c r="F3164" s="30" t="s">
        <v>51</v>
      </c>
      <c r="G3164" s="33">
        <v>0.52787300000000004</v>
      </c>
      <c r="H3164" s="83" t="s">
        <v>88</v>
      </c>
    </row>
    <row r="3165" spans="1:8" ht="16.5" customHeight="1" x14ac:dyDescent="0.25">
      <c r="A3165" s="27">
        <v>46037</v>
      </c>
      <c r="B3165" s="80">
        <v>2026</v>
      </c>
      <c r="C3165" s="80">
        <v>1</v>
      </c>
      <c r="D3165" s="30" t="s">
        <v>35</v>
      </c>
      <c r="E3165" s="30" t="s">
        <v>50</v>
      </c>
      <c r="F3165" s="30" t="s">
        <v>58</v>
      </c>
      <c r="G3165" s="33">
        <v>0.45824688000000002</v>
      </c>
      <c r="H3165" s="83" t="s">
        <v>88</v>
      </c>
    </row>
    <row r="3166" spans="1:8" ht="16.5" customHeight="1" x14ac:dyDescent="0.25">
      <c r="A3166" s="27">
        <v>46037</v>
      </c>
      <c r="B3166" s="80">
        <v>2026</v>
      </c>
      <c r="C3166" s="80">
        <v>1</v>
      </c>
      <c r="D3166" s="30" t="s">
        <v>35</v>
      </c>
      <c r="E3166" s="30" t="s">
        <v>54</v>
      </c>
      <c r="F3166" s="30" t="s">
        <v>43</v>
      </c>
      <c r="G3166" s="33">
        <v>1.6115999999999999</v>
      </c>
      <c r="H3166" s="83" t="s">
        <v>88</v>
      </c>
    </row>
    <row r="3167" spans="1:8" ht="16.5" customHeight="1" x14ac:dyDescent="0.25">
      <c r="A3167" s="27">
        <v>46037</v>
      </c>
      <c r="B3167" s="80">
        <v>2026</v>
      </c>
      <c r="C3167" s="80">
        <v>1</v>
      </c>
      <c r="D3167" s="30" t="s">
        <v>35</v>
      </c>
      <c r="E3167" s="30" t="s">
        <v>57</v>
      </c>
      <c r="F3167" s="30" t="s">
        <v>43</v>
      </c>
      <c r="G3167" s="33">
        <v>0.1</v>
      </c>
      <c r="H3167" s="83" t="s">
        <v>89</v>
      </c>
    </row>
    <row r="3168" spans="1:8" ht="16.5" customHeight="1" x14ac:dyDescent="0.25">
      <c r="A3168" s="27">
        <v>46037</v>
      </c>
      <c r="B3168" s="80">
        <v>2026</v>
      </c>
      <c r="C3168" s="80">
        <v>1</v>
      </c>
      <c r="D3168" s="30" t="s">
        <v>35</v>
      </c>
      <c r="E3168" s="30" t="s">
        <v>57</v>
      </c>
      <c r="F3168" s="30" t="s">
        <v>55</v>
      </c>
      <c r="G3168" s="33">
        <v>0.53400000000000003</v>
      </c>
      <c r="H3168" s="83" t="s">
        <v>89</v>
      </c>
    </row>
    <row r="3169" spans="1:8" ht="16.5" customHeight="1" x14ac:dyDescent="0.25">
      <c r="A3169" s="27">
        <v>46037</v>
      </c>
      <c r="B3169" s="80">
        <v>2026</v>
      </c>
      <c r="C3169" s="80">
        <v>1</v>
      </c>
      <c r="D3169" s="30" t="s">
        <v>35</v>
      </c>
      <c r="E3169" s="30" t="s">
        <v>61</v>
      </c>
      <c r="F3169" s="30" t="s">
        <v>43</v>
      </c>
      <c r="G3169" s="33">
        <v>2.7730000000000001</v>
      </c>
      <c r="H3169" s="83" t="s">
        <v>89</v>
      </c>
    </row>
    <row r="3170" spans="1:8" ht="16.5" customHeight="1" x14ac:dyDescent="0.25">
      <c r="A3170" s="27">
        <v>46037</v>
      </c>
      <c r="B3170" s="80">
        <v>2026</v>
      </c>
      <c r="C3170" s="80">
        <v>1</v>
      </c>
      <c r="D3170" s="30" t="s">
        <v>35</v>
      </c>
      <c r="E3170" s="30" t="s">
        <v>64</v>
      </c>
      <c r="F3170" s="30" t="s">
        <v>43</v>
      </c>
      <c r="G3170" s="33">
        <v>10.02</v>
      </c>
      <c r="H3170" s="83" t="s">
        <v>89</v>
      </c>
    </row>
    <row r="3171" spans="1:8" ht="16.5" customHeight="1" x14ac:dyDescent="0.25">
      <c r="A3171" s="27">
        <v>46037</v>
      </c>
      <c r="B3171" s="80">
        <v>2026</v>
      </c>
      <c r="C3171" s="80">
        <v>1</v>
      </c>
      <c r="D3171" s="30" t="s">
        <v>35</v>
      </c>
      <c r="E3171" s="30" t="s">
        <v>66</v>
      </c>
      <c r="F3171" s="30" t="s">
        <v>43</v>
      </c>
      <c r="G3171" s="33">
        <v>3.25</v>
      </c>
      <c r="H3171" s="83" t="s">
        <v>89</v>
      </c>
    </row>
    <row r="3172" spans="1:8" ht="16.5" customHeight="1" x14ac:dyDescent="0.25">
      <c r="A3172" s="27">
        <v>46037</v>
      </c>
      <c r="B3172" s="80">
        <v>2026</v>
      </c>
      <c r="C3172" s="80">
        <v>1</v>
      </c>
      <c r="D3172" s="30" t="s">
        <v>35</v>
      </c>
      <c r="E3172" s="30" t="s">
        <v>71</v>
      </c>
      <c r="F3172" s="30" t="s">
        <v>43</v>
      </c>
      <c r="G3172" s="33">
        <v>20.5</v>
      </c>
      <c r="H3172" s="83" t="s">
        <v>89</v>
      </c>
    </row>
    <row r="3173" spans="1:8" ht="16.5" customHeight="1" x14ac:dyDescent="0.25">
      <c r="A3173" s="27">
        <v>46037</v>
      </c>
      <c r="B3173" s="80">
        <v>2026</v>
      </c>
      <c r="C3173" s="80">
        <v>1</v>
      </c>
      <c r="D3173" s="30" t="s">
        <v>35</v>
      </c>
      <c r="E3173" s="30" t="s">
        <v>74</v>
      </c>
      <c r="F3173" s="30" t="s">
        <v>43</v>
      </c>
      <c r="G3173" s="33">
        <v>2.6606000000000001</v>
      </c>
      <c r="H3173" s="83" t="s">
        <v>89</v>
      </c>
    </row>
    <row r="3174" spans="1:8" ht="16.5" customHeight="1" x14ac:dyDescent="0.25">
      <c r="A3174" s="27">
        <v>46037</v>
      </c>
      <c r="B3174" s="80">
        <v>2026</v>
      </c>
      <c r="C3174" s="80">
        <v>1</v>
      </c>
      <c r="D3174" s="30" t="s">
        <v>35</v>
      </c>
      <c r="E3174" s="30" t="s">
        <v>75</v>
      </c>
      <c r="F3174" s="30" t="s">
        <v>43</v>
      </c>
      <c r="G3174" s="33">
        <v>11.047319999999999</v>
      </c>
      <c r="H3174" s="83" t="s">
        <v>48</v>
      </c>
    </row>
    <row r="3175" spans="1:8" ht="16.5" customHeight="1" x14ac:dyDescent="0.25">
      <c r="A3175" s="27">
        <v>46037</v>
      </c>
      <c r="B3175" s="80">
        <v>2026</v>
      </c>
      <c r="C3175" s="80">
        <v>1</v>
      </c>
      <c r="D3175" s="30" t="s">
        <v>35</v>
      </c>
      <c r="E3175" s="30" t="s">
        <v>76</v>
      </c>
      <c r="F3175" s="30" t="s">
        <v>39</v>
      </c>
      <c r="G3175" s="33">
        <v>3.5679509999999999</v>
      </c>
      <c r="H3175" s="83" t="s">
        <v>48</v>
      </c>
    </row>
    <row r="3176" spans="1:8" ht="16.5" customHeight="1" x14ac:dyDescent="0.25">
      <c r="A3176" s="27">
        <v>46038</v>
      </c>
      <c r="B3176" s="80">
        <v>2026</v>
      </c>
      <c r="C3176" s="80">
        <v>1</v>
      </c>
      <c r="D3176" s="30" t="s">
        <v>35</v>
      </c>
      <c r="E3176" s="30" t="s">
        <v>38</v>
      </c>
      <c r="F3176" s="30" t="s">
        <v>43</v>
      </c>
      <c r="G3176" s="33">
        <v>2.9365000000000001</v>
      </c>
      <c r="H3176" s="83" t="s">
        <v>88</v>
      </c>
    </row>
    <row r="3177" spans="1:8" ht="16.5" customHeight="1" x14ac:dyDescent="0.25">
      <c r="A3177" s="27">
        <v>46038</v>
      </c>
      <c r="B3177" s="80">
        <v>2026</v>
      </c>
      <c r="C3177" s="80">
        <v>1</v>
      </c>
      <c r="D3177" s="30" t="s">
        <v>35</v>
      </c>
      <c r="E3177" s="30" t="s">
        <v>46</v>
      </c>
      <c r="F3177" s="30" t="s">
        <v>43</v>
      </c>
      <c r="G3177" s="33">
        <v>2.6506720000000001</v>
      </c>
      <c r="H3177" s="83" t="s">
        <v>88</v>
      </c>
    </row>
    <row r="3178" spans="1:8" ht="16.5" customHeight="1" x14ac:dyDescent="0.25">
      <c r="A3178" s="27">
        <v>46038</v>
      </c>
      <c r="B3178" s="80">
        <v>2026</v>
      </c>
      <c r="C3178" s="80">
        <v>1</v>
      </c>
      <c r="D3178" s="30" t="s">
        <v>35</v>
      </c>
      <c r="E3178" s="30" t="s">
        <v>50</v>
      </c>
      <c r="F3178" s="30" t="s">
        <v>43</v>
      </c>
      <c r="G3178" s="33">
        <v>12.7383127</v>
      </c>
      <c r="H3178" s="83" t="s">
        <v>88</v>
      </c>
    </row>
    <row r="3179" spans="1:8" ht="16.5" customHeight="1" x14ac:dyDescent="0.25">
      <c r="A3179" s="27">
        <v>46038</v>
      </c>
      <c r="B3179" s="80">
        <v>2026</v>
      </c>
      <c r="C3179" s="80">
        <v>1</v>
      </c>
      <c r="D3179" s="30" t="s">
        <v>35</v>
      </c>
      <c r="E3179" s="30" t="s">
        <v>54</v>
      </c>
      <c r="F3179" s="30" t="s">
        <v>43</v>
      </c>
      <c r="G3179" s="33">
        <v>12.307</v>
      </c>
      <c r="H3179" s="83" t="s">
        <v>88</v>
      </c>
    </row>
    <row r="3180" spans="1:8" ht="16.5" customHeight="1" x14ac:dyDescent="0.25">
      <c r="A3180" s="27">
        <v>46038</v>
      </c>
      <c r="B3180" s="80">
        <v>2026</v>
      </c>
      <c r="C3180" s="80">
        <v>1</v>
      </c>
      <c r="D3180" s="30" t="s">
        <v>35</v>
      </c>
      <c r="E3180" s="30" t="s">
        <v>66</v>
      </c>
      <c r="F3180" s="30" t="s">
        <v>43</v>
      </c>
      <c r="G3180" s="33">
        <v>10.582750000000001</v>
      </c>
      <c r="H3180" s="83" t="s">
        <v>89</v>
      </c>
    </row>
    <row r="3181" spans="1:8" ht="16.5" customHeight="1" x14ac:dyDescent="0.25">
      <c r="A3181" s="27">
        <v>46038</v>
      </c>
      <c r="B3181" s="80">
        <v>2026</v>
      </c>
      <c r="C3181" s="80">
        <v>1</v>
      </c>
      <c r="D3181" s="30" t="s">
        <v>35</v>
      </c>
      <c r="E3181" s="30" t="s">
        <v>68</v>
      </c>
      <c r="F3181" s="30" t="s">
        <v>43</v>
      </c>
      <c r="G3181" s="33">
        <v>1.1875</v>
      </c>
      <c r="H3181" s="83" t="s">
        <v>89</v>
      </c>
    </row>
    <row r="3182" spans="1:8" ht="16.5" customHeight="1" x14ac:dyDescent="0.25">
      <c r="A3182" s="27">
        <v>46038</v>
      </c>
      <c r="B3182" s="80">
        <v>2026</v>
      </c>
      <c r="C3182" s="80">
        <v>1</v>
      </c>
      <c r="D3182" s="30" t="s">
        <v>35</v>
      </c>
      <c r="E3182" s="30" t="s">
        <v>71</v>
      </c>
      <c r="F3182" s="30" t="s">
        <v>43</v>
      </c>
      <c r="G3182" s="33">
        <v>2.1495000000000002</v>
      </c>
      <c r="H3182" s="83" t="s">
        <v>89</v>
      </c>
    </row>
    <row r="3183" spans="1:8" ht="16.5" customHeight="1" x14ac:dyDescent="0.25">
      <c r="A3183" s="27">
        <v>46038</v>
      </c>
      <c r="B3183" s="80">
        <v>2026</v>
      </c>
      <c r="C3183" s="80">
        <v>1</v>
      </c>
      <c r="D3183" s="30" t="s">
        <v>35</v>
      </c>
      <c r="E3183" s="30" t="s">
        <v>75</v>
      </c>
      <c r="F3183" s="30" t="s">
        <v>43</v>
      </c>
      <c r="G3183" s="33">
        <v>21.435641499999999</v>
      </c>
      <c r="H3183" s="83" t="s">
        <v>48</v>
      </c>
    </row>
    <row r="3184" spans="1:8" ht="16.5" customHeight="1" x14ac:dyDescent="0.25">
      <c r="A3184" s="27">
        <v>46038</v>
      </c>
      <c r="B3184" s="80">
        <v>2026</v>
      </c>
      <c r="C3184" s="80">
        <v>1</v>
      </c>
      <c r="D3184" s="30" t="s">
        <v>35</v>
      </c>
      <c r="E3184" s="30" t="s">
        <v>76</v>
      </c>
      <c r="F3184" s="30" t="s">
        <v>39</v>
      </c>
      <c r="G3184" s="33">
        <v>3.5385599999999999</v>
      </c>
      <c r="H3184" s="83" t="s">
        <v>48</v>
      </c>
    </row>
    <row r="3185" spans="1:8" ht="16.5" customHeight="1" x14ac:dyDescent="0.25">
      <c r="A3185" s="27">
        <v>46041</v>
      </c>
      <c r="B3185" s="80">
        <v>2026</v>
      </c>
      <c r="C3185" s="80">
        <v>1</v>
      </c>
      <c r="D3185" s="30" t="s">
        <v>35</v>
      </c>
      <c r="E3185" s="30" t="s">
        <v>38</v>
      </c>
      <c r="F3185" s="30" t="s">
        <v>43</v>
      </c>
      <c r="G3185" s="33">
        <v>5.0458699999999999</v>
      </c>
      <c r="H3185" s="83" t="s">
        <v>88</v>
      </c>
    </row>
    <row r="3186" spans="1:8" ht="16.5" customHeight="1" x14ac:dyDescent="0.25">
      <c r="A3186" s="27">
        <v>46041</v>
      </c>
      <c r="B3186" s="80">
        <v>2026</v>
      </c>
      <c r="C3186" s="80">
        <v>1</v>
      </c>
      <c r="D3186" s="30" t="s">
        <v>35</v>
      </c>
      <c r="E3186" s="30" t="s">
        <v>42</v>
      </c>
      <c r="F3186" s="30" t="s">
        <v>55</v>
      </c>
      <c r="G3186" s="33">
        <v>1.95</v>
      </c>
      <c r="H3186" s="83" t="s">
        <v>88</v>
      </c>
    </row>
    <row r="3187" spans="1:8" ht="16.5" customHeight="1" x14ac:dyDescent="0.25">
      <c r="A3187" s="27">
        <v>46041</v>
      </c>
      <c r="B3187" s="80">
        <v>2026</v>
      </c>
      <c r="C3187" s="80">
        <v>1</v>
      </c>
      <c r="D3187" s="30" t="s">
        <v>35</v>
      </c>
      <c r="E3187" s="30" t="s">
        <v>46</v>
      </c>
      <c r="F3187" s="30" t="s">
        <v>43</v>
      </c>
      <c r="G3187" s="33">
        <v>9.4521525000000004</v>
      </c>
      <c r="H3187" s="83" t="s">
        <v>88</v>
      </c>
    </row>
    <row r="3188" spans="1:8" ht="16.5" customHeight="1" x14ac:dyDescent="0.25">
      <c r="A3188" s="27">
        <v>46041</v>
      </c>
      <c r="B3188" s="80">
        <v>2026</v>
      </c>
      <c r="C3188" s="80">
        <v>1</v>
      </c>
      <c r="D3188" s="30" t="s">
        <v>35</v>
      </c>
      <c r="E3188" s="30" t="s">
        <v>46</v>
      </c>
      <c r="F3188" s="30" t="s">
        <v>58</v>
      </c>
      <c r="G3188" s="33">
        <v>1.16813945</v>
      </c>
      <c r="H3188" s="83" t="s">
        <v>88</v>
      </c>
    </row>
    <row r="3189" spans="1:8" ht="16.5" customHeight="1" x14ac:dyDescent="0.25">
      <c r="A3189" s="27">
        <v>46041</v>
      </c>
      <c r="B3189" s="80">
        <v>2026</v>
      </c>
      <c r="C3189" s="80">
        <v>1</v>
      </c>
      <c r="D3189" s="30" t="s">
        <v>35</v>
      </c>
      <c r="E3189" s="30" t="s">
        <v>50</v>
      </c>
      <c r="F3189" s="30" t="s">
        <v>43</v>
      </c>
      <c r="G3189" s="33">
        <v>2.4886979999999999</v>
      </c>
      <c r="H3189" s="83" t="s">
        <v>88</v>
      </c>
    </row>
    <row r="3190" spans="1:8" ht="16.5" customHeight="1" x14ac:dyDescent="0.25">
      <c r="A3190" s="27">
        <v>46041</v>
      </c>
      <c r="B3190" s="80">
        <v>2026</v>
      </c>
      <c r="C3190" s="80">
        <v>1</v>
      </c>
      <c r="D3190" s="30" t="s">
        <v>35</v>
      </c>
      <c r="E3190" s="30" t="s">
        <v>50</v>
      </c>
      <c r="F3190" s="30" t="s">
        <v>47</v>
      </c>
      <c r="G3190" s="33">
        <v>1.2206425000000001</v>
      </c>
      <c r="H3190" s="83" t="s">
        <v>88</v>
      </c>
    </row>
    <row r="3191" spans="1:8" ht="16.5" customHeight="1" x14ac:dyDescent="0.25">
      <c r="A3191" s="27">
        <v>46041</v>
      </c>
      <c r="B3191" s="80">
        <v>2026</v>
      </c>
      <c r="C3191" s="80">
        <v>1</v>
      </c>
      <c r="D3191" s="30" t="s">
        <v>35</v>
      </c>
      <c r="E3191" s="30" t="s">
        <v>50</v>
      </c>
      <c r="F3191" s="30" t="s">
        <v>55</v>
      </c>
      <c r="G3191" s="33">
        <v>1.13598</v>
      </c>
      <c r="H3191" s="83" t="s">
        <v>88</v>
      </c>
    </row>
    <row r="3192" spans="1:8" ht="16.5" customHeight="1" x14ac:dyDescent="0.25">
      <c r="A3192" s="27">
        <v>46041</v>
      </c>
      <c r="B3192" s="80">
        <v>2026</v>
      </c>
      <c r="C3192" s="80">
        <v>1</v>
      </c>
      <c r="D3192" s="30" t="s">
        <v>35</v>
      </c>
      <c r="E3192" s="30" t="s">
        <v>50</v>
      </c>
      <c r="F3192" s="30" t="s">
        <v>58</v>
      </c>
      <c r="G3192" s="33">
        <v>1.6925054799999999</v>
      </c>
      <c r="H3192" s="83" t="s">
        <v>88</v>
      </c>
    </row>
    <row r="3193" spans="1:8" ht="16.5" customHeight="1" x14ac:dyDescent="0.25">
      <c r="A3193" s="27">
        <v>46041</v>
      </c>
      <c r="B3193" s="80">
        <v>2026</v>
      </c>
      <c r="C3193" s="80">
        <v>1</v>
      </c>
      <c r="D3193" s="30" t="s">
        <v>35</v>
      </c>
      <c r="E3193" s="30" t="s">
        <v>54</v>
      </c>
      <c r="F3193" s="30" t="s">
        <v>43</v>
      </c>
      <c r="G3193" s="33">
        <v>5.6680000000000001</v>
      </c>
      <c r="H3193" s="83" t="s">
        <v>88</v>
      </c>
    </row>
    <row r="3194" spans="1:8" ht="16.5" customHeight="1" x14ac:dyDescent="0.25">
      <c r="A3194" s="27">
        <v>46041</v>
      </c>
      <c r="B3194" s="80">
        <v>2026</v>
      </c>
      <c r="C3194" s="80">
        <v>1</v>
      </c>
      <c r="D3194" s="30" t="s">
        <v>35</v>
      </c>
      <c r="E3194" s="30" t="s">
        <v>68</v>
      </c>
      <c r="F3194" s="30" t="s">
        <v>43</v>
      </c>
      <c r="G3194" s="33">
        <v>1.3875</v>
      </c>
      <c r="H3194" s="83" t="s">
        <v>89</v>
      </c>
    </row>
    <row r="3195" spans="1:8" ht="16.5" customHeight="1" x14ac:dyDescent="0.25">
      <c r="A3195" s="27">
        <v>46041</v>
      </c>
      <c r="B3195" s="80">
        <v>2026</v>
      </c>
      <c r="C3195" s="80">
        <v>1</v>
      </c>
      <c r="D3195" s="30" t="s">
        <v>35</v>
      </c>
      <c r="E3195" s="30" t="s">
        <v>71</v>
      </c>
      <c r="F3195" s="30" t="s">
        <v>43</v>
      </c>
      <c r="G3195" s="33">
        <v>12.167847999999999</v>
      </c>
      <c r="H3195" s="83" t="s">
        <v>89</v>
      </c>
    </row>
    <row r="3196" spans="1:8" ht="16.5" customHeight="1" x14ac:dyDescent="0.25">
      <c r="A3196" s="27">
        <v>46041</v>
      </c>
      <c r="B3196" s="80">
        <v>2026</v>
      </c>
      <c r="C3196" s="80">
        <v>1</v>
      </c>
      <c r="D3196" s="30" t="s">
        <v>35</v>
      </c>
      <c r="E3196" s="30" t="s">
        <v>75</v>
      </c>
      <c r="F3196" s="30" t="s">
        <v>39</v>
      </c>
      <c r="G3196" s="33">
        <v>7.9169999999999998</v>
      </c>
      <c r="H3196" s="83" t="s">
        <v>48</v>
      </c>
    </row>
    <row r="3197" spans="1:8" ht="16.5" customHeight="1" x14ac:dyDescent="0.25">
      <c r="A3197" s="27">
        <v>46041</v>
      </c>
      <c r="B3197" s="80">
        <v>2026</v>
      </c>
      <c r="C3197" s="80">
        <v>1</v>
      </c>
      <c r="D3197" s="30" t="s">
        <v>35</v>
      </c>
      <c r="E3197" s="30" t="s">
        <v>75</v>
      </c>
      <c r="F3197" s="30" t="s">
        <v>43</v>
      </c>
      <c r="G3197" s="33">
        <v>75.478999999999999</v>
      </c>
      <c r="H3197" s="83" t="s">
        <v>48</v>
      </c>
    </row>
    <row r="3198" spans="1:8" ht="16.5" customHeight="1" x14ac:dyDescent="0.25">
      <c r="A3198" s="27">
        <v>46041</v>
      </c>
      <c r="B3198" s="80">
        <v>2026</v>
      </c>
      <c r="C3198" s="80">
        <v>1</v>
      </c>
      <c r="D3198" s="30" t="s">
        <v>35</v>
      </c>
      <c r="E3198" s="30" t="s">
        <v>76</v>
      </c>
      <c r="F3198" s="30" t="s">
        <v>43</v>
      </c>
      <c r="G3198" s="33">
        <v>4.68</v>
      </c>
      <c r="H3198" s="83" t="s">
        <v>48</v>
      </c>
    </row>
    <row r="3199" spans="1:8" ht="16.5" customHeight="1" x14ac:dyDescent="0.25">
      <c r="A3199" s="27">
        <v>46042</v>
      </c>
      <c r="B3199" s="80">
        <v>2026</v>
      </c>
      <c r="C3199" s="80">
        <v>1</v>
      </c>
      <c r="D3199" s="30" t="s">
        <v>35</v>
      </c>
      <c r="E3199" s="30" t="s">
        <v>38</v>
      </c>
      <c r="F3199" s="30" t="s">
        <v>43</v>
      </c>
      <c r="G3199" s="33">
        <v>0.56399999999999995</v>
      </c>
      <c r="H3199" s="83" t="s">
        <v>88</v>
      </c>
    </row>
    <row r="3200" spans="1:8" ht="16.5" customHeight="1" x14ac:dyDescent="0.25">
      <c r="A3200" s="27">
        <v>46042</v>
      </c>
      <c r="B3200" s="80">
        <v>2026</v>
      </c>
      <c r="C3200" s="80">
        <v>1</v>
      </c>
      <c r="D3200" s="30" t="s">
        <v>35</v>
      </c>
      <c r="E3200" s="30" t="s">
        <v>42</v>
      </c>
      <c r="F3200" s="30" t="s">
        <v>43</v>
      </c>
      <c r="G3200" s="33">
        <v>5.032</v>
      </c>
      <c r="H3200" s="83" t="s">
        <v>88</v>
      </c>
    </row>
    <row r="3201" spans="1:8" ht="16.5" customHeight="1" x14ac:dyDescent="0.25">
      <c r="A3201" s="27">
        <v>46042</v>
      </c>
      <c r="B3201" s="80">
        <v>2026</v>
      </c>
      <c r="C3201" s="80">
        <v>1</v>
      </c>
      <c r="D3201" s="30" t="s">
        <v>35</v>
      </c>
      <c r="E3201" s="30" t="s">
        <v>46</v>
      </c>
      <c r="F3201" s="30" t="s">
        <v>58</v>
      </c>
      <c r="G3201" s="33">
        <v>0.46440984000000002</v>
      </c>
      <c r="H3201" s="83" t="s">
        <v>88</v>
      </c>
    </row>
    <row r="3202" spans="1:8" ht="16.5" customHeight="1" x14ac:dyDescent="0.25">
      <c r="A3202" s="27">
        <v>46042</v>
      </c>
      <c r="B3202" s="80">
        <v>2026</v>
      </c>
      <c r="C3202" s="80">
        <v>1</v>
      </c>
      <c r="D3202" s="30" t="s">
        <v>35</v>
      </c>
      <c r="E3202" s="30" t="s">
        <v>50</v>
      </c>
      <c r="F3202" s="30" t="s">
        <v>39</v>
      </c>
      <c r="G3202" s="33">
        <v>3.3772500000000001</v>
      </c>
      <c r="H3202" s="83" t="s">
        <v>88</v>
      </c>
    </row>
    <row r="3203" spans="1:8" ht="16.5" customHeight="1" x14ac:dyDescent="0.25">
      <c r="A3203" s="27">
        <v>46042</v>
      </c>
      <c r="B3203" s="80">
        <v>2026</v>
      </c>
      <c r="C3203" s="80">
        <v>1</v>
      </c>
      <c r="D3203" s="30" t="s">
        <v>35</v>
      </c>
      <c r="E3203" s="30" t="s">
        <v>50</v>
      </c>
      <c r="F3203" s="30" t="s">
        <v>43</v>
      </c>
      <c r="G3203" s="33">
        <v>37.671717200000003</v>
      </c>
      <c r="H3203" s="83" t="s">
        <v>88</v>
      </c>
    </row>
    <row r="3204" spans="1:8" ht="16.5" customHeight="1" x14ac:dyDescent="0.25">
      <c r="A3204" s="27">
        <v>46042</v>
      </c>
      <c r="B3204" s="80">
        <v>2026</v>
      </c>
      <c r="C3204" s="80">
        <v>1</v>
      </c>
      <c r="D3204" s="30" t="s">
        <v>35</v>
      </c>
      <c r="E3204" s="30" t="s">
        <v>50</v>
      </c>
      <c r="F3204" s="30" t="s">
        <v>47</v>
      </c>
      <c r="G3204" s="33">
        <v>0.31080000000000002</v>
      </c>
      <c r="H3204" s="83" t="s">
        <v>88</v>
      </c>
    </row>
    <row r="3205" spans="1:8" ht="16.5" customHeight="1" x14ac:dyDescent="0.25">
      <c r="A3205" s="27">
        <v>46042</v>
      </c>
      <c r="B3205" s="80">
        <v>2026</v>
      </c>
      <c r="C3205" s="80">
        <v>1</v>
      </c>
      <c r="D3205" s="30" t="s">
        <v>35</v>
      </c>
      <c r="E3205" s="30" t="s">
        <v>66</v>
      </c>
      <c r="F3205" s="30" t="s">
        <v>43</v>
      </c>
      <c r="G3205" s="33">
        <v>2.3334999999999999</v>
      </c>
      <c r="H3205" s="83" t="s">
        <v>89</v>
      </c>
    </row>
    <row r="3206" spans="1:8" ht="16.5" customHeight="1" x14ac:dyDescent="0.25">
      <c r="A3206" s="27">
        <v>46042</v>
      </c>
      <c r="B3206" s="80">
        <v>2026</v>
      </c>
      <c r="C3206" s="80">
        <v>1</v>
      </c>
      <c r="D3206" s="30" t="s">
        <v>35</v>
      </c>
      <c r="E3206" s="30" t="s">
        <v>71</v>
      </c>
      <c r="F3206" s="30" t="s">
        <v>43</v>
      </c>
      <c r="G3206" s="33">
        <v>8.0124999999999993</v>
      </c>
      <c r="H3206" s="83" t="s">
        <v>89</v>
      </c>
    </row>
    <row r="3207" spans="1:8" ht="16.5" customHeight="1" x14ac:dyDescent="0.25">
      <c r="A3207" s="27">
        <v>46042</v>
      </c>
      <c r="B3207" s="80">
        <v>2026</v>
      </c>
      <c r="C3207" s="80">
        <v>1</v>
      </c>
      <c r="D3207" s="30" t="s">
        <v>35</v>
      </c>
      <c r="E3207" s="30" t="s">
        <v>73</v>
      </c>
      <c r="F3207" s="30" t="s">
        <v>43</v>
      </c>
      <c r="G3207" s="33">
        <v>4.0820999999999996</v>
      </c>
      <c r="H3207" s="83" t="s">
        <v>89</v>
      </c>
    </row>
    <row r="3208" spans="1:8" ht="16.5" customHeight="1" x14ac:dyDescent="0.25">
      <c r="A3208" s="27">
        <v>46042</v>
      </c>
      <c r="B3208" s="80">
        <v>2026</v>
      </c>
      <c r="C3208" s="80">
        <v>1</v>
      </c>
      <c r="D3208" s="30" t="s">
        <v>35</v>
      </c>
      <c r="E3208" s="30" t="s">
        <v>76</v>
      </c>
      <c r="F3208" s="30" t="s">
        <v>39</v>
      </c>
      <c r="G3208" s="33">
        <v>54.747500000000002</v>
      </c>
      <c r="H3208" s="83" t="s">
        <v>48</v>
      </c>
    </row>
    <row r="3209" spans="1:8" ht="16.5" customHeight="1" x14ac:dyDescent="0.25">
      <c r="A3209" s="27">
        <v>46043</v>
      </c>
      <c r="B3209" s="80">
        <v>2026</v>
      </c>
      <c r="C3209" s="80">
        <v>1</v>
      </c>
      <c r="D3209" s="30" t="s">
        <v>35</v>
      </c>
      <c r="E3209" s="30" t="s">
        <v>38</v>
      </c>
      <c r="F3209" s="30" t="s">
        <v>43</v>
      </c>
      <c r="G3209" s="33">
        <v>0.61499999999999999</v>
      </c>
      <c r="H3209" s="83" t="s">
        <v>88</v>
      </c>
    </row>
    <row r="3210" spans="1:8" ht="16.5" customHeight="1" x14ac:dyDescent="0.25">
      <c r="A3210" s="27">
        <v>46043</v>
      </c>
      <c r="B3210" s="80">
        <v>2026</v>
      </c>
      <c r="C3210" s="80">
        <v>1</v>
      </c>
      <c r="D3210" s="30" t="s">
        <v>35</v>
      </c>
      <c r="E3210" s="30" t="s">
        <v>42</v>
      </c>
      <c r="F3210" s="30" t="s">
        <v>43</v>
      </c>
      <c r="G3210" s="33">
        <v>7.9482499999999998</v>
      </c>
      <c r="H3210" s="83" t="s">
        <v>88</v>
      </c>
    </row>
    <row r="3211" spans="1:8" ht="16.5" customHeight="1" x14ac:dyDescent="0.25">
      <c r="A3211" s="27">
        <v>46043</v>
      </c>
      <c r="B3211" s="80">
        <v>2026</v>
      </c>
      <c r="C3211" s="80">
        <v>1</v>
      </c>
      <c r="D3211" s="30" t="s">
        <v>35</v>
      </c>
      <c r="E3211" s="30" t="s">
        <v>42</v>
      </c>
      <c r="F3211" s="30" t="s">
        <v>47</v>
      </c>
      <c r="G3211" s="33">
        <v>0.56000000000000005</v>
      </c>
      <c r="H3211" s="83" t="s">
        <v>88</v>
      </c>
    </row>
    <row r="3212" spans="1:8" ht="16.5" customHeight="1" x14ac:dyDescent="0.25">
      <c r="A3212" s="27">
        <v>46043</v>
      </c>
      <c r="B3212" s="80">
        <v>2026</v>
      </c>
      <c r="C3212" s="80">
        <v>1</v>
      </c>
      <c r="D3212" s="30" t="s">
        <v>35</v>
      </c>
      <c r="E3212" s="30" t="s">
        <v>50</v>
      </c>
      <c r="F3212" s="30" t="s">
        <v>43</v>
      </c>
      <c r="G3212" s="33">
        <v>6.7267381999999998</v>
      </c>
      <c r="H3212" s="83" t="s">
        <v>88</v>
      </c>
    </row>
    <row r="3213" spans="1:8" ht="16.5" customHeight="1" x14ac:dyDescent="0.25">
      <c r="A3213" s="27">
        <v>46043</v>
      </c>
      <c r="B3213" s="80">
        <v>2026</v>
      </c>
      <c r="C3213" s="80">
        <v>1</v>
      </c>
      <c r="D3213" s="30" t="s">
        <v>35</v>
      </c>
      <c r="E3213" s="30" t="s">
        <v>50</v>
      </c>
      <c r="F3213" s="30" t="s">
        <v>55</v>
      </c>
      <c r="G3213" s="33">
        <v>2.4513699999999998</v>
      </c>
      <c r="H3213" s="83" t="s">
        <v>88</v>
      </c>
    </row>
    <row r="3214" spans="1:8" ht="16.5" customHeight="1" x14ac:dyDescent="0.25">
      <c r="A3214" s="27">
        <v>46043</v>
      </c>
      <c r="B3214" s="80">
        <v>2026</v>
      </c>
      <c r="C3214" s="80">
        <v>1</v>
      </c>
      <c r="D3214" s="30" t="s">
        <v>35</v>
      </c>
      <c r="E3214" s="30" t="s">
        <v>50</v>
      </c>
      <c r="F3214" s="30" t="s">
        <v>58</v>
      </c>
      <c r="G3214" s="33">
        <v>3.2969756939999999</v>
      </c>
      <c r="H3214" s="83" t="s">
        <v>88</v>
      </c>
    </row>
    <row r="3215" spans="1:8" ht="16.5" customHeight="1" x14ac:dyDescent="0.25">
      <c r="A3215" s="27">
        <v>46043</v>
      </c>
      <c r="B3215" s="80">
        <v>2026</v>
      </c>
      <c r="C3215" s="80">
        <v>1</v>
      </c>
      <c r="D3215" s="30" t="s">
        <v>35</v>
      </c>
      <c r="E3215" s="30" t="s">
        <v>54</v>
      </c>
      <c r="F3215" s="30" t="s">
        <v>43</v>
      </c>
      <c r="G3215" s="33">
        <v>4.0397999999999996</v>
      </c>
      <c r="H3215" s="83" t="s">
        <v>88</v>
      </c>
    </row>
    <row r="3216" spans="1:8" ht="16.5" customHeight="1" x14ac:dyDescent="0.25">
      <c r="A3216" s="27">
        <v>46043</v>
      </c>
      <c r="B3216" s="80">
        <v>2026</v>
      </c>
      <c r="C3216" s="80">
        <v>1</v>
      </c>
      <c r="D3216" s="30" t="s">
        <v>35</v>
      </c>
      <c r="E3216" s="30" t="s">
        <v>61</v>
      </c>
      <c r="F3216" s="30" t="s">
        <v>39</v>
      </c>
      <c r="G3216" s="33">
        <v>5.4</v>
      </c>
      <c r="H3216" s="83" t="s">
        <v>89</v>
      </c>
    </row>
    <row r="3217" spans="1:8" ht="16.5" customHeight="1" x14ac:dyDescent="0.25">
      <c r="A3217" s="27">
        <v>46043</v>
      </c>
      <c r="B3217" s="80">
        <v>2026</v>
      </c>
      <c r="C3217" s="80">
        <v>1</v>
      </c>
      <c r="D3217" s="30" t="s">
        <v>35</v>
      </c>
      <c r="E3217" s="30" t="s">
        <v>61</v>
      </c>
      <c r="F3217" s="30" t="s">
        <v>43</v>
      </c>
      <c r="G3217" s="33">
        <v>3.105</v>
      </c>
      <c r="H3217" s="83" t="s">
        <v>89</v>
      </c>
    </row>
    <row r="3218" spans="1:8" ht="16.5" customHeight="1" x14ac:dyDescent="0.25">
      <c r="A3218" s="27">
        <v>46043</v>
      </c>
      <c r="B3218" s="80">
        <v>2026</v>
      </c>
      <c r="C3218" s="80">
        <v>1</v>
      </c>
      <c r="D3218" s="30" t="s">
        <v>35</v>
      </c>
      <c r="E3218" s="30" t="s">
        <v>66</v>
      </c>
      <c r="F3218" s="30" t="s">
        <v>43</v>
      </c>
      <c r="G3218" s="33">
        <v>16.1296</v>
      </c>
      <c r="H3218" s="83" t="s">
        <v>89</v>
      </c>
    </row>
    <row r="3219" spans="1:8" ht="16.5" customHeight="1" x14ac:dyDescent="0.25">
      <c r="A3219" s="27">
        <v>46043</v>
      </c>
      <c r="B3219" s="80">
        <v>2026</v>
      </c>
      <c r="C3219" s="80">
        <v>1</v>
      </c>
      <c r="D3219" s="30" t="s">
        <v>35</v>
      </c>
      <c r="E3219" s="30" t="s">
        <v>68</v>
      </c>
      <c r="F3219" s="30" t="s">
        <v>43</v>
      </c>
      <c r="G3219" s="33">
        <v>0.42</v>
      </c>
      <c r="H3219" s="83" t="s">
        <v>89</v>
      </c>
    </row>
    <row r="3220" spans="1:8" ht="16.5" customHeight="1" x14ac:dyDescent="0.25">
      <c r="A3220" s="27">
        <v>46043</v>
      </c>
      <c r="B3220" s="80">
        <v>2026</v>
      </c>
      <c r="C3220" s="80">
        <v>1</v>
      </c>
      <c r="D3220" s="30" t="s">
        <v>35</v>
      </c>
      <c r="E3220" s="30" t="s">
        <v>71</v>
      </c>
      <c r="F3220" s="30" t="s">
        <v>43</v>
      </c>
      <c r="G3220" s="33">
        <v>3.07</v>
      </c>
      <c r="H3220" s="83" t="s">
        <v>89</v>
      </c>
    </row>
    <row r="3221" spans="1:8" ht="16.5" customHeight="1" x14ac:dyDescent="0.25">
      <c r="A3221" s="27">
        <v>46043</v>
      </c>
      <c r="B3221" s="80">
        <v>2026</v>
      </c>
      <c r="C3221" s="80">
        <v>1</v>
      </c>
      <c r="D3221" s="30" t="s">
        <v>35</v>
      </c>
      <c r="E3221" s="30" t="s">
        <v>74</v>
      </c>
      <c r="F3221" s="30" t="s">
        <v>43</v>
      </c>
      <c r="G3221" s="33">
        <v>11.273999999999999</v>
      </c>
      <c r="H3221" s="83" t="s">
        <v>89</v>
      </c>
    </row>
    <row r="3222" spans="1:8" ht="16.5" customHeight="1" x14ac:dyDescent="0.25">
      <c r="A3222" s="27">
        <v>46043</v>
      </c>
      <c r="B3222" s="80">
        <v>2026</v>
      </c>
      <c r="C3222" s="80">
        <v>1</v>
      </c>
      <c r="D3222" s="30" t="s">
        <v>35</v>
      </c>
      <c r="E3222" s="30" t="s">
        <v>75</v>
      </c>
      <c r="F3222" s="30" t="s">
        <v>43</v>
      </c>
      <c r="G3222" s="33">
        <v>2.1435062500000002</v>
      </c>
      <c r="H3222" s="83" t="s">
        <v>48</v>
      </c>
    </row>
    <row r="3223" spans="1:8" ht="16.5" customHeight="1" x14ac:dyDescent="0.25">
      <c r="A3223" s="27">
        <v>46044</v>
      </c>
      <c r="B3223" s="80">
        <v>2026</v>
      </c>
      <c r="C3223" s="80">
        <v>1</v>
      </c>
      <c r="D3223" s="30" t="s">
        <v>35</v>
      </c>
      <c r="E3223" s="30" t="s">
        <v>38</v>
      </c>
      <c r="F3223" s="30" t="s">
        <v>43</v>
      </c>
      <c r="G3223" s="33">
        <v>2.1958899999999999</v>
      </c>
      <c r="H3223" s="83" t="s">
        <v>88</v>
      </c>
    </row>
    <row r="3224" spans="1:8" ht="16.5" customHeight="1" x14ac:dyDescent="0.25">
      <c r="A3224" s="27">
        <v>46044</v>
      </c>
      <c r="B3224" s="80">
        <v>2026</v>
      </c>
      <c r="C3224" s="80">
        <v>1</v>
      </c>
      <c r="D3224" s="30" t="s">
        <v>35</v>
      </c>
      <c r="E3224" s="30" t="s">
        <v>42</v>
      </c>
      <c r="F3224" s="30" t="s">
        <v>43</v>
      </c>
      <c r="G3224" s="33">
        <v>4.0119999999999996</v>
      </c>
      <c r="H3224" s="83" t="s">
        <v>88</v>
      </c>
    </row>
    <row r="3225" spans="1:8" ht="16.5" customHeight="1" x14ac:dyDescent="0.25">
      <c r="A3225" s="27">
        <v>46044</v>
      </c>
      <c r="B3225" s="80">
        <v>2026</v>
      </c>
      <c r="C3225" s="80">
        <v>1</v>
      </c>
      <c r="D3225" s="30" t="s">
        <v>35</v>
      </c>
      <c r="E3225" s="30" t="s">
        <v>46</v>
      </c>
      <c r="F3225" s="30" t="s">
        <v>43</v>
      </c>
      <c r="G3225" s="33">
        <v>0.35008800000000001</v>
      </c>
      <c r="H3225" s="83" t="s">
        <v>88</v>
      </c>
    </row>
    <row r="3226" spans="1:8" ht="16.5" customHeight="1" x14ac:dyDescent="0.25">
      <c r="A3226" s="27">
        <v>46044</v>
      </c>
      <c r="B3226" s="80">
        <v>2026</v>
      </c>
      <c r="C3226" s="80">
        <v>1</v>
      </c>
      <c r="D3226" s="30" t="s">
        <v>35</v>
      </c>
      <c r="E3226" s="30" t="s">
        <v>50</v>
      </c>
      <c r="F3226" s="30" t="s">
        <v>39</v>
      </c>
      <c r="G3226" s="33">
        <v>7.6473936</v>
      </c>
      <c r="H3226" s="83" t="s">
        <v>88</v>
      </c>
    </row>
    <row r="3227" spans="1:8" ht="16.5" customHeight="1" x14ac:dyDescent="0.25">
      <c r="A3227" s="27">
        <v>46044</v>
      </c>
      <c r="B3227" s="80">
        <v>2026</v>
      </c>
      <c r="C3227" s="80">
        <v>1</v>
      </c>
      <c r="D3227" s="30" t="s">
        <v>35</v>
      </c>
      <c r="E3227" s="30" t="s">
        <v>50</v>
      </c>
      <c r="F3227" s="30" t="s">
        <v>43</v>
      </c>
      <c r="G3227" s="33">
        <v>9.3601728000000008</v>
      </c>
      <c r="H3227" s="83" t="s">
        <v>88</v>
      </c>
    </row>
    <row r="3228" spans="1:8" ht="16.5" customHeight="1" x14ac:dyDescent="0.25">
      <c r="A3228" s="27">
        <v>46044</v>
      </c>
      <c r="B3228" s="80">
        <v>2026</v>
      </c>
      <c r="C3228" s="80">
        <v>1</v>
      </c>
      <c r="D3228" s="30" t="s">
        <v>35</v>
      </c>
      <c r="E3228" s="30" t="s">
        <v>50</v>
      </c>
      <c r="F3228" s="30" t="s">
        <v>47</v>
      </c>
      <c r="G3228" s="33">
        <v>0.62160000000000004</v>
      </c>
      <c r="H3228" s="83" t="s">
        <v>88</v>
      </c>
    </row>
    <row r="3229" spans="1:8" ht="16.5" customHeight="1" x14ac:dyDescent="0.25">
      <c r="A3229" s="27">
        <v>46044</v>
      </c>
      <c r="B3229" s="80">
        <v>2026</v>
      </c>
      <c r="C3229" s="80">
        <v>1</v>
      </c>
      <c r="D3229" s="30" t="s">
        <v>35</v>
      </c>
      <c r="E3229" s="30" t="s">
        <v>54</v>
      </c>
      <c r="F3229" s="30" t="s">
        <v>43</v>
      </c>
      <c r="G3229" s="33">
        <v>3.8592499999999998</v>
      </c>
      <c r="H3229" s="83" t="s">
        <v>88</v>
      </c>
    </row>
    <row r="3230" spans="1:8" ht="16.5" customHeight="1" x14ac:dyDescent="0.25">
      <c r="A3230" s="27">
        <v>46044</v>
      </c>
      <c r="B3230" s="80">
        <v>2026</v>
      </c>
      <c r="C3230" s="80">
        <v>1</v>
      </c>
      <c r="D3230" s="30" t="s">
        <v>35</v>
      </c>
      <c r="E3230" s="30" t="s">
        <v>66</v>
      </c>
      <c r="F3230" s="30" t="s">
        <v>43</v>
      </c>
      <c r="G3230" s="33">
        <v>3.7115999999999998</v>
      </c>
      <c r="H3230" s="83" t="s">
        <v>89</v>
      </c>
    </row>
    <row r="3231" spans="1:8" ht="16.5" customHeight="1" x14ac:dyDescent="0.25">
      <c r="A3231" s="27">
        <v>46044</v>
      </c>
      <c r="B3231" s="80">
        <v>2026</v>
      </c>
      <c r="C3231" s="80">
        <v>1</v>
      </c>
      <c r="D3231" s="30" t="s">
        <v>35</v>
      </c>
      <c r="E3231" s="30" t="s">
        <v>68</v>
      </c>
      <c r="F3231" s="30" t="s">
        <v>43</v>
      </c>
      <c r="G3231" s="33">
        <v>2.56</v>
      </c>
      <c r="H3231" s="83" t="s">
        <v>89</v>
      </c>
    </row>
    <row r="3232" spans="1:8" ht="16.5" customHeight="1" x14ac:dyDescent="0.25">
      <c r="A3232" s="27">
        <v>46044</v>
      </c>
      <c r="B3232" s="80">
        <v>2026</v>
      </c>
      <c r="C3232" s="80">
        <v>1</v>
      </c>
      <c r="D3232" s="30" t="s">
        <v>35</v>
      </c>
      <c r="E3232" s="30" t="s">
        <v>76</v>
      </c>
      <c r="F3232" s="30" t="s">
        <v>39</v>
      </c>
      <c r="G3232" s="33">
        <v>55.767800000000001</v>
      </c>
      <c r="H3232" s="83" t="s">
        <v>48</v>
      </c>
    </row>
    <row r="3233" spans="1:8" ht="16.5" customHeight="1" x14ac:dyDescent="0.25">
      <c r="A3233" s="27">
        <v>46045</v>
      </c>
      <c r="B3233" s="80">
        <v>2026</v>
      </c>
      <c r="C3233" s="80">
        <v>1</v>
      </c>
      <c r="D3233" s="30" t="s">
        <v>35</v>
      </c>
      <c r="E3233" s="30" t="s">
        <v>38</v>
      </c>
      <c r="F3233" s="30" t="s">
        <v>43</v>
      </c>
      <c r="G3233" s="33">
        <v>5.2521800000000001</v>
      </c>
      <c r="H3233" s="83" t="s">
        <v>88</v>
      </c>
    </row>
    <row r="3234" spans="1:8" ht="16.5" customHeight="1" x14ac:dyDescent="0.25">
      <c r="A3234" s="27">
        <v>46045</v>
      </c>
      <c r="B3234" s="80">
        <v>2026</v>
      </c>
      <c r="C3234" s="80">
        <v>1</v>
      </c>
      <c r="D3234" s="30" t="s">
        <v>35</v>
      </c>
      <c r="E3234" s="30" t="s">
        <v>38</v>
      </c>
      <c r="F3234" s="30" t="s">
        <v>58</v>
      </c>
      <c r="G3234" s="33">
        <v>0.59</v>
      </c>
      <c r="H3234" s="83" t="s">
        <v>88</v>
      </c>
    </row>
    <row r="3235" spans="1:8" ht="16.5" customHeight="1" x14ac:dyDescent="0.25">
      <c r="A3235" s="27">
        <v>46045</v>
      </c>
      <c r="B3235" s="80">
        <v>2026</v>
      </c>
      <c r="C3235" s="80">
        <v>1</v>
      </c>
      <c r="D3235" s="30" t="s">
        <v>35</v>
      </c>
      <c r="E3235" s="30" t="s">
        <v>42</v>
      </c>
      <c r="F3235" s="30" t="s">
        <v>43</v>
      </c>
      <c r="G3235" s="33">
        <v>3.48767</v>
      </c>
      <c r="H3235" s="83" t="s">
        <v>88</v>
      </c>
    </row>
    <row r="3236" spans="1:8" ht="16.5" customHeight="1" x14ac:dyDescent="0.25">
      <c r="A3236" s="27">
        <v>46045</v>
      </c>
      <c r="B3236" s="80">
        <v>2026</v>
      </c>
      <c r="C3236" s="80">
        <v>1</v>
      </c>
      <c r="D3236" s="30" t="s">
        <v>35</v>
      </c>
      <c r="E3236" s="30" t="s">
        <v>46</v>
      </c>
      <c r="F3236" s="30" t="s">
        <v>58</v>
      </c>
      <c r="G3236" s="33">
        <v>0.461343108</v>
      </c>
      <c r="H3236" s="83" t="s">
        <v>88</v>
      </c>
    </row>
    <row r="3237" spans="1:8" ht="16.5" customHeight="1" x14ac:dyDescent="0.25">
      <c r="A3237" s="27">
        <v>46045</v>
      </c>
      <c r="B3237" s="80">
        <v>2026</v>
      </c>
      <c r="C3237" s="80">
        <v>1</v>
      </c>
      <c r="D3237" s="30" t="s">
        <v>35</v>
      </c>
      <c r="E3237" s="30" t="s">
        <v>50</v>
      </c>
      <c r="F3237" s="30" t="s">
        <v>43</v>
      </c>
      <c r="G3237" s="33">
        <v>93.992688299999998</v>
      </c>
      <c r="H3237" s="83" t="s">
        <v>88</v>
      </c>
    </row>
    <row r="3238" spans="1:8" ht="16.5" customHeight="1" x14ac:dyDescent="0.25">
      <c r="A3238" s="27">
        <v>46045</v>
      </c>
      <c r="B3238" s="80">
        <v>2026</v>
      </c>
      <c r="C3238" s="80">
        <v>1</v>
      </c>
      <c r="D3238" s="30" t="s">
        <v>35</v>
      </c>
      <c r="E3238" s="30" t="s">
        <v>50</v>
      </c>
      <c r="F3238" s="30" t="s">
        <v>47</v>
      </c>
      <c r="G3238" s="33">
        <v>0.93240000000000001</v>
      </c>
      <c r="H3238" s="83" t="s">
        <v>88</v>
      </c>
    </row>
    <row r="3239" spans="1:8" ht="16.5" customHeight="1" x14ac:dyDescent="0.25">
      <c r="A3239" s="27">
        <v>46045</v>
      </c>
      <c r="B3239" s="80">
        <v>2026</v>
      </c>
      <c r="C3239" s="80">
        <v>1</v>
      </c>
      <c r="D3239" s="30" t="s">
        <v>35</v>
      </c>
      <c r="E3239" s="30" t="s">
        <v>50</v>
      </c>
      <c r="F3239" s="30" t="s">
        <v>58</v>
      </c>
      <c r="G3239" s="33">
        <v>5.3438101199999997</v>
      </c>
      <c r="H3239" s="83" t="s">
        <v>88</v>
      </c>
    </row>
    <row r="3240" spans="1:8" ht="16.5" customHeight="1" x14ac:dyDescent="0.25">
      <c r="A3240" s="27">
        <v>46045</v>
      </c>
      <c r="B3240" s="80">
        <v>2026</v>
      </c>
      <c r="C3240" s="80">
        <v>1</v>
      </c>
      <c r="D3240" s="30" t="s">
        <v>35</v>
      </c>
      <c r="E3240" s="30" t="s">
        <v>54</v>
      </c>
      <c r="F3240" s="30" t="s">
        <v>43</v>
      </c>
      <c r="G3240" s="33">
        <v>3.91675</v>
      </c>
      <c r="H3240" s="83" t="s">
        <v>88</v>
      </c>
    </row>
    <row r="3241" spans="1:8" ht="16.5" customHeight="1" x14ac:dyDescent="0.25">
      <c r="A3241" s="27">
        <v>46045</v>
      </c>
      <c r="B3241" s="80">
        <v>2026</v>
      </c>
      <c r="C3241" s="80">
        <v>1</v>
      </c>
      <c r="D3241" s="30" t="s">
        <v>35</v>
      </c>
      <c r="E3241" s="30" t="s">
        <v>68</v>
      </c>
      <c r="F3241" s="30" t="s">
        <v>39</v>
      </c>
      <c r="G3241" s="33">
        <v>1.7517499999999999</v>
      </c>
      <c r="H3241" s="83" t="s">
        <v>89</v>
      </c>
    </row>
    <row r="3242" spans="1:8" ht="16.5" customHeight="1" x14ac:dyDescent="0.25">
      <c r="A3242" s="27">
        <v>46045</v>
      </c>
      <c r="B3242" s="80">
        <v>2026</v>
      </c>
      <c r="C3242" s="80">
        <v>1</v>
      </c>
      <c r="D3242" s="30" t="s">
        <v>35</v>
      </c>
      <c r="E3242" s="30" t="s">
        <v>68</v>
      </c>
      <c r="F3242" s="30" t="s">
        <v>43</v>
      </c>
      <c r="G3242" s="33">
        <v>8.3309999999999995</v>
      </c>
      <c r="H3242" s="83" t="s">
        <v>89</v>
      </c>
    </row>
    <row r="3243" spans="1:8" ht="16.5" customHeight="1" x14ac:dyDescent="0.25">
      <c r="A3243" s="27">
        <v>46045</v>
      </c>
      <c r="B3243" s="80">
        <v>2026</v>
      </c>
      <c r="C3243" s="80">
        <v>1</v>
      </c>
      <c r="D3243" s="30" t="s">
        <v>35</v>
      </c>
      <c r="E3243" s="30" t="s">
        <v>73</v>
      </c>
      <c r="F3243" s="30" t="s">
        <v>39</v>
      </c>
      <c r="G3243" s="33">
        <v>7.7304149999999998</v>
      </c>
      <c r="H3243" s="83" t="s">
        <v>89</v>
      </c>
    </row>
    <row r="3244" spans="1:8" ht="16.5" customHeight="1" x14ac:dyDescent="0.25">
      <c r="A3244" s="27">
        <v>46046</v>
      </c>
      <c r="B3244" s="80">
        <v>2026</v>
      </c>
      <c r="C3244" s="80">
        <v>1</v>
      </c>
      <c r="D3244" s="30" t="s">
        <v>35</v>
      </c>
      <c r="E3244" s="30" t="s">
        <v>50</v>
      </c>
      <c r="F3244" s="30" t="s">
        <v>51</v>
      </c>
      <c r="G3244" s="33">
        <v>0.51</v>
      </c>
      <c r="H3244" s="83" t="s">
        <v>88</v>
      </c>
    </row>
    <row r="3245" spans="1:8" ht="16.5" customHeight="1" x14ac:dyDescent="0.25">
      <c r="A3245" s="27">
        <v>46048</v>
      </c>
      <c r="B3245" s="80">
        <v>2026</v>
      </c>
      <c r="C3245" s="80">
        <v>1</v>
      </c>
      <c r="D3245" s="30" t="s">
        <v>35</v>
      </c>
      <c r="E3245" s="30" t="s">
        <v>38</v>
      </c>
      <c r="F3245" s="30" t="s">
        <v>43</v>
      </c>
      <c r="G3245" s="33">
        <v>45.383499999999998</v>
      </c>
      <c r="H3245" s="83" t="s">
        <v>88</v>
      </c>
    </row>
    <row r="3246" spans="1:8" ht="16.5" customHeight="1" x14ac:dyDescent="0.25">
      <c r="A3246" s="27">
        <v>46048</v>
      </c>
      <c r="B3246" s="80">
        <v>2026</v>
      </c>
      <c r="C3246" s="80">
        <v>1</v>
      </c>
      <c r="D3246" s="30" t="s">
        <v>35</v>
      </c>
      <c r="E3246" s="30" t="s">
        <v>42</v>
      </c>
      <c r="F3246" s="30" t="s">
        <v>43</v>
      </c>
      <c r="G3246" s="33">
        <v>3.5274999999999999</v>
      </c>
      <c r="H3246" s="83" t="s">
        <v>88</v>
      </c>
    </row>
    <row r="3247" spans="1:8" ht="16.5" customHeight="1" x14ac:dyDescent="0.25">
      <c r="A3247" s="27">
        <v>46048</v>
      </c>
      <c r="B3247" s="80">
        <v>2026</v>
      </c>
      <c r="C3247" s="80">
        <v>1</v>
      </c>
      <c r="D3247" s="30" t="s">
        <v>35</v>
      </c>
      <c r="E3247" s="30" t="s">
        <v>46</v>
      </c>
      <c r="F3247" s="30" t="s">
        <v>43</v>
      </c>
      <c r="G3247" s="33">
        <v>8.5278532899999995</v>
      </c>
      <c r="H3247" s="83" t="s">
        <v>88</v>
      </c>
    </row>
    <row r="3248" spans="1:8" ht="16.5" customHeight="1" x14ac:dyDescent="0.25">
      <c r="A3248" s="27">
        <v>46048</v>
      </c>
      <c r="B3248" s="80">
        <v>2026</v>
      </c>
      <c r="C3248" s="80">
        <v>1</v>
      </c>
      <c r="D3248" s="30" t="s">
        <v>35</v>
      </c>
      <c r="E3248" s="30" t="s">
        <v>50</v>
      </c>
      <c r="F3248" s="30" t="s">
        <v>43</v>
      </c>
      <c r="G3248" s="33">
        <v>79.505965500000002</v>
      </c>
      <c r="H3248" s="83" t="s">
        <v>88</v>
      </c>
    </row>
    <row r="3249" spans="1:8" ht="16.5" customHeight="1" x14ac:dyDescent="0.25">
      <c r="A3249" s="27">
        <v>46048</v>
      </c>
      <c r="B3249" s="80">
        <v>2026</v>
      </c>
      <c r="C3249" s="80">
        <v>1</v>
      </c>
      <c r="D3249" s="30" t="s">
        <v>35</v>
      </c>
      <c r="E3249" s="30" t="s">
        <v>50</v>
      </c>
      <c r="F3249" s="30" t="s">
        <v>47</v>
      </c>
      <c r="G3249" s="33">
        <v>2.7500076</v>
      </c>
      <c r="H3249" s="83" t="s">
        <v>88</v>
      </c>
    </row>
    <row r="3250" spans="1:8" ht="16.5" customHeight="1" x14ac:dyDescent="0.25">
      <c r="A3250" s="27">
        <v>46048</v>
      </c>
      <c r="B3250" s="80">
        <v>2026</v>
      </c>
      <c r="C3250" s="80">
        <v>1</v>
      </c>
      <c r="D3250" s="30" t="s">
        <v>35</v>
      </c>
      <c r="E3250" s="30" t="s">
        <v>50</v>
      </c>
      <c r="F3250" s="30" t="s">
        <v>51</v>
      </c>
      <c r="G3250" s="33">
        <v>0.86870000000000003</v>
      </c>
      <c r="H3250" s="83" t="s">
        <v>88</v>
      </c>
    </row>
    <row r="3251" spans="1:8" ht="16.5" customHeight="1" x14ac:dyDescent="0.25">
      <c r="A3251" s="27">
        <v>46048</v>
      </c>
      <c r="B3251" s="80">
        <v>2026</v>
      </c>
      <c r="C3251" s="80">
        <v>1</v>
      </c>
      <c r="D3251" s="30" t="s">
        <v>35</v>
      </c>
      <c r="E3251" s="30" t="s">
        <v>50</v>
      </c>
      <c r="F3251" s="30" t="s">
        <v>55</v>
      </c>
      <c r="G3251" s="33">
        <v>0.35699999999999998</v>
      </c>
      <c r="H3251" s="83" t="s">
        <v>88</v>
      </c>
    </row>
    <row r="3252" spans="1:8" ht="16.5" customHeight="1" x14ac:dyDescent="0.25">
      <c r="A3252" s="27">
        <v>46048</v>
      </c>
      <c r="B3252" s="80">
        <v>2026</v>
      </c>
      <c r="C3252" s="80">
        <v>1</v>
      </c>
      <c r="D3252" s="30" t="s">
        <v>35</v>
      </c>
      <c r="E3252" s="30" t="s">
        <v>50</v>
      </c>
      <c r="F3252" s="30" t="s">
        <v>58</v>
      </c>
      <c r="G3252" s="33">
        <v>0.73126353600000005</v>
      </c>
      <c r="H3252" s="83" t="s">
        <v>88</v>
      </c>
    </row>
    <row r="3253" spans="1:8" ht="16.5" customHeight="1" x14ac:dyDescent="0.25">
      <c r="A3253" s="27">
        <v>46048</v>
      </c>
      <c r="B3253" s="80">
        <v>2026</v>
      </c>
      <c r="C3253" s="80">
        <v>1</v>
      </c>
      <c r="D3253" s="30" t="s">
        <v>35</v>
      </c>
      <c r="E3253" s="30" t="s">
        <v>54</v>
      </c>
      <c r="F3253" s="30" t="s">
        <v>43</v>
      </c>
      <c r="G3253" s="33">
        <v>1.7615000000000001</v>
      </c>
      <c r="H3253" s="83" t="s">
        <v>88</v>
      </c>
    </row>
    <row r="3254" spans="1:8" ht="16.5" customHeight="1" x14ac:dyDescent="0.25">
      <c r="A3254" s="27">
        <v>46048</v>
      </c>
      <c r="B3254" s="80">
        <v>2026</v>
      </c>
      <c r="C3254" s="80">
        <v>1</v>
      </c>
      <c r="D3254" s="30" t="s">
        <v>35</v>
      </c>
      <c r="E3254" s="30" t="s">
        <v>66</v>
      </c>
      <c r="F3254" s="30" t="s">
        <v>43</v>
      </c>
      <c r="G3254" s="33">
        <v>5.4574999999999996</v>
      </c>
      <c r="H3254" s="83" t="s">
        <v>89</v>
      </c>
    </row>
    <row r="3255" spans="1:8" ht="16.5" customHeight="1" x14ac:dyDescent="0.25">
      <c r="A3255" s="27">
        <v>46048</v>
      </c>
      <c r="B3255" s="80">
        <v>2026</v>
      </c>
      <c r="C3255" s="80">
        <v>1</v>
      </c>
      <c r="D3255" s="30" t="s">
        <v>35</v>
      </c>
      <c r="E3255" s="30" t="s">
        <v>76</v>
      </c>
      <c r="F3255" s="30" t="s">
        <v>39</v>
      </c>
      <c r="G3255" s="33">
        <v>147.71121199999999</v>
      </c>
      <c r="H3255" s="83" t="s">
        <v>48</v>
      </c>
    </row>
    <row r="3256" spans="1:8" ht="16.5" customHeight="1" x14ac:dyDescent="0.25">
      <c r="A3256" s="27">
        <v>46049</v>
      </c>
      <c r="B3256" s="80">
        <v>2026</v>
      </c>
      <c r="C3256" s="80">
        <v>1</v>
      </c>
      <c r="D3256" s="30" t="s">
        <v>35</v>
      </c>
      <c r="E3256" s="30" t="s">
        <v>38</v>
      </c>
      <c r="F3256" s="30" t="s">
        <v>43</v>
      </c>
      <c r="G3256" s="33">
        <v>4.2594000000000003</v>
      </c>
      <c r="H3256" s="83" t="s">
        <v>88</v>
      </c>
    </row>
    <row r="3257" spans="1:8" ht="16.5" customHeight="1" x14ac:dyDescent="0.25">
      <c r="A3257" s="27">
        <v>46049</v>
      </c>
      <c r="B3257" s="80">
        <v>2026</v>
      </c>
      <c r="C3257" s="80">
        <v>1</v>
      </c>
      <c r="D3257" s="30" t="s">
        <v>35</v>
      </c>
      <c r="E3257" s="30" t="s">
        <v>42</v>
      </c>
      <c r="F3257" s="30" t="s">
        <v>43</v>
      </c>
      <c r="G3257" s="33">
        <v>8.2720000000000002</v>
      </c>
      <c r="H3257" s="83" t="s">
        <v>88</v>
      </c>
    </row>
    <row r="3258" spans="1:8" ht="16.5" customHeight="1" x14ac:dyDescent="0.25">
      <c r="A3258" s="27">
        <v>46049</v>
      </c>
      <c r="B3258" s="80">
        <v>2026</v>
      </c>
      <c r="C3258" s="80">
        <v>1</v>
      </c>
      <c r="D3258" s="30" t="s">
        <v>35</v>
      </c>
      <c r="E3258" s="30" t="s">
        <v>42</v>
      </c>
      <c r="F3258" s="30" t="s">
        <v>47</v>
      </c>
      <c r="G3258" s="33">
        <v>1.3</v>
      </c>
      <c r="H3258" s="83" t="s">
        <v>88</v>
      </c>
    </row>
    <row r="3259" spans="1:8" ht="16.5" customHeight="1" x14ac:dyDescent="0.25">
      <c r="A3259" s="27">
        <v>46049</v>
      </c>
      <c r="B3259" s="80">
        <v>2026</v>
      </c>
      <c r="C3259" s="80">
        <v>1</v>
      </c>
      <c r="D3259" s="30" t="s">
        <v>35</v>
      </c>
      <c r="E3259" s="30" t="s">
        <v>46</v>
      </c>
      <c r="F3259" s="30" t="s">
        <v>43</v>
      </c>
      <c r="G3259" s="33">
        <v>3.9998567600000001</v>
      </c>
      <c r="H3259" s="83" t="s">
        <v>88</v>
      </c>
    </row>
    <row r="3260" spans="1:8" ht="16.5" customHeight="1" x14ac:dyDescent="0.25">
      <c r="A3260" s="27">
        <v>46049</v>
      </c>
      <c r="B3260" s="80">
        <v>2026</v>
      </c>
      <c r="C3260" s="80">
        <v>1</v>
      </c>
      <c r="D3260" s="30" t="s">
        <v>35</v>
      </c>
      <c r="E3260" s="30" t="s">
        <v>50</v>
      </c>
      <c r="F3260" s="30" t="s">
        <v>43</v>
      </c>
      <c r="G3260" s="33">
        <v>43.427569200000001</v>
      </c>
      <c r="H3260" s="83" t="s">
        <v>88</v>
      </c>
    </row>
    <row r="3261" spans="1:8" ht="16.5" customHeight="1" x14ac:dyDescent="0.25">
      <c r="A3261" s="27">
        <v>46049</v>
      </c>
      <c r="B3261" s="80">
        <v>2026</v>
      </c>
      <c r="C3261" s="80">
        <v>1</v>
      </c>
      <c r="D3261" s="30" t="s">
        <v>35</v>
      </c>
      <c r="E3261" s="30" t="s">
        <v>50</v>
      </c>
      <c r="F3261" s="30" t="s">
        <v>47</v>
      </c>
      <c r="G3261" s="33">
        <v>0.62160000000000004</v>
      </c>
      <c r="H3261" s="83" t="s">
        <v>88</v>
      </c>
    </row>
    <row r="3262" spans="1:8" ht="16.5" customHeight="1" x14ac:dyDescent="0.25">
      <c r="A3262" s="27">
        <v>46049</v>
      </c>
      <c r="B3262" s="80">
        <v>2026</v>
      </c>
      <c r="C3262" s="80">
        <v>1</v>
      </c>
      <c r="D3262" s="30" t="s">
        <v>35</v>
      </c>
      <c r="E3262" s="30" t="s">
        <v>50</v>
      </c>
      <c r="F3262" s="30" t="s">
        <v>55</v>
      </c>
      <c r="G3262" s="33">
        <v>4.0075200000000004</v>
      </c>
      <c r="H3262" s="83" t="s">
        <v>88</v>
      </c>
    </row>
    <row r="3263" spans="1:8" ht="16.5" customHeight="1" x14ac:dyDescent="0.25">
      <c r="A3263" s="27">
        <v>46049</v>
      </c>
      <c r="B3263" s="80">
        <v>2026</v>
      </c>
      <c r="C3263" s="80">
        <v>1</v>
      </c>
      <c r="D3263" s="30" t="s">
        <v>35</v>
      </c>
      <c r="E3263" s="30" t="s">
        <v>54</v>
      </c>
      <c r="F3263" s="30" t="s">
        <v>43</v>
      </c>
      <c r="G3263" s="33">
        <v>0.32500000000000001</v>
      </c>
      <c r="H3263" s="83" t="s">
        <v>88</v>
      </c>
    </row>
    <row r="3264" spans="1:8" ht="16.5" customHeight="1" x14ac:dyDescent="0.25">
      <c r="A3264" s="27">
        <v>46049</v>
      </c>
      <c r="B3264" s="80">
        <v>2026</v>
      </c>
      <c r="C3264" s="80">
        <v>1</v>
      </c>
      <c r="D3264" s="30" t="s">
        <v>35</v>
      </c>
      <c r="E3264" s="30" t="s">
        <v>66</v>
      </c>
      <c r="F3264" s="30" t="s">
        <v>43</v>
      </c>
      <c r="G3264" s="33">
        <v>15.14325</v>
      </c>
      <c r="H3264" s="83" t="s">
        <v>89</v>
      </c>
    </row>
    <row r="3265" spans="1:8" ht="16.5" customHeight="1" x14ac:dyDescent="0.25">
      <c r="A3265" s="27">
        <v>46049</v>
      </c>
      <c r="B3265" s="80">
        <v>2026</v>
      </c>
      <c r="C3265" s="80">
        <v>1</v>
      </c>
      <c r="D3265" s="30" t="s">
        <v>35</v>
      </c>
      <c r="E3265" s="30" t="s">
        <v>68</v>
      </c>
      <c r="F3265" s="30" t="s">
        <v>43</v>
      </c>
      <c r="G3265" s="33">
        <v>1.1000000000000001</v>
      </c>
      <c r="H3265" s="83" t="s">
        <v>89</v>
      </c>
    </row>
    <row r="3266" spans="1:8" ht="16.5" customHeight="1" x14ac:dyDescent="0.25">
      <c r="A3266" s="27">
        <v>46049</v>
      </c>
      <c r="B3266" s="80">
        <v>2026</v>
      </c>
      <c r="C3266" s="80">
        <v>1</v>
      </c>
      <c r="D3266" s="30" t="s">
        <v>35</v>
      </c>
      <c r="E3266" s="30" t="s">
        <v>71</v>
      </c>
      <c r="F3266" s="30" t="s">
        <v>43</v>
      </c>
      <c r="G3266" s="33">
        <v>19.851199999999999</v>
      </c>
      <c r="H3266" s="83" t="s">
        <v>89</v>
      </c>
    </row>
    <row r="3267" spans="1:8" ht="16.5" customHeight="1" x14ac:dyDescent="0.25">
      <c r="A3267" s="27">
        <v>46050</v>
      </c>
      <c r="B3267" s="80">
        <v>2026</v>
      </c>
      <c r="C3267" s="80">
        <v>1</v>
      </c>
      <c r="D3267" s="30" t="s">
        <v>35</v>
      </c>
      <c r="E3267" s="30" t="s">
        <v>38</v>
      </c>
      <c r="F3267" s="30" t="s">
        <v>43</v>
      </c>
      <c r="G3267" s="33">
        <v>1.19</v>
      </c>
      <c r="H3267" s="83" t="s">
        <v>88</v>
      </c>
    </row>
    <row r="3268" spans="1:8" ht="16.5" customHeight="1" x14ac:dyDescent="0.25">
      <c r="A3268" s="27">
        <v>46050</v>
      </c>
      <c r="B3268" s="80">
        <v>2026</v>
      </c>
      <c r="C3268" s="80">
        <v>1</v>
      </c>
      <c r="D3268" s="30" t="s">
        <v>35</v>
      </c>
      <c r="E3268" s="30" t="s">
        <v>50</v>
      </c>
      <c r="F3268" s="30" t="s">
        <v>43</v>
      </c>
      <c r="G3268" s="33">
        <v>14.90634639</v>
      </c>
      <c r="H3268" s="83" t="s">
        <v>88</v>
      </c>
    </row>
    <row r="3269" spans="1:8" ht="16.5" customHeight="1" x14ac:dyDescent="0.25">
      <c r="A3269" s="27">
        <v>46050</v>
      </c>
      <c r="B3269" s="80">
        <v>2026</v>
      </c>
      <c r="C3269" s="80">
        <v>1</v>
      </c>
      <c r="D3269" s="30" t="s">
        <v>35</v>
      </c>
      <c r="E3269" s="30" t="s">
        <v>50</v>
      </c>
      <c r="F3269" s="30" t="s">
        <v>47</v>
      </c>
      <c r="G3269" s="33">
        <v>0.73311360000000003</v>
      </c>
      <c r="H3269" s="83" t="s">
        <v>88</v>
      </c>
    </row>
    <row r="3270" spans="1:8" ht="16.5" customHeight="1" x14ac:dyDescent="0.25">
      <c r="A3270" s="27">
        <v>46050</v>
      </c>
      <c r="B3270" s="80">
        <v>2026</v>
      </c>
      <c r="C3270" s="80">
        <v>1</v>
      </c>
      <c r="D3270" s="30" t="s">
        <v>35</v>
      </c>
      <c r="E3270" s="30" t="s">
        <v>50</v>
      </c>
      <c r="F3270" s="30" t="s">
        <v>55</v>
      </c>
      <c r="G3270" s="33">
        <v>0.45215</v>
      </c>
      <c r="H3270" s="83" t="s">
        <v>88</v>
      </c>
    </row>
    <row r="3271" spans="1:8" ht="16.5" customHeight="1" x14ac:dyDescent="0.25">
      <c r="A3271" s="27">
        <v>46050</v>
      </c>
      <c r="B3271" s="80">
        <v>2026</v>
      </c>
      <c r="C3271" s="80">
        <v>1</v>
      </c>
      <c r="D3271" s="30" t="s">
        <v>35</v>
      </c>
      <c r="E3271" s="30" t="s">
        <v>50</v>
      </c>
      <c r="F3271" s="30" t="s">
        <v>58</v>
      </c>
      <c r="G3271" s="33">
        <v>0.4592406</v>
      </c>
      <c r="H3271" s="83" t="s">
        <v>88</v>
      </c>
    </row>
    <row r="3272" spans="1:8" ht="16.5" customHeight="1" x14ac:dyDescent="0.25">
      <c r="A3272" s="27">
        <v>46050</v>
      </c>
      <c r="B3272" s="80">
        <v>2026</v>
      </c>
      <c r="C3272" s="80">
        <v>1</v>
      </c>
      <c r="D3272" s="30" t="s">
        <v>35</v>
      </c>
      <c r="E3272" s="30" t="s">
        <v>54</v>
      </c>
      <c r="F3272" s="30" t="s">
        <v>43</v>
      </c>
      <c r="G3272" s="33">
        <v>5.64</v>
      </c>
      <c r="H3272" s="83" t="s">
        <v>88</v>
      </c>
    </row>
    <row r="3273" spans="1:8" ht="16.5" customHeight="1" x14ac:dyDescent="0.25">
      <c r="A3273" s="27">
        <v>46050</v>
      </c>
      <c r="B3273" s="80">
        <v>2026</v>
      </c>
      <c r="C3273" s="80">
        <v>1</v>
      </c>
      <c r="D3273" s="30" t="s">
        <v>35</v>
      </c>
      <c r="E3273" s="30" t="s">
        <v>66</v>
      </c>
      <c r="F3273" s="30" t="s">
        <v>39</v>
      </c>
      <c r="G3273" s="33">
        <v>0.504</v>
      </c>
      <c r="H3273" s="83" t="s">
        <v>89</v>
      </c>
    </row>
    <row r="3274" spans="1:8" ht="16.5" customHeight="1" x14ac:dyDescent="0.25">
      <c r="A3274" s="27">
        <v>46050</v>
      </c>
      <c r="B3274" s="80">
        <v>2026</v>
      </c>
      <c r="C3274" s="80">
        <v>1</v>
      </c>
      <c r="D3274" s="30" t="s">
        <v>35</v>
      </c>
      <c r="E3274" s="30" t="s">
        <v>66</v>
      </c>
      <c r="F3274" s="30" t="s">
        <v>43</v>
      </c>
      <c r="G3274" s="33">
        <v>6.4775999999999998</v>
      </c>
      <c r="H3274" s="83" t="s">
        <v>89</v>
      </c>
    </row>
    <row r="3275" spans="1:8" ht="16.5" customHeight="1" x14ac:dyDescent="0.25">
      <c r="A3275" s="27">
        <v>46050</v>
      </c>
      <c r="B3275" s="80">
        <v>2026</v>
      </c>
      <c r="C3275" s="80">
        <v>1</v>
      </c>
      <c r="D3275" s="30" t="s">
        <v>35</v>
      </c>
      <c r="E3275" s="30" t="s">
        <v>68</v>
      </c>
      <c r="F3275" s="30" t="s">
        <v>43</v>
      </c>
      <c r="G3275" s="33">
        <v>1.6857500000000001</v>
      </c>
      <c r="H3275" s="83" t="s">
        <v>89</v>
      </c>
    </row>
    <row r="3276" spans="1:8" ht="16.5" customHeight="1" x14ac:dyDescent="0.25">
      <c r="A3276" s="27">
        <v>46051</v>
      </c>
      <c r="B3276" s="80">
        <v>2026</v>
      </c>
      <c r="C3276" s="80">
        <v>1</v>
      </c>
      <c r="D3276" s="30" t="s">
        <v>35</v>
      </c>
      <c r="E3276" s="30" t="s">
        <v>38</v>
      </c>
      <c r="F3276" s="30" t="s">
        <v>43</v>
      </c>
      <c r="G3276" s="33">
        <v>16.6416</v>
      </c>
      <c r="H3276" s="83" t="s">
        <v>88</v>
      </c>
    </row>
    <row r="3277" spans="1:8" ht="16.5" customHeight="1" x14ac:dyDescent="0.25">
      <c r="A3277" s="27">
        <v>46051</v>
      </c>
      <c r="B3277" s="80">
        <v>2026</v>
      </c>
      <c r="C3277" s="80">
        <v>1</v>
      </c>
      <c r="D3277" s="30" t="s">
        <v>35</v>
      </c>
      <c r="E3277" s="30" t="s">
        <v>42</v>
      </c>
      <c r="F3277" s="30" t="s">
        <v>43</v>
      </c>
      <c r="G3277" s="33">
        <v>1.105</v>
      </c>
      <c r="H3277" s="83" t="s">
        <v>88</v>
      </c>
    </row>
    <row r="3278" spans="1:8" ht="16.5" customHeight="1" x14ac:dyDescent="0.25">
      <c r="A3278" s="27">
        <v>46051</v>
      </c>
      <c r="B3278" s="80">
        <v>2026</v>
      </c>
      <c r="C3278" s="80">
        <v>1</v>
      </c>
      <c r="D3278" s="30" t="s">
        <v>35</v>
      </c>
      <c r="E3278" s="30" t="s">
        <v>46</v>
      </c>
      <c r="F3278" s="30" t="s">
        <v>43</v>
      </c>
      <c r="G3278" s="33">
        <v>10.081481200000001</v>
      </c>
      <c r="H3278" s="83" t="s">
        <v>88</v>
      </c>
    </row>
    <row r="3279" spans="1:8" ht="16.5" customHeight="1" x14ac:dyDescent="0.25">
      <c r="A3279" s="27">
        <v>46051</v>
      </c>
      <c r="B3279" s="80">
        <v>2026</v>
      </c>
      <c r="C3279" s="80">
        <v>1</v>
      </c>
      <c r="D3279" s="30" t="s">
        <v>35</v>
      </c>
      <c r="E3279" s="30" t="s">
        <v>46</v>
      </c>
      <c r="F3279" s="30" t="s">
        <v>55</v>
      </c>
      <c r="G3279" s="33">
        <v>0.32996799999999998</v>
      </c>
      <c r="H3279" s="83" t="s">
        <v>88</v>
      </c>
    </row>
    <row r="3280" spans="1:8" ht="16.5" customHeight="1" x14ac:dyDescent="0.25">
      <c r="A3280" s="27">
        <v>46051</v>
      </c>
      <c r="B3280" s="80">
        <v>2026</v>
      </c>
      <c r="C3280" s="80">
        <v>1</v>
      </c>
      <c r="D3280" s="30" t="s">
        <v>35</v>
      </c>
      <c r="E3280" s="30" t="s">
        <v>46</v>
      </c>
      <c r="F3280" s="30" t="s">
        <v>58</v>
      </c>
      <c r="G3280" s="33">
        <v>4.5269999999999998E-2</v>
      </c>
      <c r="H3280" s="83" t="s">
        <v>88</v>
      </c>
    </row>
    <row r="3281" spans="1:8" ht="16.5" customHeight="1" x14ac:dyDescent="0.25">
      <c r="A3281" s="27">
        <v>46051</v>
      </c>
      <c r="B3281" s="80">
        <v>2026</v>
      </c>
      <c r="C3281" s="80">
        <v>1</v>
      </c>
      <c r="D3281" s="30" t="s">
        <v>35</v>
      </c>
      <c r="E3281" s="30" t="s">
        <v>50</v>
      </c>
      <c r="F3281" s="30" t="s">
        <v>43</v>
      </c>
      <c r="G3281" s="33">
        <v>10.526614</v>
      </c>
      <c r="H3281" s="83" t="s">
        <v>88</v>
      </c>
    </row>
    <row r="3282" spans="1:8" ht="16.5" customHeight="1" x14ac:dyDescent="0.25">
      <c r="A3282" s="27">
        <v>46051</v>
      </c>
      <c r="B3282" s="80">
        <v>2026</v>
      </c>
      <c r="C3282" s="80">
        <v>1</v>
      </c>
      <c r="D3282" s="30" t="s">
        <v>35</v>
      </c>
      <c r="E3282" s="30" t="s">
        <v>50</v>
      </c>
      <c r="F3282" s="30" t="s">
        <v>47</v>
      </c>
      <c r="G3282" s="33">
        <v>0.62160000000000004</v>
      </c>
      <c r="H3282" s="83" t="s">
        <v>88</v>
      </c>
    </row>
    <row r="3283" spans="1:8" ht="16.5" customHeight="1" x14ac:dyDescent="0.25">
      <c r="A3283" s="27">
        <v>46051</v>
      </c>
      <c r="B3283" s="80">
        <v>2026</v>
      </c>
      <c r="C3283" s="80">
        <v>1</v>
      </c>
      <c r="D3283" s="30" t="s">
        <v>35</v>
      </c>
      <c r="E3283" s="30" t="s">
        <v>50</v>
      </c>
      <c r="F3283" s="30" t="s">
        <v>58</v>
      </c>
      <c r="G3283" s="33">
        <v>0.96366600000000002</v>
      </c>
      <c r="H3283" s="83" t="s">
        <v>88</v>
      </c>
    </row>
    <row r="3284" spans="1:8" ht="16.5" customHeight="1" x14ac:dyDescent="0.25">
      <c r="A3284" s="27">
        <v>46051</v>
      </c>
      <c r="B3284" s="80">
        <v>2026</v>
      </c>
      <c r="C3284" s="80">
        <v>1</v>
      </c>
      <c r="D3284" s="30" t="s">
        <v>35</v>
      </c>
      <c r="E3284" s="30" t="s">
        <v>57</v>
      </c>
      <c r="F3284" s="30" t="s">
        <v>43</v>
      </c>
      <c r="G3284" s="33">
        <v>1.335</v>
      </c>
      <c r="H3284" s="83" t="s">
        <v>89</v>
      </c>
    </row>
    <row r="3285" spans="1:8" ht="16.5" customHeight="1" x14ac:dyDescent="0.25">
      <c r="A3285" s="27">
        <v>46051</v>
      </c>
      <c r="B3285" s="80">
        <v>2026</v>
      </c>
      <c r="C3285" s="80">
        <v>1</v>
      </c>
      <c r="D3285" s="30" t="s">
        <v>35</v>
      </c>
      <c r="E3285" s="30" t="s">
        <v>64</v>
      </c>
      <c r="F3285" s="30" t="s">
        <v>43</v>
      </c>
      <c r="G3285" s="33">
        <v>15.92</v>
      </c>
      <c r="H3285" s="83" t="s">
        <v>89</v>
      </c>
    </row>
    <row r="3286" spans="1:8" ht="16.5" customHeight="1" x14ac:dyDescent="0.25">
      <c r="A3286" s="27">
        <v>46051</v>
      </c>
      <c r="B3286" s="80">
        <v>2026</v>
      </c>
      <c r="C3286" s="80">
        <v>1</v>
      </c>
      <c r="D3286" s="30" t="s">
        <v>35</v>
      </c>
      <c r="E3286" s="30" t="s">
        <v>66</v>
      </c>
      <c r="F3286" s="30" t="s">
        <v>43</v>
      </c>
      <c r="G3286" s="33">
        <v>1.19</v>
      </c>
      <c r="H3286" s="83" t="s">
        <v>89</v>
      </c>
    </row>
    <row r="3287" spans="1:8" ht="16.5" customHeight="1" x14ac:dyDescent="0.25">
      <c r="A3287" s="27">
        <v>46051</v>
      </c>
      <c r="B3287" s="80">
        <v>2026</v>
      </c>
      <c r="C3287" s="80">
        <v>1</v>
      </c>
      <c r="D3287" s="30" t="s">
        <v>35</v>
      </c>
      <c r="E3287" s="30" t="s">
        <v>68</v>
      </c>
      <c r="F3287" s="30" t="s">
        <v>43</v>
      </c>
      <c r="G3287" s="33">
        <v>1.08</v>
      </c>
      <c r="H3287" s="83" t="s">
        <v>89</v>
      </c>
    </row>
    <row r="3288" spans="1:8" ht="16.5" customHeight="1" x14ac:dyDescent="0.25">
      <c r="A3288" s="27">
        <v>46051</v>
      </c>
      <c r="B3288" s="80">
        <v>2026</v>
      </c>
      <c r="C3288" s="80">
        <v>1</v>
      </c>
      <c r="D3288" s="30" t="s">
        <v>35</v>
      </c>
      <c r="E3288" s="30" t="s">
        <v>71</v>
      </c>
      <c r="F3288" s="30" t="s">
        <v>43</v>
      </c>
      <c r="G3288" s="33">
        <v>44.5349</v>
      </c>
      <c r="H3288" s="83" t="s">
        <v>89</v>
      </c>
    </row>
    <row r="3289" spans="1:8" ht="16.5" customHeight="1" x14ac:dyDescent="0.25">
      <c r="A3289" s="27">
        <v>46052</v>
      </c>
      <c r="B3289" s="80">
        <v>2026</v>
      </c>
      <c r="C3289" s="80">
        <v>1</v>
      </c>
      <c r="D3289" s="30" t="s">
        <v>35</v>
      </c>
      <c r="E3289" s="30" t="s">
        <v>38</v>
      </c>
      <c r="F3289" s="30" t="s">
        <v>43</v>
      </c>
      <c r="G3289" s="33">
        <v>10.099416</v>
      </c>
      <c r="H3289" s="83" t="s">
        <v>88</v>
      </c>
    </row>
    <row r="3290" spans="1:8" ht="16.5" customHeight="1" x14ac:dyDescent="0.25">
      <c r="A3290" s="27">
        <v>46052</v>
      </c>
      <c r="B3290" s="80">
        <v>2026</v>
      </c>
      <c r="C3290" s="80">
        <v>1</v>
      </c>
      <c r="D3290" s="30" t="s">
        <v>35</v>
      </c>
      <c r="E3290" s="30" t="s">
        <v>38</v>
      </c>
      <c r="F3290" s="30" t="s">
        <v>58</v>
      </c>
      <c r="G3290" s="33">
        <v>1.4938174</v>
      </c>
      <c r="H3290" s="83" t="s">
        <v>88</v>
      </c>
    </row>
    <row r="3291" spans="1:8" ht="16.5" customHeight="1" x14ac:dyDescent="0.25">
      <c r="A3291" s="27">
        <v>46052</v>
      </c>
      <c r="B3291" s="80">
        <v>2026</v>
      </c>
      <c r="C3291" s="80">
        <v>1</v>
      </c>
      <c r="D3291" s="30" t="s">
        <v>35</v>
      </c>
      <c r="E3291" s="30" t="s">
        <v>42</v>
      </c>
      <c r="F3291" s="30" t="s">
        <v>43</v>
      </c>
      <c r="G3291" s="33">
        <v>19.376000000000001</v>
      </c>
      <c r="H3291" s="83" t="s">
        <v>88</v>
      </c>
    </row>
    <row r="3292" spans="1:8" ht="16.5" customHeight="1" x14ac:dyDescent="0.25">
      <c r="A3292" s="27">
        <v>46052</v>
      </c>
      <c r="B3292" s="80">
        <v>2026</v>
      </c>
      <c r="C3292" s="80">
        <v>1</v>
      </c>
      <c r="D3292" s="30" t="s">
        <v>35</v>
      </c>
      <c r="E3292" s="30" t="s">
        <v>46</v>
      </c>
      <c r="F3292" s="30" t="s">
        <v>43</v>
      </c>
      <c r="G3292" s="33">
        <v>9.2551999999999995E-2</v>
      </c>
      <c r="H3292" s="83" t="s">
        <v>88</v>
      </c>
    </row>
    <row r="3293" spans="1:8" ht="16.5" customHeight="1" x14ac:dyDescent="0.25">
      <c r="A3293" s="27">
        <v>46052</v>
      </c>
      <c r="B3293" s="80">
        <v>2026</v>
      </c>
      <c r="C3293" s="80">
        <v>1</v>
      </c>
      <c r="D3293" s="30" t="s">
        <v>35</v>
      </c>
      <c r="E3293" s="30" t="s">
        <v>46</v>
      </c>
      <c r="F3293" s="30" t="s">
        <v>58</v>
      </c>
      <c r="G3293" s="33">
        <v>0.86805728000000004</v>
      </c>
      <c r="H3293" s="83" t="s">
        <v>88</v>
      </c>
    </row>
    <row r="3294" spans="1:8" ht="16.5" customHeight="1" x14ac:dyDescent="0.25">
      <c r="A3294" s="27">
        <v>46052</v>
      </c>
      <c r="B3294" s="80">
        <v>2026</v>
      </c>
      <c r="C3294" s="80">
        <v>1</v>
      </c>
      <c r="D3294" s="30" t="s">
        <v>35</v>
      </c>
      <c r="E3294" s="30" t="s">
        <v>50</v>
      </c>
      <c r="F3294" s="30" t="s">
        <v>43</v>
      </c>
      <c r="G3294" s="33">
        <v>34.478736474999998</v>
      </c>
      <c r="H3294" s="83" t="s">
        <v>88</v>
      </c>
    </row>
    <row r="3295" spans="1:8" ht="16.5" customHeight="1" x14ac:dyDescent="0.25">
      <c r="A3295" s="27">
        <v>46052</v>
      </c>
      <c r="B3295" s="80">
        <v>2026</v>
      </c>
      <c r="C3295" s="80">
        <v>1</v>
      </c>
      <c r="D3295" s="30" t="s">
        <v>35</v>
      </c>
      <c r="E3295" s="30" t="s">
        <v>50</v>
      </c>
      <c r="F3295" s="30" t="s">
        <v>47</v>
      </c>
      <c r="G3295" s="33">
        <v>0.62160000000000004</v>
      </c>
      <c r="H3295" s="83" t="s">
        <v>88</v>
      </c>
    </row>
    <row r="3296" spans="1:8" ht="16.5" customHeight="1" x14ac:dyDescent="0.25">
      <c r="A3296" s="27">
        <v>46052</v>
      </c>
      <c r="B3296" s="80">
        <v>2026</v>
      </c>
      <c r="C3296" s="80">
        <v>1</v>
      </c>
      <c r="D3296" s="30" t="s">
        <v>35</v>
      </c>
      <c r="E3296" s="30" t="s">
        <v>50</v>
      </c>
      <c r="F3296" s="30" t="s">
        <v>55</v>
      </c>
      <c r="G3296" s="33">
        <v>0.71811000000000003</v>
      </c>
      <c r="H3296" s="83" t="s">
        <v>88</v>
      </c>
    </row>
    <row r="3297" spans="1:8" ht="16.5" customHeight="1" x14ac:dyDescent="0.25">
      <c r="A3297" s="27">
        <v>46052</v>
      </c>
      <c r="B3297" s="80">
        <v>2026</v>
      </c>
      <c r="C3297" s="80">
        <v>1</v>
      </c>
      <c r="D3297" s="30" t="s">
        <v>35</v>
      </c>
      <c r="E3297" s="30" t="s">
        <v>50</v>
      </c>
      <c r="F3297" s="30" t="s">
        <v>58</v>
      </c>
      <c r="G3297" s="33">
        <v>2.2013296050000002</v>
      </c>
      <c r="H3297" s="83" t="s">
        <v>88</v>
      </c>
    </row>
    <row r="3298" spans="1:8" ht="16.5" customHeight="1" x14ac:dyDescent="0.25">
      <c r="A3298" s="27">
        <v>46052</v>
      </c>
      <c r="B3298" s="80">
        <v>2026</v>
      </c>
      <c r="C3298" s="80">
        <v>1</v>
      </c>
      <c r="D3298" s="30" t="s">
        <v>35</v>
      </c>
      <c r="E3298" s="30" t="s">
        <v>54</v>
      </c>
      <c r="F3298" s="30" t="s">
        <v>43</v>
      </c>
      <c r="G3298" s="33">
        <v>4.1159999999999997</v>
      </c>
      <c r="H3298" s="83" t="s">
        <v>88</v>
      </c>
    </row>
    <row r="3299" spans="1:8" ht="16.5" customHeight="1" x14ac:dyDescent="0.25">
      <c r="A3299" s="27">
        <v>46052</v>
      </c>
      <c r="B3299" s="80">
        <v>2026</v>
      </c>
      <c r="C3299" s="80">
        <v>1</v>
      </c>
      <c r="D3299" s="30" t="s">
        <v>35</v>
      </c>
      <c r="E3299" s="30" t="s">
        <v>54</v>
      </c>
      <c r="F3299" s="30" t="s">
        <v>47</v>
      </c>
      <c r="G3299" s="33">
        <v>0.15</v>
      </c>
      <c r="H3299" s="83" t="s">
        <v>88</v>
      </c>
    </row>
    <row r="3300" spans="1:8" ht="16.5" customHeight="1" x14ac:dyDescent="0.25">
      <c r="A3300" s="27">
        <v>46052</v>
      </c>
      <c r="B3300" s="80">
        <v>2026</v>
      </c>
      <c r="C3300" s="80">
        <v>1</v>
      </c>
      <c r="D3300" s="30" t="s">
        <v>35</v>
      </c>
      <c r="E3300" s="30" t="s">
        <v>57</v>
      </c>
      <c r="F3300" s="30" t="s">
        <v>43</v>
      </c>
      <c r="G3300" s="33">
        <v>55.9375</v>
      </c>
      <c r="H3300" s="83" t="s">
        <v>89</v>
      </c>
    </row>
    <row r="3301" spans="1:8" ht="16.5" customHeight="1" x14ac:dyDescent="0.25">
      <c r="A3301" s="27">
        <v>46052</v>
      </c>
      <c r="B3301" s="80">
        <v>2026</v>
      </c>
      <c r="C3301" s="80">
        <v>1</v>
      </c>
      <c r="D3301" s="30" t="s">
        <v>35</v>
      </c>
      <c r="E3301" s="30" t="s">
        <v>61</v>
      </c>
      <c r="F3301" s="30" t="s">
        <v>43</v>
      </c>
      <c r="G3301" s="33">
        <v>9.2125000000000004</v>
      </c>
      <c r="H3301" s="83" t="s">
        <v>89</v>
      </c>
    </row>
    <row r="3302" spans="1:8" ht="16.5" customHeight="1" x14ac:dyDescent="0.25">
      <c r="A3302" s="27">
        <v>46052</v>
      </c>
      <c r="B3302" s="80">
        <v>2026</v>
      </c>
      <c r="C3302" s="80">
        <v>1</v>
      </c>
      <c r="D3302" s="30" t="s">
        <v>35</v>
      </c>
      <c r="E3302" s="30" t="s">
        <v>61</v>
      </c>
      <c r="F3302" s="30" t="s">
        <v>55</v>
      </c>
      <c r="G3302" s="33">
        <v>5.8</v>
      </c>
      <c r="H3302" s="83" t="s">
        <v>89</v>
      </c>
    </row>
    <row r="3303" spans="1:8" ht="16.5" customHeight="1" x14ac:dyDescent="0.25">
      <c r="A3303" s="27">
        <v>46052</v>
      </c>
      <c r="B3303" s="80">
        <v>2026</v>
      </c>
      <c r="C3303" s="80">
        <v>1</v>
      </c>
      <c r="D3303" s="30" t="s">
        <v>35</v>
      </c>
      <c r="E3303" s="30" t="s">
        <v>66</v>
      </c>
      <c r="F3303" s="30" t="s">
        <v>43</v>
      </c>
      <c r="G3303" s="33">
        <v>3.76</v>
      </c>
      <c r="H3303" s="83" t="s">
        <v>89</v>
      </c>
    </row>
    <row r="3304" spans="1:8" ht="16.5" customHeight="1" x14ac:dyDescent="0.25">
      <c r="A3304" s="27">
        <v>46052</v>
      </c>
      <c r="B3304" s="80">
        <v>2026</v>
      </c>
      <c r="C3304" s="80">
        <v>1</v>
      </c>
      <c r="D3304" s="30" t="s">
        <v>35</v>
      </c>
      <c r="E3304" s="30" t="s">
        <v>66</v>
      </c>
      <c r="F3304" s="30" t="s">
        <v>55</v>
      </c>
      <c r="G3304" s="33">
        <v>0.5</v>
      </c>
      <c r="H3304" s="83" t="s">
        <v>89</v>
      </c>
    </row>
    <row r="3305" spans="1:8" ht="16.5" customHeight="1" x14ac:dyDescent="0.25">
      <c r="A3305" s="27">
        <v>46052</v>
      </c>
      <c r="B3305" s="80">
        <v>2026</v>
      </c>
      <c r="C3305" s="80">
        <v>1</v>
      </c>
      <c r="D3305" s="30" t="s">
        <v>35</v>
      </c>
      <c r="E3305" s="30" t="s">
        <v>68</v>
      </c>
      <c r="F3305" s="30" t="s">
        <v>43</v>
      </c>
      <c r="G3305" s="33">
        <v>4.6260000000000003</v>
      </c>
      <c r="H3305" s="83" t="s">
        <v>89</v>
      </c>
    </row>
    <row r="3306" spans="1:8" ht="16.5" customHeight="1" x14ac:dyDescent="0.25">
      <c r="A3306" s="27">
        <v>46052</v>
      </c>
      <c r="B3306" s="80">
        <v>2026</v>
      </c>
      <c r="C3306" s="80">
        <v>1</v>
      </c>
      <c r="D3306" s="30" t="s">
        <v>35</v>
      </c>
      <c r="E3306" s="30" t="s">
        <v>71</v>
      </c>
      <c r="F3306" s="30" t="s">
        <v>43</v>
      </c>
      <c r="G3306" s="33">
        <v>34.534999999999997</v>
      </c>
      <c r="H3306" s="83" t="s">
        <v>89</v>
      </c>
    </row>
    <row r="3307" spans="1:8" ht="16.5" customHeight="1" x14ac:dyDescent="0.25">
      <c r="A3307" s="27">
        <v>46052</v>
      </c>
      <c r="B3307" s="80">
        <v>2026</v>
      </c>
      <c r="C3307" s="80">
        <v>1</v>
      </c>
      <c r="D3307" s="30" t="s">
        <v>35</v>
      </c>
      <c r="E3307" s="30" t="s">
        <v>73</v>
      </c>
      <c r="F3307" s="30" t="s">
        <v>43</v>
      </c>
      <c r="G3307" s="33">
        <v>10.02</v>
      </c>
      <c r="H3307" s="83" t="s">
        <v>89</v>
      </c>
    </row>
    <row r="3308" spans="1:8" ht="16.5" customHeight="1" x14ac:dyDescent="0.25">
      <c r="A3308" s="27">
        <v>46052</v>
      </c>
      <c r="B3308" s="80">
        <v>2026</v>
      </c>
      <c r="C3308" s="80">
        <v>1</v>
      </c>
      <c r="D3308" s="30" t="s">
        <v>35</v>
      </c>
      <c r="E3308" s="30" t="s">
        <v>74</v>
      </c>
      <c r="F3308" s="30" t="s">
        <v>43</v>
      </c>
      <c r="G3308" s="33">
        <v>4.5136000000000003</v>
      </c>
      <c r="H3308" s="83" t="s">
        <v>89</v>
      </c>
    </row>
    <row r="3309" spans="1:8" ht="16.5" customHeight="1" x14ac:dyDescent="0.25">
      <c r="A3309" s="27">
        <v>46052</v>
      </c>
      <c r="B3309" s="80">
        <v>2026</v>
      </c>
      <c r="C3309" s="80">
        <v>1</v>
      </c>
      <c r="D3309" s="30" t="s">
        <v>35</v>
      </c>
      <c r="E3309" s="30" t="s">
        <v>75</v>
      </c>
      <c r="F3309" s="30" t="s">
        <v>43</v>
      </c>
      <c r="G3309" s="33">
        <v>5.9732052500000004</v>
      </c>
      <c r="H3309" s="83" t="s">
        <v>48</v>
      </c>
    </row>
    <row r="3310" spans="1:8" ht="16.5" customHeight="1" x14ac:dyDescent="0.25">
      <c r="A3310" s="27">
        <v>46052</v>
      </c>
      <c r="B3310" s="80">
        <v>2026</v>
      </c>
      <c r="C3310" s="80">
        <v>1</v>
      </c>
      <c r="D3310" s="30" t="s">
        <v>35</v>
      </c>
      <c r="E3310" s="30" t="s">
        <v>76</v>
      </c>
      <c r="F3310" s="30" t="s">
        <v>43</v>
      </c>
      <c r="G3310" s="33">
        <v>18.462499999999999</v>
      </c>
      <c r="H3310" s="83" t="s">
        <v>48</v>
      </c>
    </row>
    <row r="3311" spans="1:8" ht="16.5" customHeight="1" x14ac:dyDescent="0.25">
      <c r="A3311" s="27">
        <v>46055</v>
      </c>
      <c r="B3311" s="80">
        <v>2026</v>
      </c>
      <c r="C3311" s="80">
        <v>2</v>
      </c>
      <c r="D3311" s="30" t="s">
        <v>37</v>
      </c>
      <c r="E3311" s="30" t="s">
        <v>38</v>
      </c>
      <c r="F3311" s="30" t="s">
        <v>43</v>
      </c>
      <c r="G3311" s="33">
        <v>6.8326760000000002</v>
      </c>
      <c r="H3311" s="83" t="s">
        <v>88</v>
      </c>
    </row>
    <row r="3312" spans="1:8" ht="16.5" customHeight="1" x14ac:dyDescent="0.25">
      <c r="A3312" s="27">
        <v>46055</v>
      </c>
      <c r="B3312" s="80">
        <v>2026</v>
      </c>
      <c r="C3312" s="80">
        <v>2</v>
      </c>
      <c r="D3312" s="30" t="s">
        <v>37</v>
      </c>
      <c r="E3312" s="30" t="s">
        <v>38</v>
      </c>
      <c r="F3312" s="30" t="s">
        <v>55</v>
      </c>
      <c r="G3312" s="33">
        <v>0.93</v>
      </c>
      <c r="H3312" s="83" t="s">
        <v>88</v>
      </c>
    </row>
    <row r="3313" spans="1:8" ht="16.5" customHeight="1" x14ac:dyDescent="0.25">
      <c r="A3313" s="27">
        <v>46055</v>
      </c>
      <c r="B3313" s="80">
        <v>2026</v>
      </c>
      <c r="C3313" s="80">
        <v>2</v>
      </c>
      <c r="D3313" s="30" t="s">
        <v>37</v>
      </c>
      <c r="E3313" s="30" t="s">
        <v>42</v>
      </c>
      <c r="F3313" s="30" t="s">
        <v>43</v>
      </c>
      <c r="G3313" s="33">
        <v>4.7869999999999999</v>
      </c>
      <c r="H3313" s="83" t="s">
        <v>88</v>
      </c>
    </row>
    <row r="3314" spans="1:8" ht="16.5" customHeight="1" x14ac:dyDescent="0.25">
      <c r="A3314" s="27">
        <v>46055</v>
      </c>
      <c r="B3314" s="80">
        <v>2026</v>
      </c>
      <c r="C3314" s="80">
        <v>2</v>
      </c>
      <c r="D3314" s="30" t="s">
        <v>37</v>
      </c>
      <c r="E3314" s="30" t="s">
        <v>50</v>
      </c>
      <c r="F3314" s="30" t="s">
        <v>43</v>
      </c>
      <c r="G3314" s="33">
        <v>1.052765</v>
      </c>
      <c r="H3314" s="83" t="s">
        <v>88</v>
      </c>
    </row>
    <row r="3315" spans="1:8" ht="16.5" customHeight="1" x14ac:dyDescent="0.25">
      <c r="A3315" s="27">
        <v>46055</v>
      </c>
      <c r="B3315" s="80">
        <v>2026</v>
      </c>
      <c r="C3315" s="80">
        <v>2</v>
      </c>
      <c r="D3315" s="30" t="s">
        <v>37</v>
      </c>
      <c r="E3315" s="30" t="s">
        <v>50</v>
      </c>
      <c r="F3315" s="30" t="s">
        <v>47</v>
      </c>
      <c r="G3315" s="33">
        <v>0.120666</v>
      </c>
      <c r="H3315" s="83" t="s">
        <v>88</v>
      </c>
    </row>
    <row r="3316" spans="1:8" ht="16.5" customHeight="1" x14ac:dyDescent="0.25">
      <c r="A3316" s="27">
        <v>46055</v>
      </c>
      <c r="B3316" s="80">
        <v>2026</v>
      </c>
      <c r="C3316" s="80">
        <v>2</v>
      </c>
      <c r="D3316" s="30" t="s">
        <v>37</v>
      </c>
      <c r="E3316" s="30" t="s">
        <v>50</v>
      </c>
      <c r="F3316" s="30" t="s">
        <v>55</v>
      </c>
      <c r="G3316" s="33">
        <v>0.89249999999999996</v>
      </c>
      <c r="H3316" s="83" t="s">
        <v>88</v>
      </c>
    </row>
    <row r="3317" spans="1:8" ht="16.5" customHeight="1" x14ac:dyDescent="0.25">
      <c r="A3317" s="27">
        <v>46055</v>
      </c>
      <c r="B3317" s="80">
        <v>2026</v>
      </c>
      <c r="C3317" s="80">
        <v>2</v>
      </c>
      <c r="D3317" s="30" t="s">
        <v>37</v>
      </c>
      <c r="E3317" s="30" t="s">
        <v>50</v>
      </c>
      <c r="F3317" s="30" t="s">
        <v>58</v>
      </c>
      <c r="G3317" s="33">
        <v>0.41366940000000002</v>
      </c>
      <c r="H3317" s="83" t="s">
        <v>88</v>
      </c>
    </row>
    <row r="3318" spans="1:8" ht="16.5" customHeight="1" x14ac:dyDescent="0.25">
      <c r="A3318" s="27">
        <v>46055</v>
      </c>
      <c r="B3318" s="80">
        <v>2026</v>
      </c>
      <c r="C3318" s="80">
        <v>2</v>
      </c>
      <c r="D3318" s="30" t="s">
        <v>37</v>
      </c>
      <c r="E3318" s="30" t="s">
        <v>54</v>
      </c>
      <c r="F3318" s="30" t="s">
        <v>43</v>
      </c>
      <c r="G3318" s="33">
        <v>1.012</v>
      </c>
      <c r="H3318" s="83" t="s">
        <v>88</v>
      </c>
    </row>
    <row r="3319" spans="1:8" ht="16.5" customHeight="1" x14ac:dyDescent="0.25">
      <c r="A3319" s="27">
        <v>46055</v>
      </c>
      <c r="B3319" s="80">
        <v>2026</v>
      </c>
      <c r="C3319" s="80">
        <v>2</v>
      </c>
      <c r="D3319" s="30" t="s">
        <v>37</v>
      </c>
      <c r="E3319" s="30" t="s">
        <v>54</v>
      </c>
      <c r="F3319" s="30" t="s">
        <v>47</v>
      </c>
      <c r="G3319" s="33">
        <v>0.39</v>
      </c>
      <c r="H3319" s="83" t="s">
        <v>88</v>
      </c>
    </row>
    <row r="3320" spans="1:8" ht="16.5" customHeight="1" x14ac:dyDescent="0.25">
      <c r="A3320" s="27">
        <v>46055</v>
      </c>
      <c r="B3320" s="80">
        <v>2026</v>
      </c>
      <c r="C3320" s="80">
        <v>2</v>
      </c>
      <c r="D3320" s="30" t="s">
        <v>37</v>
      </c>
      <c r="E3320" s="30" t="s">
        <v>68</v>
      </c>
      <c r="F3320" s="30" t="s">
        <v>43</v>
      </c>
      <c r="G3320" s="33">
        <v>4.3499999999999996</v>
      </c>
      <c r="H3320" s="83" t="s">
        <v>89</v>
      </c>
    </row>
    <row r="3321" spans="1:8" ht="16.5" customHeight="1" x14ac:dyDescent="0.25">
      <c r="A3321" s="27">
        <v>46055</v>
      </c>
      <c r="B3321" s="80">
        <v>2026</v>
      </c>
      <c r="C3321" s="80">
        <v>2</v>
      </c>
      <c r="D3321" s="30" t="s">
        <v>37</v>
      </c>
      <c r="E3321" s="30" t="s">
        <v>74</v>
      </c>
      <c r="F3321" s="30" t="s">
        <v>43</v>
      </c>
      <c r="G3321" s="33">
        <v>50.651899999999998</v>
      </c>
      <c r="H3321" s="83" t="s">
        <v>89</v>
      </c>
    </row>
    <row r="3322" spans="1:8" ht="16.5" customHeight="1" x14ac:dyDescent="0.25">
      <c r="A3322" s="27">
        <v>46056</v>
      </c>
      <c r="B3322" s="80">
        <v>2026</v>
      </c>
      <c r="C3322" s="80">
        <v>2</v>
      </c>
      <c r="D3322" s="30" t="s">
        <v>37</v>
      </c>
      <c r="E3322" s="30" t="s">
        <v>38</v>
      </c>
      <c r="F3322" s="30" t="s">
        <v>43</v>
      </c>
      <c r="G3322" s="33">
        <v>9.2668700000000008</v>
      </c>
      <c r="H3322" s="83" t="s">
        <v>88</v>
      </c>
    </row>
    <row r="3323" spans="1:8" ht="16.5" customHeight="1" x14ac:dyDescent="0.25">
      <c r="A3323" s="27">
        <v>46056</v>
      </c>
      <c r="B3323" s="80">
        <v>2026</v>
      </c>
      <c r="C3323" s="80">
        <v>2</v>
      </c>
      <c r="D3323" s="30" t="s">
        <v>37</v>
      </c>
      <c r="E3323" s="30" t="s">
        <v>38</v>
      </c>
      <c r="F3323" s="30" t="s">
        <v>55</v>
      </c>
      <c r="G3323" s="33">
        <v>1.08</v>
      </c>
      <c r="H3323" s="83" t="s">
        <v>88</v>
      </c>
    </row>
    <row r="3324" spans="1:8" ht="16.5" customHeight="1" x14ac:dyDescent="0.25">
      <c r="A3324" s="27">
        <v>46056</v>
      </c>
      <c r="B3324" s="80">
        <v>2026</v>
      </c>
      <c r="C3324" s="80">
        <v>2</v>
      </c>
      <c r="D3324" s="30" t="s">
        <v>37</v>
      </c>
      <c r="E3324" s="30" t="s">
        <v>42</v>
      </c>
      <c r="F3324" s="30" t="s">
        <v>43</v>
      </c>
      <c r="G3324" s="33">
        <v>5.8163999999999998</v>
      </c>
      <c r="H3324" s="83" t="s">
        <v>88</v>
      </c>
    </row>
    <row r="3325" spans="1:8" ht="16.5" customHeight="1" x14ac:dyDescent="0.25">
      <c r="A3325" s="27">
        <v>46056</v>
      </c>
      <c r="B3325" s="80">
        <v>2026</v>
      </c>
      <c r="C3325" s="80">
        <v>2</v>
      </c>
      <c r="D3325" s="30" t="s">
        <v>37</v>
      </c>
      <c r="E3325" s="30" t="s">
        <v>42</v>
      </c>
      <c r="F3325" s="30" t="s">
        <v>58</v>
      </c>
      <c r="G3325" s="33">
        <v>0.23433999999999999</v>
      </c>
      <c r="H3325" s="83" t="s">
        <v>88</v>
      </c>
    </row>
    <row r="3326" spans="1:8" ht="16.5" customHeight="1" x14ac:dyDescent="0.25">
      <c r="A3326" s="27">
        <v>46056</v>
      </c>
      <c r="B3326" s="80">
        <v>2026</v>
      </c>
      <c r="C3326" s="80">
        <v>2</v>
      </c>
      <c r="D3326" s="30" t="s">
        <v>37</v>
      </c>
      <c r="E3326" s="30" t="s">
        <v>50</v>
      </c>
      <c r="F3326" s="30" t="s">
        <v>43</v>
      </c>
      <c r="G3326" s="33">
        <v>1.3260000000000001</v>
      </c>
      <c r="H3326" s="83" t="s">
        <v>88</v>
      </c>
    </row>
    <row r="3327" spans="1:8" ht="16.5" customHeight="1" x14ac:dyDescent="0.25">
      <c r="A3327" s="27">
        <v>46056</v>
      </c>
      <c r="B3327" s="80">
        <v>2026</v>
      </c>
      <c r="C3327" s="80">
        <v>2</v>
      </c>
      <c r="D3327" s="30" t="s">
        <v>37</v>
      </c>
      <c r="E3327" s="30" t="s">
        <v>54</v>
      </c>
      <c r="F3327" s="30" t="s">
        <v>43</v>
      </c>
      <c r="G3327" s="33">
        <v>1.3189</v>
      </c>
      <c r="H3327" s="83" t="s">
        <v>88</v>
      </c>
    </row>
    <row r="3328" spans="1:8" ht="16.5" customHeight="1" x14ac:dyDescent="0.25">
      <c r="A3328" s="27">
        <v>46056</v>
      </c>
      <c r="B3328" s="80">
        <v>2026</v>
      </c>
      <c r="C3328" s="80">
        <v>2</v>
      </c>
      <c r="D3328" s="30" t="s">
        <v>37</v>
      </c>
      <c r="E3328" s="30" t="s">
        <v>57</v>
      </c>
      <c r="F3328" s="30" t="s">
        <v>43</v>
      </c>
      <c r="G3328" s="33">
        <v>4.1772</v>
      </c>
      <c r="H3328" s="83" t="s">
        <v>89</v>
      </c>
    </row>
    <row r="3329" spans="1:8" ht="16.5" customHeight="1" x14ac:dyDescent="0.25">
      <c r="A3329" s="27">
        <v>46056</v>
      </c>
      <c r="B3329" s="80">
        <v>2026</v>
      </c>
      <c r="C3329" s="80">
        <v>2</v>
      </c>
      <c r="D3329" s="30" t="s">
        <v>37</v>
      </c>
      <c r="E3329" s="30" t="s">
        <v>57</v>
      </c>
      <c r="F3329" s="30" t="s">
        <v>51</v>
      </c>
      <c r="G3329" s="33">
        <v>2.94</v>
      </c>
      <c r="H3329" s="83" t="s">
        <v>89</v>
      </c>
    </row>
    <row r="3330" spans="1:8" ht="16.5" customHeight="1" x14ac:dyDescent="0.25">
      <c r="A3330" s="27">
        <v>46056</v>
      </c>
      <c r="B3330" s="80">
        <v>2026</v>
      </c>
      <c r="C3330" s="80">
        <v>2</v>
      </c>
      <c r="D3330" s="30" t="s">
        <v>37</v>
      </c>
      <c r="E3330" s="30" t="s">
        <v>61</v>
      </c>
      <c r="F3330" s="30" t="s">
        <v>43</v>
      </c>
      <c r="G3330" s="33">
        <v>49.896000000000001</v>
      </c>
      <c r="H3330" s="83" t="s">
        <v>89</v>
      </c>
    </row>
    <row r="3331" spans="1:8" ht="16.5" customHeight="1" x14ac:dyDescent="0.25">
      <c r="A3331" s="27">
        <v>46056</v>
      </c>
      <c r="B3331" s="80">
        <v>2026</v>
      </c>
      <c r="C3331" s="80">
        <v>2</v>
      </c>
      <c r="D3331" s="30" t="s">
        <v>37</v>
      </c>
      <c r="E3331" s="30" t="s">
        <v>64</v>
      </c>
      <c r="F3331" s="30" t="s">
        <v>43</v>
      </c>
      <c r="G3331" s="33">
        <v>9.0191199999999991</v>
      </c>
      <c r="H3331" s="83" t="s">
        <v>89</v>
      </c>
    </row>
    <row r="3332" spans="1:8" ht="16.5" customHeight="1" x14ac:dyDescent="0.25">
      <c r="A3332" s="27">
        <v>46056</v>
      </c>
      <c r="B3332" s="80">
        <v>2026</v>
      </c>
      <c r="C3332" s="80">
        <v>2</v>
      </c>
      <c r="D3332" s="30" t="s">
        <v>37</v>
      </c>
      <c r="E3332" s="30" t="s">
        <v>68</v>
      </c>
      <c r="F3332" s="30" t="s">
        <v>43</v>
      </c>
      <c r="G3332" s="33">
        <v>3.42</v>
      </c>
      <c r="H3332" s="83" t="s">
        <v>89</v>
      </c>
    </row>
    <row r="3333" spans="1:8" ht="16.5" customHeight="1" x14ac:dyDescent="0.25">
      <c r="A3333" s="27">
        <v>46056</v>
      </c>
      <c r="B3333" s="80">
        <v>2026</v>
      </c>
      <c r="C3333" s="80">
        <v>2</v>
      </c>
      <c r="D3333" s="30" t="s">
        <v>37</v>
      </c>
      <c r="E3333" s="30" t="s">
        <v>71</v>
      </c>
      <c r="F3333" s="30" t="s">
        <v>43</v>
      </c>
      <c r="G3333" s="33">
        <v>6.4250172000000001</v>
      </c>
      <c r="H3333" s="83" t="s">
        <v>89</v>
      </c>
    </row>
    <row r="3334" spans="1:8" ht="16.5" customHeight="1" x14ac:dyDescent="0.25">
      <c r="A3334" s="27">
        <v>46057</v>
      </c>
      <c r="B3334" s="80">
        <v>2026</v>
      </c>
      <c r="C3334" s="80">
        <v>2</v>
      </c>
      <c r="D3334" s="30" t="s">
        <v>37</v>
      </c>
      <c r="E3334" s="30" t="s">
        <v>38</v>
      </c>
      <c r="F3334" s="30" t="s">
        <v>43</v>
      </c>
      <c r="G3334" s="33">
        <v>4.9640000000000004</v>
      </c>
      <c r="H3334" s="83" t="s">
        <v>88</v>
      </c>
    </row>
    <row r="3335" spans="1:8" ht="16.5" customHeight="1" x14ac:dyDescent="0.25">
      <c r="A3335" s="27">
        <v>46057</v>
      </c>
      <c r="B3335" s="80">
        <v>2026</v>
      </c>
      <c r="C3335" s="80">
        <v>2</v>
      </c>
      <c r="D3335" s="30" t="s">
        <v>37</v>
      </c>
      <c r="E3335" s="30" t="s">
        <v>42</v>
      </c>
      <c r="F3335" s="30" t="s">
        <v>43</v>
      </c>
      <c r="G3335" s="33">
        <v>0.79749999999999999</v>
      </c>
      <c r="H3335" s="83" t="s">
        <v>88</v>
      </c>
    </row>
    <row r="3336" spans="1:8" ht="16.5" customHeight="1" x14ac:dyDescent="0.25">
      <c r="A3336" s="27">
        <v>46057</v>
      </c>
      <c r="B3336" s="80">
        <v>2026</v>
      </c>
      <c r="C3336" s="80">
        <v>2</v>
      </c>
      <c r="D3336" s="30" t="s">
        <v>37</v>
      </c>
      <c r="E3336" s="30" t="s">
        <v>42</v>
      </c>
      <c r="F3336" s="30" t="s">
        <v>58</v>
      </c>
      <c r="G3336" s="33">
        <v>0.60641999999999996</v>
      </c>
      <c r="H3336" s="83" t="s">
        <v>88</v>
      </c>
    </row>
    <row r="3337" spans="1:8" ht="16.5" customHeight="1" x14ac:dyDescent="0.25">
      <c r="A3337" s="27">
        <v>46057</v>
      </c>
      <c r="B3337" s="80">
        <v>2026</v>
      </c>
      <c r="C3337" s="80">
        <v>2</v>
      </c>
      <c r="D3337" s="30" t="s">
        <v>37</v>
      </c>
      <c r="E3337" s="30" t="s">
        <v>46</v>
      </c>
      <c r="F3337" s="30" t="s">
        <v>43</v>
      </c>
      <c r="G3337" s="33">
        <v>12.98746824</v>
      </c>
      <c r="H3337" s="83" t="s">
        <v>88</v>
      </c>
    </row>
    <row r="3338" spans="1:8" ht="16.5" customHeight="1" x14ac:dyDescent="0.25">
      <c r="A3338" s="27">
        <v>46057</v>
      </c>
      <c r="B3338" s="80">
        <v>2026</v>
      </c>
      <c r="C3338" s="80">
        <v>2</v>
      </c>
      <c r="D3338" s="30" t="s">
        <v>37</v>
      </c>
      <c r="E3338" s="30" t="s">
        <v>46</v>
      </c>
      <c r="F3338" s="30" t="s">
        <v>51</v>
      </c>
      <c r="G3338" s="33">
        <v>1.16164</v>
      </c>
      <c r="H3338" s="83" t="s">
        <v>88</v>
      </c>
    </row>
    <row r="3339" spans="1:8" ht="16.5" customHeight="1" x14ac:dyDescent="0.25">
      <c r="A3339" s="27">
        <v>46057</v>
      </c>
      <c r="B3339" s="80">
        <v>2026</v>
      </c>
      <c r="C3339" s="80">
        <v>2</v>
      </c>
      <c r="D3339" s="30" t="s">
        <v>37</v>
      </c>
      <c r="E3339" s="30" t="s">
        <v>50</v>
      </c>
      <c r="F3339" s="30" t="s">
        <v>43</v>
      </c>
      <c r="G3339" s="33">
        <v>5.6871935999999996</v>
      </c>
      <c r="H3339" s="83" t="s">
        <v>88</v>
      </c>
    </row>
    <row r="3340" spans="1:8" ht="16.5" customHeight="1" x14ac:dyDescent="0.25">
      <c r="A3340" s="27">
        <v>46057</v>
      </c>
      <c r="B3340" s="80">
        <v>2026</v>
      </c>
      <c r="C3340" s="80">
        <v>2</v>
      </c>
      <c r="D3340" s="30" t="s">
        <v>37</v>
      </c>
      <c r="E3340" s="30" t="s">
        <v>50</v>
      </c>
      <c r="F3340" s="30" t="s">
        <v>47</v>
      </c>
      <c r="G3340" s="33">
        <v>0.74226599999999998</v>
      </c>
      <c r="H3340" s="83" t="s">
        <v>88</v>
      </c>
    </row>
    <row r="3341" spans="1:8" ht="16.5" customHeight="1" x14ac:dyDescent="0.25">
      <c r="A3341" s="27">
        <v>46057</v>
      </c>
      <c r="B3341" s="80">
        <v>2026</v>
      </c>
      <c r="C3341" s="80">
        <v>2</v>
      </c>
      <c r="D3341" s="30" t="s">
        <v>37</v>
      </c>
      <c r="E3341" s="30" t="s">
        <v>50</v>
      </c>
      <c r="F3341" s="30" t="s">
        <v>58</v>
      </c>
      <c r="G3341" s="33">
        <v>0.29268602999999999</v>
      </c>
      <c r="H3341" s="83" t="s">
        <v>88</v>
      </c>
    </row>
    <row r="3342" spans="1:8" ht="16.5" customHeight="1" x14ac:dyDescent="0.25">
      <c r="A3342" s="27">
        <v>46057</v>
      </c>
      <c r="B3342" s="80">
        <v>2026</v>
      </c>
      <c r="C3342" s="80">
        <v>2</v>
      </c>
      <c r="D3342" s="30" t="s">
        <v>37</v>
      </c>
      <c r="E3342" s="30" t="s">
        <v>54</v>
      </c>
      <c r="F3342" s="30" t="s">
        <v>43</v>
      </c>
      <c r="G3342" s="33">
        <v>3.09</v>
      </c>
      <c r="H3342" s="83" t="s">
        <v>88</v>
      </c>
    </row>
    <row r="3343" spans="1:8" ht="16.5" customHeight="1" x14ac:dyDescent="0.25">
      <c r="A3343" s="27">
        <v>46057</v>
      </c>
      <c r="B3343" s="80">
        <v>2026</v>
      </c>
      <c r="C3343" s="80">
        <v>2</v>
      </c>
      <c r="D3343" s="30" t="s">
        <v>37</v>
      </c>
      <c r="E3343" s="30" t="s">
        <v>64</v>
      </c>
      <c r="F3343" s="30" t="s">
        <v>43</v>
      </c>
      <c r="G3343" s="33">
        <v>3.528</v>
      </c>
      <c r="H3343" s="83" t="s">
        <v>89</v>
      </c>
    </row>
    <row r="3344" spans="1:8" ht="16.5" customHeight="1" x14ac:dyDescent="0.25">
      <c r="A3344" s="27">
        <v>46057</v>
      </c>
      <c r="B3344" s="80">
        <v>2026</v>
      </c>
      <c r="C3344" s="80">
        <v>2</v>
      </c>
      <c r="D3344" s="30" t="s">
        <v>37</v>
      </c>
      <c r="E3344" s="30" t="s">
        <v>66</v>
      </c>
      <c r="F3344" s="30" t="s">
        <v>39</v>
      </c>
      <c r="G3344" s="33">
        <v>25.256</v>
      </c>
      <c r="H3344" s="83" t="s">
        <v>89</v>
      </c>
    </row>
    <row r="3345" spans="1:8" ht="16.5" customHeight="1" x14ac:dyDescent="0.25">
      <c r="A3345" s="27">
        <v>46057</v>
      </c>
      <c r="B3345" s="80">
        <v>2026</v>
      </c>
      <c r="C3345" s="80">
        <v>2</v>
      </c>
      <c r="D3345" s="30" t="s">
        <v>37</v>
      </c>
      <c r="E3345" s="30" t="s">
        <v>74</v>
      </c>
      <c r="F3345" s="30" t="s">
        <v>43</v>
      </c>
      <c r="G3345" s="33">
        <v>7.3125</v>
      </c>
      <c r="H3345" s="83" t="s">
        <v>89</v>
      </c>
    </row>
    <row r="3346" spans="1:8" ht="16.5" customHeight="1" x14ac:dyDescent="0.25">
      <c r="A3346" s="27">
        <v>46058</v>
      </c>
      <c r="B3346" s="80">
        <v>2026</v>
      </c>
      <c r="C3346" s="80">
        <v>2</v>
      </c>
      <c r="D3346" s="30" t="s">
        <v>37</v>
      </c>
      <c r="E3346" s="30" t="s">
        <v>38</v>
      </c>
      <c r="F3346" s="30" t="s">
        <v>43</v>
      </c>
      <c r="G3346" s="33">
        <v>1.718</v>
      </c>
      <c r="H3346" s="83" t="s">
        <v>88</v>
      </c>
    </row>
    <row r="3347" spans="1:8" ht="16.5" customHeight="1" x14ac:dyDescent="0.25">
      <c r="A3347" s="27">
        <v>46058</v>
      </c>
      <c r="B3347" s="80">
        <v>2026</v>
      </c>
      <c r="C3347" s="80">
        <v>2</v>
      </c>
      <c r="D3347" s="30" t="s">
        <v>37</v>
      </c>
      <c r="E3347" s="30" t="s">
        <v>42</v>
      </c>
      <c r="F3347" s="30" t="s">
        <v>43</v>
      </c>
      <c r="G3347" s="33">
        <v>36.150799999999997</v>
      </c>
      <c r="H3347" s="83" t="s">
        <v>88</v>
      </c>
    </row>
    <row r="3348" spans="1:8" ht="16.5" customHeight="1" x14ac:dyDescent="0.25">
      <c r="A3348" s="27">
        <v>46058</v>
      </c>
      <c r="B3348" s="80">
        <v>2026</v>
      </c>
      <c r="C3348" s="80">
        <v>2</v>
      </c>
      <c r="D3348" s="30" t="s">
        <v>37</v>
      </c>
      <c r="E3348" s="30" t="s">
        <v>42</v>
      </c>
      <c r="F3348" s="30" t="s">
        <v>55</v>
      </c>
      <c r="G3348" s="33">
        <v>7</v>
      </c>
      <c r="H3348" s="83" t="s">
        <v>88</v>
      </c>
    </row>
    <row r="3349" spans="1:8" ht="16.5" customHeight="1" x14ac:dyDescent="0.25">
      <c r="A3349" s="27">
        <v>46058</v>
      </c>
      <c r="B3349" s="80">
        <v>2026</v>
      </c>
      <c r="C3349" s="80">
        <v>2</v>
      </c>
      <c r="D3349" s="30" t="s">
        <v>37</v>
      </c>
      <c r="E3349" s="30" t="s">
        <v>50</v>
      </c>
      <c r="F3349" s="30" t="s">
        <v>43</v>
      </c>
      <c r="G3349" s="33">
        <v>8.0568576000000007</v>
      </c>
      <c r="H3349" s="83" t="s">
        <v>88</v>
      </c>
    </row>
    <row r="3350" spans="1:8" ht="16.5" customHeight="1" x14ac:dyDescent="0.25">
      <c r="A3350" s="27">
        <v>46058</v>
      </c>
      <c r="B3350" s="80">
        <v>2026</v>
      </c>
      <c r="C3350" s="80">
        <v>2</v>
      </c>
      <c r="D3350" s="30" t="s">
        <v>37</v>
      </c>
      <c r="E3350" s="30" t="s">
        <v>50</v>
      </c>
      <c r="F3350" s="30" t="s">
        <v>47</v>
      </c>
      <c r="G3350" s="33">
        <v>0.120666</v>
      </c>
      <c r="H3350" s="83" t="s">
        <v>88</v>
      </c>
    </row>
    <row r="3351" spans="1:8" ht="16.5" customHeight="1" x14ac:dyDescent="0.25">
      <c r="A3351" s="27">
        <v>46058</v>
      </c>
      <c r="B3351" s="80">
        <v>2026</v>
      </c>
      <c r="C3351" s="80">
        <v>2</v>
      </c>
      <c r="D3351" s="30" t="s">
        <v>37</v>
      </c>
      <c r="E3351" s="30" t="s">
        <v>50</v>
      </c>
      <c r="F3351" s="30" t="s">
        <v>58</v>
      </c>
      <c r="G3351" s="33">
        <v>0.82876247999999997</v>
      </c>
      <c r="H3351" s="83" t="s">
        <v>88</v>
      </c>
    </row>
    <row r="3352" spans="1:8" ht="16.5" customHeight="1" x14ac:dyDescent="0.25">
      <c r="A3352" s="27">
        <v>46058</v>
      </c>
      <c r="B3352" s="80">
        <v>2026</v>
      </c>
      <c r="C3352" s="80">
        <v>2</v>
      </c>
      <c r="D3352" s="30" t="s">
        <v>37</v>
      </c>
      <c r="E3352" s="30" t="s">
        <v>54</v>
      </c>
      <c r="F3352" s="30" t="s">
        <v>43</v>
      </c>
      <c r="G3352" s="33">
        <v>4.1755500000000003</v>
      </c>
      <c r="H3352" s="83" t="s">
        <v>88</v>
      </c>
    </row>
    <row r="3353" spans="1:8" ht="16.5" customHeight="1" x14ac:dyDescent="0.25">
      <c r="A3353" s="27">
        <v>46058</v>
      </c>
      <c r="B3353" s="80">
        <v>2026</v>
      </c>
      <c r="C3353" s="80">
        <v>2</v>
      </c>
      <c r="D3353" s="30" t="s">
        <v>37</v>
      </c>
      <c r="E3353" s="30" t="s">
        <v>57</v>
      </c>
      <c r="F3353" s="30" t="s">
        <v>43</v>
      </c>
      <c r="G3353" s="33">
        <v>9.1449999999999996</v>
      </c>
      <c r="H3353" s="83" t="s">
        <v>89</v>
      </c>
    </row>
    <row r="3354" spans="1:8" ht="16.5" customHeight="1" x14ac:dyDescent="0.25">
      <c r="A3354" s="27">
        <v>46058</v>
      </c>
      <c r="B3354" s="80">
        <v>2026</v>
      </c>
      <c r="C3354" s="80">
        <v>2</v>
      </c>
      <c r="D3354" s="30" t="s">
        <v>37</v>
      </c>
      <c r="E3354" s="30" t="s">
        <v>68</v>
      </c>
      <c r="F3354" s="30" t="s">
        <v>43</v>
      </c>
      <c r="G3354" s="33">
        <v>4.7411599999999998</v>
      </c>
      <c r="H3354" s="83" t="s">
        <v>89</v>
      </c>
    </row>
    <row r="3355" spans="1:8" ht="16.5" customHeight="1" x14ac:dyDescent="0.25">
      <c r="A3355" s="27">
        <v>46059</v>
      </c>
      <c r="B3355" s="80">
        <v>2026</v>
      </c>
      <c r="C3355" s="80">
        <v>2</v>
      </c>
      <c r="D3355" s="30" t="s">
        <v>37</v>
      </c>
      <c r="E3355" s="30" t="s">
        <v>38</v>
      </c>
      <c r="F3355" s="30" t="s">
        <v>43</v>
      </c>
      <c r="G3355" s="33">
        <v>1.096228</v>
      </c>
      <c r="H3355" s="83" t="s">
        <v>88</v>
      </c>
    </row>
    <row r="3356" spans="1:8" ht="16.5" customHeight="1" x14ac:dyDescent="0.25">
      <c r="A3356" s="27">
        <v>46059</v>
      </c>
      <c r="B3356" s="80">
        <v>2026</v>
      </c>
      <c r="C3356" s="80">
        <v>2</v>
      </c>
      <c r="D3356" s="30" t="s">
        <v>37</v>
      </c>
      <c r="E3356" s="30" t="s">
        <v>38</v>
      </c>
      <c r="F3356" s="30" t="s">
        <v>58</v>
      </c>
      <c r="G3356" s="33">
        <v>9.6667199999999995E-2</v>
      </c>
      <c r="H3356" s="83" t="s">
        <v>88</v>
      </c>
    </row>
    <row r="3357" spans="1:8" ht="16.5" customHeight="1" x14ac:dyDescent="0.25">
      <c r="A3357" s="27">
        <v>46059</v>
      </c>
      <c r="B3357" s="80">
        <v>2026</v>
      </c>
      <c r="C3357" s="80">
        <v>2</v>
      </c>
      <c r="D3357" s="30" t="s">
        <v>37</v>
      </c>
      <c r="E3357" s="30" t="s">
        <v>42</v>
      </c>
      <c r="F3357" s="30" t="s">
        <v>43</v>
      </c>
      <c r="G3357" s="33">
        <v>3.14</v>
      </c>
      <c r="H3357" s="83" t="s">
        <v>88</v>
      </c>
    </row>
    <row r="3358" spans="1:8" ht="16.5" customHeight="1" x14ac:dyDescent="0.25">
      <c r="A3358" s="27">
        <v>46059</v>
      </c>
      <c r="B3358" s="80">
        <v>2026</v>
      </c>
      <c r="C3358" s="80">
        <v>2</v>
      </c>
      <c r="D3358" s="30" t="s">
        <v>37</v>
      </c>
      <c r="E3358" s="30" t="s">
        <v>46</v>
      </c>
      <c r="F3358" s="30" t="s">
        <v>43</v>
      </c>
      <c r="G3358" s="33">
        <v>3.7197944000000001</v>
      </c>
      <c r="H3358" s="83" t="s">
        <v>88</v>
      </c>
    </row>
    <row r="3359" spans="1:8" ht="16.5" customHeight="1" x14ac:dyDescent="0.25">
      <c r="A3359" s="27">
        <v>46059</v>
      </c>
      <c r="B3359" s="80">
        <v>2026</v>
      </c>
      <c r="C3359" s="80">
        <v>2</v>
      </c>
      <c r="D3359" s="30" t="s">
        <v>37</v>
      </c>
      <c r="E3359" s="30" t="s">
        <v>50</v>
      </c>
      <c r="F3359" s="30" t="s">
        <v>43</v>
      </c>
      <c r="G3359" s="33">
        <v>2.0772078999999999</v>
      </c>
      <c r="H3359" s="83" t="s">
        <v>88</v>
      </c>
    </row>
    <row r="3360" spans="1:8" ht="16.5" customHeight="1" x14ac:dyDescent="0.25">
      <c r="A3360" s="27">
        <v>46059</v>
      </c>
      <c r="B3360" s="80">
        <v>2026</v>
      </c>
      <c r="C3360" s="80">
        <v>2</v>
      </c>
      <c r="D3360" s="30" t="s">
        <v>37</v>
      </c>
      <c r="E3360" s="30" t="s">
        <v>50</v>
      </c>
      <c r="F3360" s="30" t="s">
        <v>47</v>
      </c>
      <c r="G3360" s="33">
        <v>0.31080000000000002</v>
      </c>
      <c r="H3360" s="83" t="s">
        <v>88</v>
      </c>
    </row>
    <row r="3361" spans="1:8" ht="16.5" customHeight="1" x14ac:dyDescent="0.25">
      <c r="A3361" s="27">
        <v>46059</v>
      </c>
      <c r="B3361" s="80">
        <v>2026</v>
      </c>
      <c r="C3361" s="80">
        <v>2</v>
      </c>
      <c r="D3361" s="30" t="s">
        <v>37</v>
      </c>
      <c r="E3361" s="30" t="s">
        <v>54</v>
      </c>
      <c r="F3361" s="30" t="s">
        <v>43</v>
      </c>
      <c r="G3361" s="33">
        <v>6.8777499999999998</v>
      </c>
      <c r="H3361" s="83" t="s">
        <v>88</v>
      </c>
    </row>
    <row r="3362" spans="1:8" ht="16.5" customHeight="1" x14ac:dyDescent="0.25">
      <c r="A3362" s="27">
        <v>46059</v>
      </c>
      <c r="B3362" s="80">
        <v>2026</v>
      </c>
      <c r="C3362" s="80">
        <v>2</v>
      </c>
      <c r="D3362" s="30" t="s">
        <v>37</v>
      </c>
      <c r="E3362" s="30" t="s">
        <v>66</v>
      </c>
      <c r="F3362" s="30" t="s">
        <v>39</v>
      </c>
      <c r="G3362" s="33">
        <v>27.925899999999999</v>
      </c>
      <c r="H3362" s="83" t="s">
        <v>89</v>
      </c>
    </row>
    <row r="3363" spans="1:8" ht="16.5" customHeight="1" x14ac:dyDescent="0.25">
      <c r="A3363" s="27">
        <v>46059</v>
      </c>
      <c r="B3363" s="80">
        <v>2026</v>
      </c>
      <c r="C3363" s="80">
        <v>2</v>
      </c>
      <c r="D3363" s="30" t="s">
        <v>37</v>
      </c>
      <c r="E3363" s="30" t="s">
        <v>73</v>
      </c>
      <c r="F3363" s="30" t="s">
        <v>43</v>
      </c>
      <c r="G3363" s="33">
        <v>0.28665000000000002</v>
      </c>
      <c r="H3363" s="83" t="s">
        <v>89</v>
      </c>
    </row>
    <row r="3364" spans="1:8" ht="16.5" customHeight="1" x14ac:dyDescent="0.25">
      <c r="A3364" s="27">
        <v>46062</v>
      </c>
      <c r="B3364" s="80">
        <v>2026</v>
      </c>
      <c r="C3364" s="80">
        <v>2</v>
      </c>
      <c r="D3364" s="30" t="s">
        <v>37</v>
      </c>
      <c r="E3364" s="30" t="s">
        <v>38</v>
      </c>
      <c r="F3364" s="30" t="s">
        <v>43</v>
      </c>
      <c r="G3364" s="33">
        <v>4.5644999999999998</v>
      </c>
      <c r="H3364" s="83" t="s">
        <v>88</v>
      </c>
    </row>
    <row r="3365" spans="1:8" ht="16.5" customHeight="1" x14ac:dyDescent="0.25">
      <c r="A3365" s="27">
        <v>46062</v>
      </c>
      <c r="B3365" s="80">
        <v>2026</v>
      </c>
      <c r="C3365" s="80">
        <v>2</v>
      </c>
      <c r="D3365" s="30" t="s">
        <v>37</v>
      </c>
      <c r="E3365" s="30" t="s">
        <v>38</v>
      </c>
      <c r="F3365" s="30" t="s">
        <v>55</v>
      </c>
      <c r="G3365" s="33">
        <v>0.57999999999999996</v>
      </c>
      <c r="H3365" s="83" t="s">
        <v>88</v>
      </c>
    </row>
    <row r="3366" spans="1:8" ht="16.5" customHeight="1" x14ac:dyDescent="0.25">
      <c r="A3366" s="27">
        <v>46062</v>
      </c>
      <c r="B3366" s="80">
        <v>2026</v>
      </c>
      <c r="C3366" s="80">
        <v>2</v>
      </c>
      <c r="D3366" s="30" t="s">
        <v>37</v>
      </c>
      <c r="E3366" s="30" t="s">
        <v>42</v>
      </c>
      <c r="F3366" s="30" t="s">
        <v>43</v>
      </c>
      <c r="G3366" s="33">
        <v>2.1840000000000002</v>
      </c>
      <c r="H3366" s="83" t="s">
        <v>88</v>
      </c>
    </row>
    <row r="3367" spans="1:8" ht="16.5" customHeight="1" x14ac:dyDescent="0.25">
      <c r="A3367" s="27">
        <v>46062</v>
      </c>
      <c r="B3367" s="80">
        <v>2026</v>
      </c>
      <c r="C3367" s="80">
        <v>2</v>
      </c>
      <c r="D3367" s="30" t="s">
        <v>37</v>
      </c>
      <c r="E3367" s="30" t="s">
        <v>46</v>
      </c>
      <c r="F3367" s="30" t="s">
        <v>43</v>
      </c>
      <c r="G3367" s="33">
        <v>1.0637648</v>
      </c>
      <c r="H3367" s="83" t="s">
        <v>88</v>
      </c>
    </row>
    <row r="3368" spans="1:8" ht="16.5" customHeight="1" x14ac:dyDescent="0.25">
      <c r="A3368" s="27">
        <v>46062</v>
      </c>
      <c r="B3368" s="80">
        <v>2026</v>
      </c>
      <c r="C3368" s="80">
        <v>2</v>
      </c>
      <c r="D3368" s="30" t="s">
        <v>37</v>
      </c>
      <c r="E3368" s="30" t="s">
        <v>50</v>
      </c>
      <c r="F3368" s="30" t="s">
        <v>43</v>
      </c>
      <c r="G3368" s="33">
        <v>14.0896244</v>
      </c>
      <c r="H3368" s="83" t="s">
        <v>88</v>
      </c>
    </row>
    <row r="3369" spans="1:8" ht="16.5" customHeight="1" x14ac:dyDescent="0.25">
      <c r="A3369" s="27">
        <v>46062</v>
      </c>
      <c r="B3369" s="80">
        <v>2026</v>
      </c>
      <c r="C3369" s="80">
        <v>2</v>
      </c>
      <c r="D3369" s="30" t="s">
        <v>37</v>
      </c>
      <c r="E3369" s="30" t="s">
        <v>50</v>
      </c>
      <c r="F3369" s="30" t="s">
        <v>55</v>
      </c>
      <c r="G3369" s="33">
        <v>0.53549999999999998</v>
      </c>
      <c r="H3369" s="83" t="s">
        <v>88</v>
      </c>
    </row>
    <row r="3370" spans="1:8" ht="16.5" customHeight="1" x14ac:dyDescent="0.25">
      <c r="A3370" s="27">
        <v>46062</v>
      </c>
      <c r="B3370" s="80">
        <v>2026</v>
      </c>
      <c r="C3370" s="80">
        <v>2</v>
      </c>
      <c r="D3370" s="30" t="s">
        <v>37</v>
      </c>
      <c r="E3370" s="30" t="s">
        <v>50</v>
      </c>
      <c r="F3370" s="30" t="s">
        <v>58</v>
      </c>
      <c r="G3370" s="33">
        <v>1.4202561279999999</v>
      </c>
      <c r="H3370" s="83" t="s">
        <v>88</v>
      </c>
    </row>
    <row r="3371" spans="1:8" ht="16.5" customHeight="1" x14ac:dyDescent="0.25">
      <c r="A3371" s="27">
        <v>46062</v>
      </c>
      <c r="B3371" s="80">
        <v>2026</v>
      </c>
      <c r="C3371" s="80">
        <v>2</v>
      </c>
      <c r="D3371" s="30" t="s">
        <v>37</v>
      </c>
      <c r="E3371" s="30" t="s">
        <v>54</v>
      </c>
      <c r="F3371" s="30" t="s">
        <v>43</v>
      </c>
      <c r="G3371" s="33">
        <v>17.177299999999999</v>
      </c>
      <c r="H3371" s="83" t="s">
        <v>88</v>
      </c>
    </row>
    <row r="3372" spans="1:8" ht="16.5" customHeight="1" x14ac:dyDescent="0.25">
      <c r="A3372" s="27">
        <v>46062</v>
      </c>
      <c r="B3372" s="80">
        <v>2026</v>
      </c>
      <c r="C3372" s="80">
        <v>2</v>
      </c>
      <c r="D3372" s="30" t="s">
        <v>37</v>
      </c>
      <c r="E3372" s="30" t="s">
        <v>57</v>
      </c>
      <c r="F3372" s="30" t="s">
        <v>39</v>
      </c>
      <c r="G3372" s="33">
        <v>74.052400000000006</v>
      </c>
      <c r="H3372" s="83" t="s">
        <v>89</v>
      </c>
    </row>
    <row r="3373" spans="1:8" ht="16.5" customHeight="1" x14ac:dyDescent="0.25">
      <c r="A3373" s="27">
        <v>46062</v>
      </c>
      <c r="B3373" s="80">
        <v>2026</v>
      </c>
      <c r="C3373" s="80">
        <v>2</v>
      </c>
      <c r="D3373" s="30" t="s">
        <v>37</v>
      </c>
      <c r="E3373" s="30" t="s">
        <v>64</v>
      </c>
      <c r="F3373" s="30" t="s">
        <v>55</v>
      </c>
      <c r="G3373" s="33">
        <v>0.6</v>
      </c>
      <c r="H3373" s="83" t="s">
        <v>89</v>
      </c>
    </row>
    <row r="3374" spans="1:8" ht="16.5" customHeight="1" x14ac:dyDescent="0.25">
      <c r="A3374" s="27">
        <v>46062</v>
      </c>
      <c r="B3374" s="80">
        <v>2026</v>
      </c>
      <c r="C3374" s="80">
        <v>2</v>
      </c>
      <c r="D3374" s="30" t="s">
        <v>37</v>
      </c>
      <c r="E3374" s="30" t="s">
        <v>66</v>
      </c>
      <c r="F3374" s="30" t="s">
        <v>43</v>
      </c>
      <c r="G3374" s="33">
        <v>2.6140500000000002</v>
      </c>
      <c r="H3374" s="83" t="s">
        <v>89</v>
      </c>
    </row>
    <row r="3375" spans="1:8" ht="16.5" customHeight="1" x14ac:dyDescent="0.25">
      <c r="A3375" s="27">
        <v>46062</v>
      </c>
      <c r="B3375" s="80">
        <v>2026</v>
      </c>
      <c r="C3375" s="80">
        <v>2</v>
      </c>
      <c r="D3375" s="30" t="s">
        <v>37</v>
      </c>
      <c r="E3375" s="30" t="s">
        <v>66</v>
      </c>
      <c r="F3375" s="30" t="s">
        <v>55</v>
      </c>
      <c r="G3375" s="33">
        <v>2.8</v>
      </c>
      <c r="H3375" s="83" t="s">
        <v>89</v>
      </c>
    </row>
    <row r="3376" spans="1:8" ht="16.5" customHeight="1" x14ac:dyDescent="0.25">
      <c r="A3376" s="27">
        <v>46062</v>
      </c>
      <c r="B3376" s="80">
        <v>2026</v>
      </c>
      <c r="C3376" s="80">
        <v>2</v>
      </c>
      <c r="D3376" s="30" t="s">
        <v>37</v>
      </c>
      <c r="E3376" s="30" t="s">
        <v>68</v>
      </c>
      <c r="F3376" s="30" t="s">
        <v>43</v>
      </c>
      <c r="G3376" s="33">
        <v>16.46</v>
      </c>
      <c r="H3376" s="83" t="s">
        <v>89</v>
      </c>
    </row>
    <row r="3377" spans="1:8" ht="16.5" customHeight="1" x14ac:dyDescent="0.25">
      <c r="A3377" s="27">
        <v>46062</v>
      </c>
      <c r="B3377" s="80">
        <v>2026</v>
      </c>
      <c r="C3377" s="80">
        <v>2</v>
      </c>
      <c r="D3377" s="30" t="s">
        <v>37</v>
      </c>
      <c r="E3377" s="30" t="s">
        <v>71</v>
      </c>
      <c r="F3377" s="30" t="s">
        <v>43</v>
      </c>
      <c r="G3377" s="33">
        <v>31.78</v>
      </c>
      <c r="H3377" s="83" t="s">
        <v>89</v>
      </c>
    </row>
    <row r="3378" spans="1:8" ht="16.5" customHeight="1" x14ac:dyDescent="0.25">
      <c r="A3378" s="27">
        <v>46062</v>
      </c>
      <c r="B3378" s="80">
        <v>2026</v>
      </c>
      <c r="C3378" s="80">
        <v>2</v>
      </c>
      <c r="D3378" s="30" t="s">
        <v>37</v>
      </c>
      <c r="E3378" s="30" t="s">
        <v>75</v>
      </c>
      <c r="F3378" s="30" t="s">
        <v>43</v>
      </c>
      <c r="G3378" s="33">
        <v>4.9427000000000003</v>
      </c>
      <c r="H3378" s="83" t="s">
        <v>48</v>
      </c>
    </row>
    <row r="3379" spans="1:8" ht="16.5" customHeight="1" x14ac:dyDescent="0.25">
      <c r="A3379" s="27">
        <v>46062</v>
      </c>
      <c r="B3379" s="80">
        <v>2026</v>
      </c>
      <c r="C3379" s="80">
        <v>2</v>
      </c>
      <c r="D3379" s="30" t="s">
        <v>37</v>
      </c>
      <c r="E3379" s="30" t="s">
        <v>76</v>
      </c>
      <c r="F3379" s="30" t="s">
        <v>43</v>
      </c>
      <c r="G3379" s="33">
        <v>1.089601</v>
      </c>
      <c r="H3379" s="83" t="s">
        <v>48</v>
      </c>
    </row>
    <row r="3380" spans="1:8" ht="16.5" customHeight="1" x14ac:dyDescent="0.25">
      <c r="A3380" s="27">
        <v>46063</v>
      </c>
      <c r="B3380" s="80">
        <v>2026</v>
      </c>
      <c r="C3380" s="80">
        <v>2</v>
      </c>
      <c r="D3380" s="30" t="s">
        <v>37</v>
      </c>
      <c r="E3380" s="30" t="s">
        <v>38</v>
      </c>
      <c r="F3380" s="30" t="s">
        <v>43</v>
      </c>
      <c r="G3380" s="33">
        <v>2.9670000000000001</v>
      </c>
      <c r="H3380" s="83" t="s">
        <v>88</v>
      </c>
    </row>
    <row r="3381" spans="1:8" ht="16.5" customHeight="1" x14ac:dyDescent="0.25">
      <c r="A3381" s="27">
        <v>46063</v>
      </c>
      <c r="B3381" s="80">
        <v>2026</v>
      </c>
      <c r="C3381" s="80">
        <v>2</v>
      </c>
      <c r="D3381" s="30" t="s">
        <v>37</v>
      </c>
      <c r="E3381" s="30" t="s">
        <v>46</v>
      </c>
      <c r="F3381" s="30" t="s">
        <v>43</v>
      </c>
      <c r="G3381" s="33">
        <v>41.660070840000003</v>
      </c>
      <c r="H3381" s="83" t="s">
        <v>88</v>
      </c>
    </row>
    <row r="3382" spans="1:8" ht="16.5" customHeight="1" x14ac:dyDescent="0.25">
      <c r="A3382" s="27">
        <v>46063</v>
      </c>
      <c r="B3382" s="80">
        <v>2026</v>
      </c>
      <c r="C3382" s="80">
        <v>2</v>
      </c>
      <c r="D3382" s="30" t="s">
        <v>37</v>
      </c>
      <c r="E3382" s="30" t="s">
        <v>46</v>
      </c>
      <c r="F3382" s="30" t="s">
        <v>47</v>
      </c>
      <c r="G3382" s="33">
        <v>0.13108</v>
      </c>
      <c r="H3382" s="83" t="s">
        <v>88</v>
      </c>
    </row>
    <row r="3383" spans="1:8" ht="16.5" customHeight="1" x14ac:dyDescent="0.25">
      <c r="A3383" s="27">
        <v>46063</v>
      </c>
      <c r="B3383" s="80">
        <v>2026</v>
      </c>
      <c r="C3383" s="80">
        <v>2</v>
      </c>
      <c r="D3383" s="30" t="s">
        <v>37</v>
      </c>
      <c r="E3383" s="30" t="s">
        <v>46</v>
      </c>
      <c r="F3383" s="30" t="s">
        <v>51</v>
      </c>
      <c r="G3383" s="33">
        <v>0.13108</v>
      </c>
      <c r="H3383" s="83" t="s">
        <v>88</v>
      </c>
    </row>
    <row r="3384" spans="1:8" ht="16.5" customHeight="1" x14ac:dyDescent="0.25">
      <c r="A3384" s="27">
        <v>46063</v>
      </c>
      <c r="B3384" s="80">
        <v>2026</v>
      </c>
      <c r="C3384" s="80">
        <v>2</v>
      </c>
      <c r="D3384" s="30" t="s">
        <v>37</v>
      </c>
      <c r="E3384" s="30" t="s">
        <v>46</v>
      </c>
      <c r="F3384" s="30" t="s">
        <v>58</v>
      </c>
      <c r="G3384" s="33">
        <v>1.1715876000000001</v>
      </c>
      <c r="H3384" s="83" t="s">
        <v>88</v>
      </c>
    </row>
    <row r="3385" spans="1:8" ht="16.5" customHeight="1" x14ac:dyDescent="0.25">
      <c r="A3385" s="27">
        <v>46063</v>
      </c>
      <c r="B3385" s="80">
        <v>2026</v>
      </c>
      <c r="C3385" s="80">
        <v>2</v>
      </c>
      <c r="D3385" s="30" t="s">
        <v>37</v>
      </c>
      <c r="E3385" s="30" t="s">
        <v>50</v>
      </c>
      <c r="F3385" s="30" t="s">
        <v>43</v>
      </c>
      <c r="G3385" s="33">
        <v>2.1634540000000002</v>
      </c>
      <c r="H3385" s="83" t="s">
        <v>88</v>
      </c>
    </row>
    <row r="3386" spans="1:8" ht="16.5" customHeight="1" x14ac:dyDescent="0.25">
      <c r="A3386" s="27">
        <v>46063</v>
      </c>
      <c r="B3386" s="80">
        <v>2026</v>
      </c>
      <c r="C3386" s="80">
        <v>2</v>
      </c>
      <c r="D3386" s="30" t="s">
        <v>37</v>
      </c>
      <c r="E3386" s="30" t="s">
        <v>50</v>
      </c>
      <c r="F3386" s="30" t="s">
        <v>47</v>
      </c>
      <c r="G3386" s="33">
        <v>1.3834500000000001</v>
      </c>
      <c r="H3386" s="83" t="s">
        <v>88</v>
      </c>
    </row>
    <row r="3387" spans="1:8" ht="16.5" customHeight="1" x14ac:dyDescent="0.25">
      <c r="A3387" s="27">
        <v>46063</v>
      </c>
      <c r="B3387" s="80">
        <v>2026</v>
      </c>
      <c r="C3387" s="80">
        <v>2</v>
      </c>
      <c r="D3387" s="30" t="s">
        <v>37</v>
      </c>
      <c r="E3387" s="30" t="s">
        <v>54</v>
      </c>
      <c r="F3387" s="30" t="s">
        <v>43</v>
      </c>
      <c r="G3387" s="33">
        <v>7.01</v>
      </c>
      <c r="H3387" s="83" t="s">
        <v>88</v>
      </c>
    </row>
    <row r="3388" spans="1:8" ht="16.5" customHeight="1" x14ac:dyDescent="0.25">
      <c r="A3388" s="27">
        <v>46063</v>
      </c>
      <c r="B3388" s="80">
        <v>2026</v>
      </c>
      <c r="C3388" s="80">
        <v>2</v>
      </c>
      <c r="D3388" s="30" t="s">
        <v>37</v>
      </c>
      <c r="E3388" s="30" t="s">
        <v>57</v>
      </c>
      <c r="F3388" s="30" t="s">
        <v>43</v>
      </c>
      <c r="G3388" s="33">
        <v>6.165</v>
      </c>
      <c r="H3388" s="83" t="s">
        <v>89</v>
      </c>
    </row>
    <row r="3389" spans="1:8" ht="16.5" customHeight="1" x14ac:dyDescent="0.25">
      <c r="A3389" s="27">
        <v>46063</v>
      </c>
      <c r="B3389" s="80">
        <v>2026</v>
      </c>
      <c r="C3389" s="80">
        <v>2</v>
      </c>
      <c r="D3389" s="30" t="s">
        <v>37</v>
      </c>
      <c r="E3389" s="30" t="s">
        <v>66</v>
      </c>
      <c r="F3389" s="30" t="s">
        <v>43</v>
      </c>
      <c r="G3389" s="33">
        <v>4.9950000000000001</v>
      </c>
      <c r="H3389" s="83" t="s">
        <v>89</v>
      </c>
    </row>
    <row r="3390" spans="1:8" ht="16.5" customHeight="1" x14ac:dyDescent="0.25">
      <c r="A3390" s="27">
        <v>46063</v>
      </c>
      <c r="B3390" s="80">
        <v>2026</v>
      </c>
      <c r="C3390" s="80">
        <v>2</v>
      </c>
      <c r="D3390" s="30" t="s">
        <v>37</v>
      </c>
      <c r="E3390" s="30" t="s">
        <v>68</v>
      </c>
      <c r="F3390" s="30" t="s">
        <v>43</v>
      </c>
      <c r="G3390" s="33">
        <v>2.7374999999999998</v>
      </c>
      <c r="H3390" s="83" t="s">
        <v>89</v>
      </c>
    </row>
    <row r="3391" spans="1:8" ht="16.5" customHeight="1" x14ac:dyDescent="0.25">
      <c r="A3391" s="27">
        <v>46063</v>
      </c>
      <c r="B3391" s="80">
        <v>2026</v>
      </c>
      <c r="C3391" s="80">
        <v>2</v>
      </c>
      <c r="D3391" s="30" t="s">
        <v>37</v>
      </c>
      <c r="E3391" s="30" t="s">
        <v>75</v>
      </c>
      <c r="F3391" s="30" t="s">
        <v>43</v>
      </c>
      <c r="G3391" s="33">
        <v>1.645</v>
      </c>
      <c r="H3391" s="83" t="s">
        <v>48</v>
      </c>
    </row>
    <row r="3392" spans="1:8" ht="16.5" customHeight="1" x14ac:dyDescent="0.25">
      <c r="A3392" s="27">
        <v>46063</v>
      </c>
      <c r="B3392" s="80">
        <v>2026</v>
      </c>
      <c r="C3392" s="80">
        <v>2</v>
      </c>
      <c r="D3392" s="30" t="s">
        <v>37</v>
      </c>
      <c r="E3392" s="30" t="s">
        <v>76</v>
      </c>
      <c r="F3392" s="30" t="s">
        <v>39</v>
      </c>
      <c r="G3392" s="33">
        <v>67.64</v>
      </c>
      <c r="H3392" s="83" t="s">
        <v>48</v>
      </c>
    </row>
    <row r="3393" spans="1:8" ht="16.5" customHeight="1" x14ac:dyDescent="0.25">
      <c r="A3393" s="27">
        <v>46064</v>
      </c>
      <c r="B3393" s="80">
        <v>2026</v>
      </c>
      <c r="C3393" s="80">
        <v>2</v>
      </c>
      <c r="D3393" s="30" t="s">
        <v>37</v>
      </c>
      <c r="E3393" s="30" t="s">
        <v>38</v>
      </c>
      <c r="F3393" s="30" t="s">
        <v>43</v>
      </c>
      <c r="G3393" s="33">
        <v>2.431</v>
      </c>
      <c r="H3393" s="83" t="s">
        <v>88</v>
      </c>
    </row>
    <row r="3394" spans="1:8" ht="16.5" customHeight="1" x14ac:dyDescent="0.25">
      <c r="A3394" s="27">
        <v>46064</v>
      </c>
      <c r="B3394" s="80">
        <v>2026</v>
      </c>
      <c r="C3394" s="80">
        <v>2</v>
      </c>
      <c r="D3394" s="30" t="s">
        <v>37</v>
      </c>
      <c r="E3394" s="30" t="s">
        <v>42</v>
      </c>
      <c r="F3394" s="30" t="s">
        <v>55</v>
      </c>
      <c r="G3394" s="33">
        <v>0.89700000000000002</v>
      </c>
      <c r="H3394" s="83" t="s">
        <v>88</v>
      </c>
    </row>
    <row r="3395" spans="1:8" ht="16.5" customHeight="1" x14ac:dyDescent="0.25">
      <c r="A3395" s="27">
        <v>46064</v>
      </c>
      <c r="B3395" s="80">
        <v>2026</v>
      </c>
      <c r="C3395" s="80">
        <v>2</v>
      </c>
      <c r="D3395" s="30" t="s">
        <v>37</v>
      </c>
      <c r="E3395" s="30" t="s">
        <v>46</v>
      </c>
      <c r="F3395" s="30" t="s">
        <v>58</v>
      </c>
      <c r="G3395" s="33">
        <v>0.40252072</v>
      </c>
      <c r="H3395" s="83" t="s">
        <v>88</v>
      </c>
    </row>
    <row r="3396" spans="1:8" ht="16.5" customHeight="1" x14ac:dyDescent="0.25">
      <c r="A3396" s="27">
        <v>46064</v>
      </c>
      <c r="B3396" s="80">
        <v>2026</v>
      </c>
      <c r="C3396" s="80">
        <v>2</v>
      </c>
      <c r="D3396" s="30" t="s">
        <v>37</v>
      </c>
      <c r="E3396" s="30" t="s">
        <v>50</v>
      </c>
      <c r="F3396" s="30" t="s">
        <v>43</v>
      </c>
      <c r="G3396" s="33">
        <v>2.051339</v>
      </c>
      <c r="H3396" s="83" t="s">
        <v>88</v>
      </c>
    </row>
    <row r="3397" spans="1:8" ht="16.5" customHeight="1" x14ac:dyDescent="0.25">
      <c r="A3397" s="27">
        <v>46064</v>
      </c>
      <c r="B3397" s="80">
        <v>2026</v>
      </c>
      <c r="C3397" s="80">
        <v>2</v>
      </c>
      <c r="D3397" s="30" t="s">
        <v>37</v>
      </c>
      <c r="E3397" s="30" t="s">
        <v>54</v>
      </c>
      <c r="F3397" s="30" t="s">
        <v>43</v>
      </c>
      <c r="G3397" s="33">
        <v>3.7362500000000001</v>
      </c>
      <c r="H3397" s="83" t="s">
        <v>88</v>
      </c>
    </row>
    <row r="3398" spans="1:8" ht="16.5" customHeight="1" x14ac:dyDescent="0.25">
      <c r="A3398" s="27">
        <v>46064</v>
      </c>
      <c r="B3398" s="80">
        <v>2026</v>
      </c>
      <c r="C3398" s="80">
        <v>2</v>
      </c>
      <c r="D3398" s="30" t="s">
        <v>37</v>
      </c>
      <c r="E3398" s="30" t="s">
        <v>61</v>
      </c>
      <c r="F3398" s="30" t="s">
        <v>43</v>
      </c>
      <c r="G3398" s="33">
        <v>1.31</v>
      </c>
      <c r="H3398" s="83" t="s">
        <v>89</v>
      </c>
    </row>
    <row r="3399" spans="1:8" ht="16.5" customHeight="1" x14ac:dyDescent="0.25">
      <c r="A3399" s="27">
        <v>46064</v>
      </c>
      <c r="B3399" s="80">
        <v>2026</v>
      </c>
      <c r="C3399" s="80">
        <v>2</v>
      </c>
      <c r="D3399" s="30" t="s">
        <v>37</v>
      </c>
      <c r="E3399" s="30" t="s">
        <v>66</v>
      </c>
      <c r="F3399" s="30" t="s">
        <v>43</v>
      </c>
      <c r="G3399" s="33">
        <v>39.840000000000003</v>
      </c>
      <c r="H3399" s="83" t="s">
        <v>89</v>
      </c>
    </row>
    <row r="3400" spans="1:8" ht="16.5" customHeight="1" x14ac:dyDescent="0.25">
      <c r="A3400" s="27">
        <v>46064</v>
      </c>
      <c r="B3400" s="80">
        <v>2026</v>
      </c>
      <c r="C3400" s="80">
        <v>2</v>
      </c>
      <c r="D3400" s="30" t="s">
        <v>37</v>
      </c>
      <c r="E3400" s="30" t="s">
        <v>68</v>
      </c>
      <c r="F3400" s="30" t="s">
        <v>43</v>
      </c>
      <c r="G3400" s="33">
        <v>0.48499999999999999</v>
      </c>
      <c r="H3400" s="83" t="s">
        <v>89</v>
      </c>
    </row>
    <row r="3401" spans="1:8" ht="16.5" customHeight="1" x14ac:dyDescent="0.25">
      <c r="A3401" s="27">
        <v>46064</v>
      </c>
      <c r="B3401" s="80">
        <v>2026</v>
      </c>
      <c r="C3401" s="80">
        <v>2</v>
      </c>
      <c r="D3401" s="30" t="s">
        <v>37</v>
      </c>
      <c r="E3401" s="30" t="s">
        <v>75</v>
      </c>
      <c r="F3401" s="30" t="s">
        <v>43</v>
      </c>
      <c r="G3401" s="33">
        <v>1.0378575000000001</v>
      </c>
      <c r="H3401" s="83" t="s">
        <v>48</v>
      </c>
    </row>
    <row r="3402" spans="1:8" ht="16.5" customHeight="1" x14ac:dyDescent="0.25">
      <c r="A3402" s="27">
        <v>46065</v>
      </c>
      <c r="B3402" s="80">
        <v>2026</v>
      </c>
      <c r="C3402" s="80">
        <v>2</v>
      </c>
      <c r="D3402" s="30" t="s">
        <v>37</v>
      </c>
      <c r="E3402" s="30" t="s">
        <v>38</v>
      </c>
      <c r="F3402" s="30" t="s">
        <v>43</v>
      </c>
      <c r="G3402" s="33">
        <v>8.1682279999999992</v>
      </c>
      <c r="H3402" s="83" t="s">
        <v>88</v>
      </c>
    </row>
    <row r="3403" spans="1:8" ht="16.5" customHeight="1" x14ac:dyDescent="0.25">
      <c r="A3403" s="27">
        <v>46065</v>
      </c>
      <c r="B3403" s="80">
        <v>2026</v>
      </c>
      <c r="C3403" s="80">
        <v>2</v>
      </c>
      <c r="D3403" s="30" t="s">
        <v>37</v>
      </c>
      <c r="E3403" s="30" t="s">
        <v>42</v>
      </c>
      <c r="F3403" s="30" t="s">
        <v>43</v>
      </c>
      <c r="G3403" s="33">
        <v>9.0751399999999993</v>
      </c>
      <c r="H3403" s="83" t="s">
        <v>88</v>
      </c>
    </row>
    <row r="3404" spans="1:8" ht="16.5" customHeight="1" x14ac:dyDescent="0.25">
      <c r="A3404" s="27">
        <v>46065</v>
      </c>
      <c r="B3404" s="80">
        <v>2026</v>
      </c>
      <c r="C3404" s="80">
        <v>2</v>
      </c>
      <c r="D3404" s="30" t="s">
        <v>37</v>
      </c>
      <c r="E3404" s="30" t="s">
        <v>42</v>
      </c>
      <c r="F3404" s="30" t="s">
        <v>55</v>
      </c>
      <c r="G3404" s="33">
        <v>1.83</v>
      </c>
      <c r="H3404" s="83" t="s">
        <v>88</v>
      </c>
    </row>
    <row r="3405" spans="1:8" ht="16.5" customHeight="1" x14ac:dyDescent="0.25">
      <c r="A3405" s="27">
        <v>46065</v>
      </c>
      <c r="B3405" s="80">
        <v>2026</v>
      </c>
      <c r="C3405" s="80">
        <v>2</v>
      </c>
      <c r="D3405" s="30" t="s">
        <v>37</v>
      </c>
      <c r="E3405" s="30" t="s">
        <v>46</v>
      </c>
      <c r="F3405" s="30" t="s">
        <v>43</v>
      </c>
      <c r="G3405" s="33">
        <v>8.7366603999999999</v>
      </c>
      <c r="H3405" s="83" t="s">
        <v>88</v>
      </c>
    </row>
    <row r="3406" spans="1:8" ht="16.5" customHeight="1" x14ac:dyDescent="0.25">
      <c r="A3406" s="27">
        <v>46065</v>
      </c>
      <c r="B3406" s="80">
        <v>2026</v>
      </c>
      <c r="C3406" s="80">
        <v>2</v>
      </c>
      <c r="D3406" s="30" t="s">
        <v>37</v>
      </c>
      <c r="E3406" s="30" t="s">
        <v>46</v>
      </c>
      <c r="F3406" s="30" t="s">
        <v>55</v>
      </c>
      <c r="G3406" s="33">
        <v>0.46407599999999999</v>
      </c>
      <c r="H3406" s="83" t="s">
        <v>88</v>
      </c>
    </row>
    <row r="3407" spans="1:8" ht="16.5" customHeight="1" x14ac:dyDescent="0.25">
      <c r="A3407" s="27">
        <v>46065</v>
      </c>
      <c r="B3407" s="80">
        <v>2026</v>
      </c>
      <c r="C3407" s="80">
        <v>2</v>
      </c>
      <c r="D3407" s="30" t="s">
        <v>37</v>
      </c>
      <c r="E3407" s="30" t="s">
        <v>46</v>
      </c>
      <c r="F3407" s="30" t="s">
        <v>58</v>
      </c>
      <c r="G3407" s="33">
        <v>1.0047999999999999</v>
      </c>
      <c r="H3407" s="83" t="s">
        <v>88</v>
      </c>
    </row>
    <row r="3408" spans="1:8" ht="16.5" customHeight="1" x14ac:dyDescent="0.25">
      <c r="A3408" s="27">
        <v>46065</v>
      </c>
      <c r="B3408" s="80">
        <v>2026</v>
      </c>
      <c r="C3408" s="80">
        <v>2</v>
      </c>
      <c r="D3408" s="30" t="s">
        <v>37</v>
      </c>
      <c r="E3408" s="30" t="s">
        <v>50</v>
      </c>
      <c r="F3408" s="30" t="s">
        <v>43</v>
      </c>
      <c r="G3408" s="33">
        <v>15.847548700000001</v>
      </c>
      <c r="H3408" s="83" t="s">
        <v>88</v>
      </c>
    </row>
    <row r="3409" spans="1:8" ht="16.5" customHeight="1" x14ac:dyDescent="0.25">
      <c r="A3409" s="27">
        <v>46065</v>
      </c>
      <c r="B3409" s="80">
        <v>2026</v>
      </c>
      <c r="C3409" s="80">
        <v>2</v>
      </c>
      <c r="D3409" s="30" t="s">
        <v>37</v>
      </c>
      <c r="E3409" s="30" t="s">
        <v>50</v>
      </c>
      <c r="F3409" s="30" t="s">
        <v>47</v>
      </c>
      <c r="G3409" s="33">
        <v>2.1756000000000002</v>
      </c>
      <c r="H3409" s="83" t="s">
        <v>88</v>
      </c>
    </row>
    <row r="3410" spans="1:8" ht="16.5" customHeight="1" x14ac:dyDescent="0.25">
      <c r="A3410" s="27">
        <v>46065</v>
      </c>
      <c r="B3410" s="80">
        <v>2026</v>
      </c>
      <c r="C3410" s="80">
        <v>2</v>
      </c>
      <c r="D3410" s="30" t="s">
        <v>37</v>
      </c>
      <c r="E3410" s="30" t="s">
        <v>50</v>
      </c>
      <c r="F3410" s="30" t="s">
        <v>55</v>
      </c>
      <c r="G3410" s="33">
        <v>0.71811000000000003</v>
      </c>
      <c r="H3410" s="83" t="s">
        <v>88</v>
      </c>
    </row>
    <row r="3411" spans="1:8" ht="16.5" customHeight="1" x14ac:dyDescent="0.25">
      <c r="A3411" s="27">
        <v>46065</v>
      </c>
      <c r="B3411" s="80">
        <v>2026</v>
      </c>
      <c r="C3411" s="80">
        <v>2</v>
      </c>
      <c r="D3411" s="30" t="s">
        <v>37</v>
      </c>
      <c r="E3411" s="30" t="s">
        <v>50</v>
      </c>
      <c r="F3411" s="30" t="s">
        <v>58</v>
      </c>
      <c r="G3411" s="33">
        <v>2.2793406699999998</v>
      </c>
      <c r="H3411" s="83" t="s">
        <v>88</v>
      </c>
    </row>
    <row r="3412" spans="1:8" ht="16.5" customHeight="1" x14ac:dyDescent="0.25">
      <c r="A3412" s="27">
        <v>46065</v>
      </c>
      <c r="B3412" s="80">
        <v>2026</v>
      </c>
      <c r="C3412" s="80">
        <v>2</v>
      </c>
      <c r="D3412" s="30" t="s">
        <v>37</v>
      </c>
      <c r="E3412" s="30" t="s">
        <v>54</v>
      </c>
      <c r="F3412" s="30" t="s">
        <v>43</v>
      </c>
      <c r="G3412" s="33">
        <v>8.8085000000000004</v>
      </c>
      <c r="H3412" s="83" t="s">
        <v>88</v>
      </c>
    </row>
    <row r="3413" spans="1:8" ht="16.5" customHeight="1" x14ac:dyDescent="0.25">
      <c r="A3413" s="27">
        <v>46065</v>
      </c>
      <c r="B3413" s="80">
        <v>2026</v>
      </c>
      <c r="C3413" s="80">
        <v>2</v>
      </c>
      <c r="D3413" s="30" t="s">
        <v>37</v>
      </c>
      <c r="E3413" s="30" t="s">
        <v>54</v>
      </c>
      <c r="F3413" s="30" t="s">
        <v>47</v>
      </c>
      <c r="G3413" s="33">
        <v>0.13</v>
      </c>
      <c r="H3413" s="83" t="s">
        <v>88</v>
      </c>
    </row>
    <row r="3414" spans="1:8" ht="16.5" customHeight="1" x14ac:dyDescent="0.25">
      <c r="A3414" s="27">
        <v>46065</v>
      </c>
      <c r="B3414" s="80">
        <v>2026</v>
      </c>
      <c r="C3414" s="80">
        <v>2</v>
      </c>
      <c r="D3414" s="30" t="s">
        <v>37</v>
      </c>
      <c r="E3414" s="30" t="s">
        <v>57</v>
      </c>
      <c r="F3414" s="30" t="s">
        <v>43</v>
      </c>
      <c r="G3414" s="33">
        <v>3.98325</v>
      </c>
      <c r="H3414" s="83" t="s">
        <v>89</v>
      </c>
    </row>
    <row r="3415" spans="1:8" ht="16.5" customHeight="1" x14ac:dyDescent="0.25">
      <c r="A3415" s="27">
        <v>46065</v>
      </c>
      <c r="B3415" s="80">
        <v>2026</v>
      </c>
      <c r="C3415" s="80">
        <v>2</v>
      </c>
      <c r="D3415" s="30" t="s">
        <v>37</v>
      </c>
      <c r="E3415" s="30" t="s">
        <v>64</v>
      </c>
      <c r="F3415" s="30" t="s">
        <v>43</v>
      </c>
      <c r="G3415" s="33">
        <v>2.85</v>
      </c>
      <c r="H3415" s="83" t="s">
        <v>89</v>
      </c>
    </row>
    <row r="3416" spans="1:8" ht="16.5" customHeight="1" x14ac:dyDescent="0.25">
      <c r="A3416" s="27">
        <v>46065</v>
      </c>
      <c r="B3416" s="80">
        <v>2026</v>
      </c>
      <c r="C3416" s="80">
        <v>2</v>
      </c>
      <c r="D3416" s="30" t="s">
        <v>37</v>
      </c>
      <c r="E3416" s="30" t="s">
        <v>66</v>
      </c>
      <c r="F3416" s="30" t="s">
        <v>43</v>
      </c>
      <c r="G3416" s="33">
        <v>37.225000000000001</v>
      </c>
      <c r="H3416" s="83" t="s">
        <v>89</v>
      </c>
    </row>
    <row r="3417" spans="1:8" ht="16.5" customHeight="1" x14ac:dyDescent="0.25">
      <c r="A3417" s="27">
        <v>46065</v>
      </c>
      <c r="B3417" s="80">
        <v>2026</v>
      </c>
      <c r="C3417" s="80">
        <v>2</v>
      </c>
      <c r="D3417" s="30" t="s">
        <v>37</v>
      </c>
      <c r="E3417" s="30" t="s">
        <v>68</v>
      </c>
      <c r="F3417" s="30" t="s">
        <v>43</v>
      </c>
      <c r="G3417" s="33">
        <v>1.0004999999999999</v>
      </c>
      <c r="H3417" s="83" t="s">
        <v>89</v>
      </c>
    </row>
    <row r="3418" spans="1:8" ht="16.5" customHeight="1" x14ac:dyDescent="0.25">
      <c r="A3418" s="27">
        <v>46065</v>
      </c>
      <c r="B3418" s="80">
        <v>2026</v>
      </c>
      <c r="C3418" s="80">
        <v>2</v>
      </c>
      <c r="D3418" s="30" t="s">
        <v>37</v>
      </c>
      <c r="E3418" s="30" t="s">
        <v>75</v>
      </c>
      <c r="F3418" s="30" t="s">
        <v>43</v>
      </c>
      <c r="G3418" s="33">
        <v>139.71109525</v>
      </c>
      <c r="H3418" s="83" t="s">
        <v>48</v>
      </c>
    </row>
    <row r="3419" spans="1:8" ht="16.5" customHeight="1" x14ac:dyDescent="0.25">
      <c r="A3419" s="27">
        <v>46066</v>
      </c>
      <c r="B3419" s="80">
        <v>2026</v>
      </c>
      <c r="C3419" s="80">
        <v>2</v>
      </c>
      <c r="D3419" s="30" t="s">
        <v>37</v>
      </c>
      <c r="E3419" s="30" t="s">
        <v>38</v>
      </c>
      <c r="F3419" s="30" t="s">
        <v>43</v>
      </c>
      <c r="G3419" s="33">
        <v>1.36</v>
      </c>
      <c r="H3419" s="83" t="s">
        <v>88</v>
      </c>
    </row>
    <row r="3420" spans="1:8" ht="16.5" customHeight="1" x14ac:dyDescent="0.25">
      <c r="A3420" s="27">
        <v>46066</v>
      </c>
      <c r="B3420" s="80">
        <v>2026</v>
      </c>
      <c r="C3420" s="80">
        <v>2</v>
      </c>
      <c r="D3420" s="30" t="s">
        <v>37</v>
      </c>
      <c r="E3420" s="30" t="s">
        <v>46</v>
      </c>
      <c r="F3420" s="30" t="s">
        <v>43</v>
      </c>
      <c r="G3420" s="33">
        <v>3.6926283899999999</v>
      </c>
      <c r="H3420" s="83" t="s">
        <v>88</v>
      </c>
    </row>
    <row r="3421" spans="1:8" ht="16.5" customHeight="1" x14ac:dyDescent="0.25">
      <c r="A3421" s="27">
        <v>46066</v>
      </c>
      <c r="B3421" s="80">
        <v>2026</v>
      </c>
      <c r="C3421" s="80">
        <v>2</v>
      </c>
      <c r="D3421" s="30" t="s">
        <v>37</v>
      </c>
      <c r="E3421" s="30" t="s">
        <v>46</v>
      </c>
      <c r="F3421" s="30" t="s">
        <v>58</v>
      </c>
      <c r="G3421" s="33">
        <v>0.56673750000000001</v>
      </c>
      <c r="H3421" s="83" t="s">
        <v>88</v>
      </c>
    </row>
    <row r="3422" spans="1:8" ht="16.5" customHeight="1" x14ac:dyDescent="0.25">
      <c r="A3422" s="27">
        <v>46066</v>
      </c>
      <c r="B3422" s="80">
        <v>2026</v>
      </c>
      <c r="C3422" s="80">
        <v>2</v>
      </c>
      <c r="D3422" s="30" t="s">
        <v>37</v>
      </c>
      <c r="E3422" s="30" t="s">
        <v>50</v>
      </c>
      <c r="F3422" s="30" t="s">
        <v>39</v>
      </c>
      <c r="G3422" s="33">
        <v>1.8898349999999999</v>
      </c>
      <c r="H3422" s="83" t="s">
        <v>88</v>
      </c>
    </row>
    <row r="3423" spans="1:8" ht="16.5" customHeight="1" x14ac:dyDescent="0.25">
      <c r="A3423" s="27">
        <v>46066</v>
      </c>
      <c r="B3423" s="80">
        <v>2026</v>
      </c>
      <c r="C3423" s="80">
        <v>2</v>
      </c>
      <c r="D3423" s="30" t="s">
        <v>37</v>
      </c>
      <c r="E3423" s="30" t="s">
        <v>50</v>
      </c>
      <c r="F3423" s="30" t="s">
        <v>43</v>
      </c>
      <c r="G3423" s="33">
        <v>48.027084299999999</v>
      </c>
      <c r="H3423" s="83" t="s">
        <v>88</v>
      </c>
    </row>
    <row r="3424" spans="1:8" ht="16.5" customHeight="1" x14ac:dyDescent="0.25">
      <c r="A3424" s="27">
        <v>46066</v>
      </c>
      <c r="B3424" s="80">
        <v>2026</v>
      </c>
      <c r="C3424" s="80">
        <v>2</v>
      </c>
      <c r="D3424" s="30" t="s">
        <v>37</v>
      </c>
      <c r="E3424" s="30" t="s">
        <v>50</v>
      </c>
      <c r="F3424" s="30" t="s">
        <v>47</v>
      </c>
      <c r="G3424" s="33">
        <v>0.62160000000000004</v>
      </c>
      <c r="H3424" s="83" t="s">
        <v>88</v>
      </c>
    </row>
    <row r="3425" spans="1:8" ht="16.5" customHeight="1" x14ac:dyDescent="0.25">
      <c r="A3425" s="27">
        <v>46066</v>
      </c>
      <c r="B3425" s="80">
        <v>2026</v>
      </c>
      <c r="C3425" s="80">
        <v>2</v>
      </c>
      <c r="D3425" s="30" t="s">
        <v>37</v>
      </c>
      <c r="E3425" s="30" t="s">
        <v>50</v>
      </c>
      <c r="F3425" s="30" t="s">
        <v>55</v>
      </c>
      <c r="G3425" s="33">
        <v>3.6590400000000001</v>
      </c>
      <c r="H3425" s="83" t="s">
        <v>88</v>
      </c>
    </row>
    <row r="3426" spans="1:8" ht="16.5" customHeight="1" x14ac:dyDescent="0.25">
      <c r="A3426" s="27">
        <v>46066</v>
      </c>
      <c r="B3426" s="80">
        <v>2026</v>
      </c>
      <c r="C3426" s="80">
        <v>2</v>
      </c>
      <c r="D3426" s="30" t="s">
        <v>37</v>
      </c>
      <c r="E3426" s="30" t="s">
        <v>50</v>
      </c>
      <c r="F3426" s="30" t="s">
        <v>58</v>
      </c>
      <c r="G3426" s="33">
        <v>9.620831892</v>
      </c>
      <c r="H3426" s="83" t="s">
        <v>88</v>
      </c>
    </row>
    <row r="3427" spans="1:8" ht="16.5" customHeight="1" x14ac:dyDescent="0.25">
      <c r="A3427" s="27">
        <v>46066</v>
      </c>
      <c r="B3427" s="80">
        <v>2026</v>
      </c>
      <c r="C3427" s="80">
        <v>2</v>
      </c>
      <c r="D3427" s="30" t="s">
        <v>37</v>
      </c>
      <c r="E3427" s="30" t="s">
        <v>54</v>
      </c>
      <c r="F3427" s="30" t="s">
        <v>43</v>
      </c>
      <c r="G3427" s="33">
        <v>3.85642</v>
      </c>
      <c r="H3427" s="83" t="s">
        <v>88</v>
      </c>
    </row>
    <row r="3428" spans="1:8" ht="16.5" customHeight="1" x14ac:dyDescent="0.25">
      <c r="A3428" s="27">
        <v>46066</v>
      </c>
      <c r="B3428" s="80">
        <v>2026</v>
      </c>
      <c r="C3428" s="80">
        <v>2</v>
      </c>
      <c r="D3428" s="30" t="s">
        <v>37</v>
      </c>
      <c r="E3428" s="30" t="s">
        <v>66</v>
      </c>
      <c r="F3428" s="30" t="s">
        <v>43</v>
      </c>
      <c r="G3428" s="33">
        <v>17.850950000000001</v>
      </c>
      <c r="H3428" s="83" t="s">
        <v>89</v>
      </c>
    </row>
    <row r="3429" spans="1:8" ht="16.5" customHeight="1" x14ac:dyDescent="0.25">
      <c r="A3429" s="27">
        <v>46066</v>
      </c>
      <c r="B3429" s="80">
        <v>2026</v>
      </c>
      <c r="C3429" s="80">
        <v>2</v>
      </c>
      <c r="D3429" s="30" t="s">
        <v>37</v>
      </c>
      <c r="E3429" s="30" t="s">
        <v>68</v>
      </c>
      <c r="F3429" s="30" t="s">
        <v>39</v>
      </c>
      <c r="G3429" s="33">
        <v>0.85499999999999998</v>
      </c>
      <c r="H3429" s="83" t="s">
        <v>89</v>
      </c>
    </row>
    <row r="3430" spans="1:8" ht="16.5" customHeight="1" x14ac:dyDescent="0.25">
      <c r="A3430" s="27">
        <v>46066</v>
      </c>
      <c r="B3430" s="80">
        <v>2026</v>
      </c>
      <c r="C3430" s="80">
        <v>2</v>
      </c>
      <c r="D3430" s="30" t="s">
        <v>37</v>
      </c>
      <c r="E3430" s="30" t="s">
        <v>68</v>
      </c>
      <c r="F3430" s="30" t="s">
        <v>43</v>
      </c>
      <c r="G3430" s="33">
        <v>7.95</v>
      </c>
      <c r="H3430" s="83" t="s">
        <v>89</v>
      </c>
    </row>
    <row r="3431" spans="1:8" ht="16.5" customHeight="1" x14ac:dyDescent="0.25">
      <c r="A3431" s="27">
        <v>46066</v>
      </c>
      <c r="B3431" s="80">
        <v>2026</v>
      </c>
      <c r="C3431" s="80">
        <v>2</v>
      </c>
      <c r="D3431" s="30" t="s">
        <v>37</v>
      </c>
      <c r="E3431" s="30" t="s">
        <v>71</v>
      </c>
      <c r="F3431" s="30" t="s">
        <v>43</v>
      </c>
      <c r="G3431" s="33">
        <v>2.15</v>
      </c>
      <c r="H3431" s="83" t="s">
        <v>89</v>
      </c>
    </row>
    <row r="3432" spans="1:8" ht="16.5" customHeight="1" x14ac:dyDescent="0.25">
      <c r="A3432" s="27">
        <v>46066</v>
      </c>
      <c r="B3432" s="80">
        <v>2026</v>
      </c>
      <c r="C3432" s="80">
        <v>2</v>
      </c>
      <c r="D3432" s="30" t="s">
        <v>37</v>
      </c>
      <c r="E3432" s="30" t="s">
        <v>75</v>
      </c>
      <c r="F3432" s="30" t="s">
        <v>55</v>
      </c>
      <c r="G3432" s="33">
        <v>0.49</v>
      </c>
      <c r="H3432" s="83" t="s">
        <v>48</v>
      </c>
    </row>
    <row r="3433" spans="1:8" ht="16.5" customHeight="1" x14ac:dyDescent="0.25">
      <c r="A3433" s="27">
        <v>46069</v>
      </c>
      <c r="B3433" s="80">
        <v>2026</v>
      </c>
      <c r="C3433" s="80">
        <v>2</v>
      </c>
      <c r="D3433" s="30" t="s">
        <v>37</v>
      </c>
      <c r="E3433" s="30" t="s">
        <v>38</v>
      </c>
      <c r="F3433" s="30" t="s">
        <v>43</v>
      </c>
      <c r="G3433" s="33">
        <v>3.931</v>
      </c>
      <c r="H3433" s="83" t="s">
        <v>88</v>
      </c>
    </row>
    <row r="3434" spans="1:8" ht="16.5" customHeight="1" x14ac:dyDescent="0.25">
      <c r="A3434" s="27">
        <v>46069</v>
      </c>
      <c r="B3434" s="80">
        <v>2026</v>
      </c>
      <c r="C3434" s="80">
        <v>2</v>
      </c>
      <c r="D3434" s="30" t="s">
        <v>37</v>
      </c>
      <c r="E3434" s="30" t="s">
        <v>42</v>
      </c>
      <c r="F3434" s="30" t="s">
        <v>43</v>
      </c>
      <c r="G3434" s="33">
        <v>4.3940000000000001</v>
      </c>
      <c r="H3434" s="83" t="s">
        <v>88</v>
      </c>
    </row>
    <row r="3435" spans="1:8" ht="16.5" customHeight="1" x14ac:dyDescent="0.25">
      <c r="A3435" s="27">
        <v>46069</v>
      </c>
      <c r="B3435" s="80">
        <v>2026</v>
      </c>
      <c r="C3435" s="80">
        <v>2</v>
      </c>
      <c r="D3435" s="30" t="s">
        <v>37</v>
      </c>
      <c r="E3435" s="30" t="s">
        <v>50</v>
      </c>
      <c r="F3435" s="30" t="s">
        <v>43</v>
      </c>
      <c r="G3435" s="33">
        <v>5.8122527499999999</v>
      </c>
      <c r="H3435" s="83" t="s">
        <v>88</v>
      </c>
    </row>
    <row r="3436" spans="1:8" ht="16.5" customHeight="1" x14ac:dyDescent="0.25">
      <c r="A3436" s="27">
        <v>46069</v>
      </c>
      <c r="B3436" s="80">
        <v>2026</v>
      </c>
      <c r="C3436" s="80">
        <v>2</v>
      </c>
      <c r="D3436" s="30" t="s">
        <v>37</v>
      </c>
      <c r="E3436" s="30" t="s">
        <v>50</v>
      </c>
      <c r="F3436" s="30" t="s">
        <v>47</v>
      </c>
      <c r="G3436" s="33">
        <v>1.0423500000000001</v>
      </c>
      <c r="H3436" s="83" t="s">
        <v>88</v>
      </c>
    </row>
    <row r="3437" spans="1:8" ht="16.5" customHeight="1" x14ac:dyDescent="0.25">
      <c r="A3437" s="27">
        <v>46069</v>
      </c>
      <c r="B3437" s="80">
        <v>2026</v>
      </c>
      <c r="C3437" s="80">
        <v>2</v>
      </c>
      <c r="D3437" s="30" t="s">
        <v>37</v>
      </c>
      <c r="E3437" s="30" t="s">
        <v>50</v>
      </c>
      <c r="F3437" s="30" t="s">
        <v>51</v>
      </c>
      <c r="G3437" s="33">
        <v>0.61624999999999996</v>
      </c>
      <c r="H3437" s="83" t="s">
        <v>88</v>
      </c>
    </row>
    <row r="3438" spans="1:8" ht="16.5" customHeight="1" x14ac:dyDescent="0.25">
      <c r="A3438" s="27">
        <v>46069</v>
      </c>
      <c r="B3438" s="80">
        <v>2026</v>
      </c>
      <c r="C3438" s="80">
        <v>2</v>
      </c>
      <c r="D3438" s="30" t="s">
        <v>37</v>
      </c>
      <c r="E3438" s="30" t="s">
        <v>50</v>
      </c>
      <c r="F3438" s="30" t="s">
        <v>55</v>
      </c>
      <c r="G3438" s="33">
        <v>3.6692932800000002</v>
      </c>
      <c r="H3438" s="83" t="s">
        <v>88</v>
      </c>
    </row>
    <row r="3439" spans="1:8" ht="16.5" customHeight="1" x14ac:dyDescent="0.25">
      <c r="A3439" s="27">
        <v>46069</v>
      </c>
      <c r="B3439" s="80">
        <v>2026</v>
      </c>
      <c r="C3439" s="80">
        <v>2</v>
      </c>
      <c r="D3439" s="30" t="s">
        <v>37</v>
      </c>
      <c r="E3439" s="30" t="s">
        <v>50</v>
      </c>
      <c r="F3439" s="30" t="s">
        <v>58</v>
      </c>
      <c r="G3439" s="33">
        <v>28.714568776</v>
      </c>
      <c r="H3439" s="83" t="s">
        <v>88</v>
      </c>
    </row>
    <row r="3440" spans="1:8" ht="16.5" customHeight="1" x14ac:dyDescent="0.25">
      <c r="A3440" s="27">
        <v>46069</v>
      </c>
      <c r="B3440" s="80">
        <v>2026</v>
      </c>
      <c r="C3440" s="80">
        <v>2</v>
      </c>
      <c r="D3440" s="30" t="s">
        <v>37</v>
      </c>
      <c r="E3440" s="30" t="s">
        <v>57</v>
      </c>
      <c r="F3440" s="30" t="s">
        <v>43</v>
      </c>
      <c r="G3440" s="33">
        <v>55.350200000000001</v>
      </c>
      <c r="H3440" s="83" t="s">
        <v>89</v>
      </c>
    </row>
    <row r="3441" spans="1:8" ht="16.5" customHeight="1" x14ac:dyDescent="0.25">
      <c r="A3441" s="27">
        <v>46069</v>
      </c>
      <c r="B3441" s="80">
        <v>2026</v>
      </c>
      <c r="C3441" s="80">
        <v>2</v>
      </c>
      <c r="D3441" s="30" t="s">
        <v>37</v>
      </c>
      <c r="E3441" s="30" t="s">
        <v>68</v>
      </c>
      <c r="F3441" s="30" t="s">
        <v>43</v>
      </c>
      <c r="G3441" s="33">
        <v>3.29</v>
      </c>
      <c r="H3441" s="83" t="s">
        <v>89</v>
      </c>
    </row>
    <row r="3442" spans="1:8" ht="16.5" customHeight="1" x14ac:dyDescent="0.25">
      <c r="A3442" s="27">
        <v>46069</v>
      </c>
      <c r="B3442" s="80">
        <v>2026</v>
      </c>
      <c r="C3442" s="80">
        <v>2</v>
      </c>
      <c r="D3442" s="30" t="s">
        <v>37</v>
      </c>
      <c r="E3442" s="30" t="s">
        <v>74</v>
      </c>
      <c r="F3442" s="30" t="s">
        <v>43</v>
      </c>
      <c r="G3442" s="33">
        <v>7.2990000000000004</v>
      </c>
      <c r="H3442" s="83" t="s">
        <v>89</v>
      </c>
    </row>
    <row r="3443" spans="1:8" ht="16.5" customHeight="1" x14ac:dyDescent="0.25">
      <c r="A3443" s="27">
        <v>46070</v>
      </c>
      <c r="B3443" s="80">
        <v>2026</v>
      </c>
      <c r="C3443" s="80">
        <v>2</v>
      </c>
      <c r="D3443" s="30" t="s">
        <v>37</v>
      </c>
      <c r="E3443" s="30" t="s">
        <v>38</v>
      </c>
      <c r="F3443" s="30" t="s">
        <v>43</v>
      </c>
      <c r="G3443" s="33">
        <v>15.445600000000001</v>
      </c>
      <c r="H3443" s="83" t="s">
        <v>88</v>
      </c>
    </row>
    <row r="3444" spans="1:8" ht="16.5" customHeight="1" x14ac:dyDescent="0.25">
      <c r="A3444" s="27">
        <v>46070</v>
      </c>
      <c r="B3444" s="80">
        <v>2026</v>
      </c>
      <c r="C3444" s="80">
        <v>2</v>
      </c>
      <c r="D3444" s="30" t="s">
        <v>37</v>
      </c>
      <c r="E3444" s="30" t="s">
        <v>38</v>
      </c>
      <c r="F3444" s="30" t="s">
        <v>58</v>
      </c>
      <c r="G3444" s="33">
        <v>0.44379299999999999</v>
      </c>
      <c r="H3444" s="83" t="s">
        <v>88</v>
      </c>
    </row>
    <row r="3445" spans="1:8" ht="16.5" customHeight="1" x14ac:dyDescent="0.25">
      <c r="A3445" s="27">
        <v>46070</v>
      </c>
      <c r="B3445" s="80">
        <v>2026</v>
      </c>
      <c r="C3445" s="80">
        <v>2</v>
      </c>
      <c r="D3445" s="30" t="s">
        <v>37</v>
      </c>
      <c r="E3445" s="30" t="s">
        <v>46</v>
      </c>
      <c r="F3445" s="30" t="s">
        <v>43</v>
      </c>
      <c r="G3445" s="33">
        <v>0.25351200000000002</v>
      </c>
      <c r="H3445" s="83" t="s">
        <v>88</v>
      </c>
    </row>
    <row r="3446" spans="1:8" ht="16.5" customHeight="1" x14ac:dyDescent="0.25">
      <c r="A3446" s="27">
        <v>46070</v>
      </c>
      <c r="B3446" s="80">
        <v>2026</v>
      </c>
      <c r="C3446" s="80">
        <v>2</v>
      </c>
      <c r="D3446" s="30" t="s">
        <v>37</v>
      </c>
      <c r="E3446" s="30" t="s">
        <v>46</v>
      </c>
      <c r="F3446" s="30" t="s">
        <v>58</v>
      </c>
      <c r="G3446" s="33">
        <v>1.40007032</v>
      </c>
      <c r="H3446" s="83" t="s">
        <v>88</v>
      </c>
    </row>
    <row r="3447" spans="1:8" ht="16.5" customHeight="1" x14ac:dyDescent="0.25">
      <c r="A3447" s="27">
        <v>46070</v>
      </c>
      <c r="B3447" s="80">
        <v>2026</v>
      </c>
      <c r="C3447" s="80">
        <v>2</v>
      </c>
      <c r="D3447" s="30" t="s">
        <v>37</v>
      </c>
      <c r="E3447" s="30" t="s">
        <v>50</v>
      </c>
      <c r="F3447" s="30" t="s">
        <v>43</v>
      </c>
      <c r="G3447" s="33">
        <v>3.8975287999999999</v>
      </c>
      <c r="H3447" s="83" t="s">
        <v>88</v>
      </c>
    </row>
    <row r="3448" spans="1:8" ht="16.5" customHeight="1" x14ac:dyDescent="0.25">
      <c r="A3448" s="27">
        <v>46070</v>
      </c>
      <c r="B3448" s="80">
        <v>2026</v>
      </c>
      <c r="C3448" s="80">
        <v>2</v>
      </c>
      <c r="D3448" s="30" t="s">
        <v>37</v>
      </c>
      <c r="E3448" s="30" t="s">
        <v>50</v>
      </c>
      <c r="F3448" s="30" t="s">
        <v>47</v>
      </c>
      <c r="G3448" s="33">
        <v>9.2273999999999995E-2</v>
      </c>
      <c r="H3448" s="83" t="s">
        <v>88</v>
      </c>
    </row>
    <row r="3449" spans="1:8" ht="16.5" customHeight="1" x14ac:dyDescent="0.25">
      <c r="A3449" s="27">
        <v>46070</v>
      </c>
      <c r="B3449" s="80">
        <v>2026</v>
      </c>
      <c r="C3449" s="80">
        <v>2</v>
      </c>
      <c r="D3449" s="30" t="s">
        <v>37</v>
      </c>
      <c r="E3449" s="30" t="s">
        <v>50</v>
      </c>
      <c r="F3449" s="30" t="s">
        <v>58</v>
      </c>
      <c r="G3449" s="33">
        <v>1.0808888109999999</v>
      </c>
      <c r="H3449" s="83" t="s">
        <v>88</v>
      </c>
    </row>
    <row r="3450" spans="1:8" ht="16.5" customHeight="1" x14ac:dyDescent="0.25">
      <c r="A3450" s="27">
        <v>46070</v>
      </c>
      <c r="B3450" s="80">
        <v>2026</v>
      </c>
      <c r="C3450" s="80">
        <v>2</v>
      </c>
      <c r="D3450" s="30" t="s">
        <v>37</v>
      </c>
      <c r="E3450" s="30" t="s">
        <v>54</v>
      </c>
      <c r="F3450" s="30" t="s">
        <v>43</v>
      </c>
      <c r="G3450" s="33">
        <v>3.7141500000000001</v>
      </c>
      <c r="H3450" s="83" t="s">
        <v>88</v>
      </c>
    </row>
    <row r="3451" spans="1:8" ht="16.5" customHeight="1" x14ac:dyDescent="0.25">
      <c r="A3451" s="27">
        <v>46070</v>
      </c>
      <c r="B3451" s="80">
        <v>2026</v>
      </c>
      <c r="C3451" s="80">
        <v>2</v>
      </c>
      <c r="D3451" s="30" t="s">
        <v>37</v>
      </c>
      <c r="E3451" s="30" t="s">
        <v>68</v>
      </c>
      <c r="F3451" s="30" t="s">
        <v>43</v>
      </c>
      <c r="G3451" s="33">
        <v>1.7375</v>
      </c>
      <c r="H3451" s="83" t="s">
        <v>89</v>
      </c>
    </row>
    <row r="3452" spans="1:8" ht="16.5" customHeight="1" x14ac:dyDescent="0.25">
      <c r="A3452" s="27">
        <v>46070</v>
      </c>
      <c r="B3452" s="80">
        <v>2026</v>
      </c>
      <c r="C3452" s="80">
        <v>2</v>
      </c>
      <c r="D3452" s="30" t="s">
        <v>37</v>
      </c>
      <c r="E3452" s="30" t="s">
        <v>75</v>
      </c>
      <c r="F3452" s="30" t="s">
        <v>43</v>
      </c>
      <c r="G3452" s="33">
        <v>33.224400000000003</v>
      </c>
      <c r="H3452" s="83" t="s">
        <v>48</v>
      </c>
    </row>
    <row r="3453" spans="1:8" ht="16.5" customHeight="1" x14ac:dyDescent="0.25">
      <c r="A3453" s="27">
        <v>46070</v>
      </c>
      <c r="B3453" s="80">
        <v>2026</v>
      </c>
      <c r="C3453" s="80">
        <v>2</v>
      </c>
      <c r="D3453" s="30" t="s">
        <v>37</v>
      </c>
      <c r="E3453" s="30" t="s">
        <v>76</v>
      </c>
      <c r="F3453" s="30" t="s">
        <v>39</v>
      </c>
      <c r="G3453" s="33">
        <v>76.850674999999995</v>
      </c>
      <c r="H3453" s="83" t="s">
        <v>48</v>
      </c>
    </row>
    <row r="3454" spans="1:8" ht="16.5" customHeight="1" x14ac:dyDescent="0.25">
      <c r="A3454" s="27">
        <v>46070</v>
      </c>
      <c r="B3454" s="80">
        <v>2026</v>
      </c>
      <c r="C3454" s="80">
        <v>2</v>
      </c>
      <c r="D3454" s="30" t="s">
        <v>37</v>
      </c>
      <c r="E3454" s="30" t="s">
        <v>76</v>
      </c>
      <c r="F3454" s="30" t="s">
        <v>43</v>
      </c>
      <c r="G3454" s="33">
        <v>15.576000000000001</v>
      </c>
      <c r="H3454" s="83" t="s">
        <v>48</v>
      </c>
    </row>
    <row r="3455" spans="1:8" ht="16.5" customHeight="1" x14ac:dyDescent="0.25">
      <c r="A3455" s="27">
        <v>46071</v>
      </c>
      <c r="B3455" s="80">
        <v>2026</v>
      </c>
      <c r="C3455" s="80">
        <v>2</v>
      </c>
      <c r="D3455" s="30" t="s">
        <v>37</v>
      </c>
      <c r="E3455" s="30" t="s">
        <v>38</v>
      </c>
      <c r="F3455" s="30" t="s">
        <v>43</v>
      </c>
      <c r="G3455" s="33">
        <v>9.5030000000000001</v>
      </c>
      <c r="H3455" s="83" t="s">
        <v>88</v>
      </c>
    </row>
    <row r="3456" spans="1:8" ht="16.5" customHeight="1" x14ac:dyDescent="0.25">
      <c r="A3456" s="27">
        <v>46071</v>
      </c>
      <c r="B3456" s="80">
        <v>2026</v>
      </c>
      <c r="C3456" s="80">
        <v>2</v>
      </c>
      <c r="D3456" s="30" t="s">
        <v>37</v>
      </c>
      <c r="E3456" s="30" t="s">
        <v>42</v>
      </c>
      <c r="F3456" s="30" t="s">
        <v>43</v>
      </c>
      <c r="G3456" s="33">
        <v>5.1360000000000001</v>
      </c>
      <c r="H3456" s="83" t="s">
        <v>88</v>
      </c>
    </row>
    <row r="3457" spans="1:8" ht="16.5" customHeight="1" x14ac:dyDescent="0.25">
      <c r="A3457" s="27">
        <v>46071</v>
      </c>
      <c r="B3457" s="80">
        <v>2026</v>
      </c>
      <c r="C3457" s="80">
        <v>2</v>
      </c>
      <c r="D3457" s="30" t="s">
        <v>37</v>
      </c>
      <c r="E3457" s="30" t="s">
        <v>46</v>
      </c>
      <c r="F3457" s="30" t="s">
        <v>43</v>
      </c>
      <c r="G3457" s="33">
        <v>1.258</v>
      </c>
      <c r="H3457" s="83" t="s">
        <v>88</v>
      </c>
    </row>
    <row r="3458" spans="1:8" ht="16.5" customHeight="1" x14ac:dyDescent="0.25">
      <c r="A3458" s="27">
        <v>46071</v>
      </c>
      <c r="B3458" s="80">
        <v>2026</v>
      </c>
      <c r="C3458" s="80">
        <v>2</v>
      </c>
      <c r="D3458" s="30" t="s">
        <v>37</v>
      </c>
      <c r="E3458" s="30" t="s">
        <v>46</v>
      </c>
      <c r="F3458" s="30" t="s">
        <v>58</v>
      </c>
      <c r="G3458" s="33">
        <v>0.92119125000000002</v>
      </c>
      <c r="H3458" s="83" t="s">
        <v>88</v>
      </c>
    </row>
    <row r="3459" spans="1:8" ht="16.5" customHeight="1" x14ac:dyDescent="0.25">
      <c r="A3459" s="27">
        <v>46071</v>
      </c>
      <c r="B3459" s="80">
        <v>2026</v>
      </c>
      <c r="C3459" s="80">
        <v>2</v>
      </c>
      <c r="D3459" s="30" t="s">
        <v>37</v>
      </c>
      <c r="E3459" s="30" t="s">
        <v>50</v>
      </c>
      <c r="F3459" s="30" t="s">
        <v>43</v>
      </c>
      <c r="G3459" s="33">
        <v>3.73532325</v>
      </c>
      <c r="H3459" s="83" t="s">
        <v>88</v>
      </c>
    </row>
    <row r="3460" spans="1:8" ht="16.5" customHeight="1" x14ac:dyDescent="0.25">
      <c r="A3460" s="27">
        <v>46071</v>
      </c>
      <c r="B3460" s="80">
        <v>2026</v>
      </c>
      <c r="C3460" s="80">
        <v>2</v>
      </c>
      <c r="D3460" s="30" t="s">
        <v>37</v>
      </c>
      <c r="E3460" s="30" t="s">
        <v>50</v>
      </c>
      <c r="F3460" s="30" t="s">
        <v>47</v>
      </c>
      <c r="G3460" s="33">
        <v>1.2432000000000001</v>
      </c>
      <c r="H3460" s="83" t="s">
        <v>88</v>
      </c>
    </row>
    <row r="3461" spans="1:8" ht="16.5" customHeight="1" x14ac:dyDescent="0.25">
      <c r="A3461" s="27">
        <v>46071</v>
      </c>
      <c r="B3461" s="80">
        <v>2026</v>
      </c>
      <c r="C3461" s="80">
        <v>2</v>
      </c>
      <c r="D3461" s="30" t="s">
        <v>37</v>
      </c>
      <c r="E3461" s="30" t="s">
        <v>50</v>
      </c>
      <c r="F3461" s="30" t="s">
        <v>55</v>
      </c>
      <c r="G3461" s="33">
        <v>0.259077</v>
      </c>
      <c r="H3461" s="83" t="s">
        <v>88</v>
      </c>
    </row>
    <row r="3462" spans="1:8" ht="16.5" customHeight="1" x14ac:dyDescent="0.25">
      <c r="A3462" s="27">
        <v>46071</v>
      </c>
      <c r="B3462" s="80">
        <v>2026</v>
      </c>
      <c r="C3462" s="80">
        <v>2</v>
      </c>
      <c r="D3462" s="30" t="s">
        <v>37</v>
      </c>
      <c r="E3462" s="30" t="s">
        <v>50</v>
      </c>
      <c r="F3462" s="30" t="s">
        <v>58</v>
      </c>
      <c r="G3462" s="33">
        <v>0.12421500000000001</v>
      </c>
      <c r="H3462" s="83" t="s">
        <v>88</v>
      </c>
    </row>
    <row r="3463" spans="1:8" ht="16.5" customHeight="1" x14ac:dyDescent="0.25">
      <c r="A3463" s="27">
        <v>46071</v>
      </c>
      <c r="B3463" s="80">
        <v>2026</v>
      </c>
      <c r="C3463" s="80">
        <v>2</v>
      </c>
      <c r="D3463" s="30" t="s">
        <v>37</v>
      </c>
      <c r="E3463" s="30" t="s">
        <v>54</v>
      </c>
      <c r="F3463" s="30" t="s">
        <v>43</v>
      </c>
      <c r="G3463" s="33">
        <v>2.8652500000000001</v>
      </c>
      <c r="H3463" s="83" t="s">
        <v>88</v>
      </c>
    </row>
    <row r="3464" spans="1:8" ht="16.5" customHeight="1" x14ac:dyDescent="0.25">
      <c r="A3464" s="27">
        <v>46071</v>
      </c>
      <c r="B3464" s="80">
        <v>2026</v>
      </c>
      <c r="C3464" s="80">
        <v>2</v>
      </c>
      <c r="D3464" s="30" t="s">
        <v>37</v>
      </c>
      <c r="E3464" s="30" t="s">
        <v>54</v>
      </c>
      <c r="F3464" s="30" t="s">
        <v>47</v>
      </c>
      <c r="G3464" s="33">
        <v>0.14544000000000001</v>
      </c>
      <c r="H3464" s="83" t="s">
        <v>88</v>
      </c>
    </row>
    <row r="3465" spans="1:8" ht="16.5" customHeight="1" x14ac:dyDescent="0.25">
      <c r="A3465" s="27">
        <v>46071</v>
      </c>
      <c r="B3465" s="80">
        <v>2026</v>
      </c>
      <c r="C3465" s="80">
        <v>2</v>
      </c>
      <c r="D3465" s="30" t="s">
        <v>37</v>
      </c>
      <c r="E3465" s="30" t="s">
        <v>54</v>
      </c>
      <c r="F3465" s="30" t="s">
        <v>51</v>
      </c>
      <c r="G3465" s="33">
        <v>0.124</v>
      </c>
      <c r="H3465" s="83" t="s">
        <v>88</v>
      </c>
    </row>
    <row r="3466" spans="1:8" ht="16.5" customHeight="1" x14ac:dyDescent="0.25">
      <c r="A3466" s="27">
        <v>46071</v>
      </c>
      <c r="B3466" s="80">
        <v>2026</v>
      </c>
      <c r="C3466" s="80">
        <v>2</v>
      </c>
      <c r="D3466" s="30" t="s">
        <v>37</v>
      </c>
      <c r="E3466" s="30" t="s">
        <v>57</v>
      </c>
      <c r="F3466" s="30" t="s">
        <v>43</v>
      </c>
      <c r="G3466" s="33">
        <v>144.15100000000001</v>
      </c>
      <c r="H3466" s="83" t="s">
        <v>89</v>
      </c>
    </row>
    <row r="3467" spans="1:8" ht="16.5" customHeight="1" x14ac:dyDescent="0.25">
      <c r="A3467" s="27">
        <v>46071</v>
      </c>
      <c r="B3467" s="80">
        <v>2026</v>
      </c>
      <c r="C3467" s="80">
        <v>2</v>
      </c>
      <c r="D3467" s="30" t="s">
        <v>37</v>
      </c>
      <c r="E3467" s="30" t="s">
        <v>66</v>
      </c>
      <c r="F3467" s="30" t="s">
        <v>43</v>
      </c>
      <c r="G3467" s="33">
        <v>2.0499999999999998</v>
      </c>
      <c r="H3467" s="83" t="s">
        <v>89</v>
      </c>
    </row>
    <row r="3468" spans="1:8" ht="16.5" customHeight="1" x14ac:dyDescent="0.25">
      <c r="A3468" s="27">
        <v>46071</v>
      </c>
      <c r="B3468" s="80">
        <v>2026</v>
      </c>
      <c r="C3468" s="80">
        <v>2</v>
      </c>
      <c r="D3468" s="30" t="s">
        <v>37</v>
      </c>
      <c r="E3468" s="30" t="s">
        <v>71</v>
      </c>
      <c r="F3468" s="30" t="s">
        <v>43</v>
      </c>
      <c r="G3468" s="33">
        <v>6.125</v>
      </c>
      <c r="H3468" s="83" t="s">
        <v>89</v>
      </c>
    </row>
    <row r="3469" spans="1:8" ht="16.5" customHeight="1" x14ac:dyDescent="0.25">
      <c r="A3469" s="27">
        <v>46071</v>
      </c>
      <c r="B3469" s="80">
        <v>2026</v>
      </c>
      <c r="C3469" s="80">
        <v>2</v>
      </c>
      <c r="D3469" s="30" t="s">
        <v>37</v>
      </c>
      <c r="E3469" s="30" t="s">
        <v>75</v>
      </c>
      <c r="F3469" s="30" t="s">
        <v>43</v>
      </c>
      <c r="G3469" s="33">
        <v>74.384159999999994</v>
      </c>
      <c r="H3469" s="83" t="s">
        <v>48</v>
      </c>
    </row>
    <row r="3470" spans="1:8" ht="16.5" customHeight="1" x14ac:dyDescent="0.25">
      <c r="A3470" s="27">
        <v>46072</v>
      </c>
      <c r="B3470" s="80">
        <v>2026</v>
      </c>
      <c r="C3470" s="80">
        <v>2</v>
      </c>
      <c r="D3470" s="30" t="s">
        <v>37</v>
      </c>
      <c r="E3470" s="30" t="s">
        <v>38</v>
      </c>
      <c r="F3470" s="30" t="s">
        <v>43</v>
      </c>
      <c r="G3470" s="33">
        <v>6.2162280000000001</v>
      </c>
      <c r="H3470" s="83" t="s">
        <v>88</v>
      </c>
    </row>
    <row r="3471" spans="1:8" ht="16.5" customHeight="1" x14ac:dyDescent="0.25">
      <c r="A3471" s="27">
        <v>46072</v>
      </c>
      <c r="B3471" s="80">
        <v>2026</v>
      </c>
      <c r="C3471" s="80">
        <v>2</v>
      </c>
      <c r="D3471" s="30" t="s">
        <v>37</v>
      </c>
      <c r="E3471" s="30" t="s">
        <v>42</v>
      </c>
      <c r="F3471" s="30" t="s">
        <v>43</v>
      </c>
      <c r="G3471" s="33">
        <v>17.4175</v>
      </c>
      <c r="H3471" s="83" t="s">
        <v>88</v>
      </c>
    </row>
    <row r="3472" spans="1:8" ht="16.5" customHeight="1" x14ac:dyDescent="0.25">
      <c r="A3472" s="27">
        <v>46072</v>
      </c>
      <c r="B3472" s="80">
        <v>2026</v>
      </c>
      <c r="C3472" s="80">
        <v>2</v>
      </c>
      <c r="D3472" s="30" t="s">
        <v>37</v>
      </c>
      <c r="E3472" s="30" t="s">
        <v>46</v>
      </c>
      <c r="F3472" s="30" t="s">
        <v>43</v>
      </c>
      <c r="G3472" s="33">
        <v>8.9678389999999997</v>
      </c>
      <c r="H3472" s="83" t="s">
        <v>88</v>
      </c>
    </row>
    <row r="3473" spans="1:8" ht="16.5" customHeight="1" x14ac:dyDescent="0.25">
      <c r="A3473" s="27">
        <v>46072</v>
      </c>
      <c r="B3473" s="80">
        <v>2026</v>
      </c>
      <c r="C3473" s="80">
        <v>2</v>
      </c>
      <c r="D3473" s="30" t="s">
        <v>37</v>
      </c>
      <c r="E3473" s="30" t="s">
        <v>50</v>
      </c>
      <c r="F3473" s="30" t="s">
        <v>43</v>
      </c>
      <c r="G3473" s="33">
        <v>11.334948900000001</v>
      </c>
      <c r="H3473" s="83" t="s">
        <v>88</v>
      </c>
    </row>
    <row r="3474" spans="1:8" ht="16.5" customHeight="1" x14ac:dyDescent="0.25">
      <c r="A3474" s="27">
        <v>46072</v>
      </c>
      <c r="B3474" s="80">
        <v>2026</v>
      </c>
      <c r="C3474" s="80">
        <v>2</v>
      </c>
      <c r="D3474" s="30" t="s">
        <v>37</v>
      </c>
      <c r="E3474" s="30" t="s">
        <v>50</v>
      </c>
      <c r="F3474" s="30" t="s">
        <v>47</v>
      </c>
      <c r="G3474" s="33">
        <v>9.2273999999999995E-2</v>
      </c>
      <c r="H3474" s="83" t="s">
        <v>88</v>
      </c>
    </row>
    <row r="3475" spans="1:8" ht="16.5" customHeight="1" x14ac:dyDescent="0.25">
      <c r="A3475" s="27">
        <v>46072</v>
      </c>
      <c r="B3475" s="80">
        <v>2026</v>
      </c>
      <c r="C3475" s="80">
        <v>2</v>
      </c>
      <c r="D3475" s="30" t="s">
        <v>37</v>
      </c>
      <c r="E3475" s="30" t="s">
        <v>50</v>
      </c>
      <c r="F3475" s="30" t="s">
        <v>51</v>
      </c>
      <c r="G3475" s="33">
        <v>4.5427200000000001E-2</v>
      </c>
      <c r="H3475" s="83" t="s">
        <v>88</v>
      </c>
    </row>
    <row r="3476" spans="1:8" ht="16.5" customHeight="1" x14ac:dyDescent="0.25">
      <c r="A3476" s="27">
        <v>46072</v>
      </c>
      <c r="B3476" s="80">
        <v>2026</v>
      </c>
      <c r="C3476" s="80">
        <v>2</v>
      </c>
      <c r="D3476" s="30" t="s">
        <v>37</v>
      </c>
      <c r="E3476" s="30" t="s">
        <v>50</v>
      </c>
      <c r="F3476" s="30" t="s">
        <v>55</v>
      </c>
      <c r="G3476" s="33">
        <v>4.3842610000000004</v>
      </c>
      <c r="H3476" s="83" t="s">
        <v>88</v>
      </c>
    </row>
    <row r="3477" spans="1:8" ht="16.5" customHeight="1" x14ac:dyDescent="0.25">
      <c r="A3477" s="27">
        <v>46072</v>
      </c>
      <c r="B3477" s="80">
        <v>2026</v>
      </c>
      <c r="C3477" s="80">
        <v>2</v>
      </c>
      <c r="D3477" s="30" t="s">
        <v>37</v>
      </c>
      <c r="E3477" s="30" t="s">
        <v>50</v>
      </c>
      <c r="F3477" s="30" t="s">
        <v>58</v>
      </c>
      <c r="G3477" s="33">
        <v>1.952276047</v>
      </c>
      <c r="H3477" s="83" t="s">
        <v>88</v>
      </c>
    </row>
    <row r="3478" spans="1:8" ht="16.5" customHeight="1" x14ac:dyDescent="0.25">
      <c r="A3478" s="27">
        <v>46072</v>
      </c>
      <c r="B3478" s="80">
        <v>2026</v>
      </c>
      <c r="C3478" s="80">
        <v>2</v>
      </c>
      <c r="D3478" s="30" t="s">
        <v>37</v>
      </c>
      <c r="E3478" s="30" t="s">
        <v>54</v>
      </c>
      <c r="F3478" s="30" t="s">
        <v>43</v>
      </c>
      <c r="G3478" s="33">
        <v>3.7324999999999999</v>
      </c>
      <c r="H3478" s="83" t="s">
        <v>88</v>
      </c>
    </row>
    <row r="3479" spans="1:8" ht="16.5" customHeight="1" x14ac:dyDescent="0.25">
      <c r="A3479" s="27">
        <v>46072</v>
      </c>
      <c r="B3479" s="80">
        <v>2026</v>
      </c>
      <c r="C3479" s="80">
        <v>2</v>
      </c>
      <c r="D3479" s="30" t="s">
        <v>37</v>
      </c>
      <c r="E3479" s="30" t="s">
        <v>54</v>
      </c>
      <c r="F3479" s="30" t="s">
        <v>47</v>
      </c>
      <c r="G3479" s="33">
        <v>2.0699999999999998</v>
      </c>
      <c r="H3479" s="83" t="s">
        <v>88</v>
      </c>
    </row>
    <row r="3480" spans="1:8" ht="16.5" customHeight="1" x14ac:dyDescent="0.25">
      <c r="A3480" s="27">
        <v>46072</v>
      </c>
      <c r="B3480" s="80">
        <v>2026</v>
      </c>
      <c r="C3480" s="80">
        <v>2</v>
      </c>
      <c r="D3480" s="30" t="s">
        <v>37</v>
      </c>
      <c r="E3480" s="30" t="s">
        <v>57</v>
      </c>
      <c r="F3480" s="30" t="s">
        <v>43</v>
      </c>
      <c r="G3480" s="33">
        <v>2.8285999999999998</v>
      </c>
      <c r="H3480" s="83" t="s">
        <v>89</v>
      </c>
    </row>
    <row r="3481" spans="1:8" ht="16.5" customHeight="1" x14ac:dyDescent="0.25">
      <c r="A3481" s="27">
        <v>46072</v>
      </c>
      <c r="B3481" s="80">
        <v>2026</v>
      </c>
      <c r="C3481" s="80">
        <v>2</v>
      </c>
      <c r="D3481" s="30" t="s">
        <v>37</v>
      </c>
      <c r="E3481" s="30" t="s">
        <v>61</v>
      </c>
      <c r="F3481" s="30" t="s">
        <v>55</v>
      </c>
      <c r="G3481" s="33">
        <v>2.2999999999999998</v>
      </c>
      <c r="H3481" s="83" t="s">
        <v>89</v>
      </c>
    </row>
    <row r="3482" spans="1:8" ht="16.5" customHeight="1" x14ac:dyDescent="0.25">
      <c r="A3482" s="27">
        <v>46072</v>
      </c>
      <c r="B3482" s="80">
        <v>2026</v>
      </c>
      <c r="C3482" s="80">
        <v>2</v>
      </c>
      <c r="D3482" s="30" t="s">
        <v>37</v>
      </c>
      <c r="E3482" s="30" t="s">
        <v>66</v>
      </c>
      <c r="F3482" s="30" t="s">
        <v>43</v>
      </c>
      <c r="G3482" s="33">
        <v>1.83375</v>
      </c>
      <c r="H3482" s="83" t="s">
        <v>89</v>
      </c>
    </row>
    <row r="3483" spans="1:8" ht="16.5" customHeight="1" x14ac:dyDescent="0.25">
      <c r="A3483" s="27">
        <v>46072</v>
      </c>
      <c r="B3483" s="80">
        <v>2026</v>
      </c>
      <c r="C3483" s="80">
        <v>2</v>
      </c>
      <c r="D3483" s="30" t="s">
        <v>37</v>
      </c>
      <c r="E3483" s="30" t="s">
        <v>68</v>
      </c>
      <c r="F3483" s="30" t="s">
        <v>43</v>
      </c>
      <c r="G3483" s="33">
        <v>1.19625</v>
      </c>
      <c r="H3483" s="83" t="s">
        <v>89</v>
      </c>
    </row>
    <row r="3484" spans="1:8" ht="16.5" customHeight="1" x14ac:dyDescent="0.25">
      <c r="A3484" s="27">
        <v>46072</v>
      </c>
      <c r="B3484" s="80">
        <v>2026</v>
      </c>
      <c r="C3484" s="80">
        <v>2</v>
      </c>
      <c r="D3484" s="30" t="s">
        <v>37</v>
      </c>
      <c r="E3484" s="30" t="s">
        <v>68</v>
      </c>
      <c r="F3484" s="30" t="s">
        <v>55</v>
      </c>
      <c r="G3484" s="33">
        <v>5.65</v>
      </c>
      <c r="H3484" s="83" t="s">
        <v>89</v>
      </c>
    </row>
    <row r="3485" spans="1:8" ht="16.5" customHeight="1" x14ac:dyDescent="0.25">
      <c r="A3485" s="27">
        <v>46072</v>
      </c>
      <c r="B3485" s="80">
        <v>2026</v>
      </c>
      <c r="C3485" s="80">
        <v>2</v>
      </c>
      <c r="D3485" s="30" t="s">
        <v>37</v>
      </c>
      <c r="E3485" s="30" t="s">
        <v>71</v>
      </c>
      <c r="F3485" s="30" t="s">
        <v>43</v>
      </c>
      <c r="G3485" s="33">
        <v>26.225999999999999</v>
      </c>
      <c r="H3485" s="83" t="s">
        <v>89</v>
      </c>
    </row>
    <row r="3486" spans="1:8" ht="16.5" customHeight="1" x14ac:dyDescent="0.25">
      <c r="A3486" s="27">
        <v>46072</v>
      </c>
      <c r="B3486" s="80">
        <v>2026</v>
      </c>
      <c r="C3486" s="80">
        <v>2</v>
      </c>
      <c r="D3486" s="30" t="s">
        <v>37</v>
      </c>
      <c r="E3486" s="30" t="s">
        <v>71</v>
      </c>
      <c r="F3486" s="30" t="s">
        <v>51</v>
      </c>
      <c r="G3486" s="33">
        <v>10.7</v>
      </c>
      <c r="H3486" s="83" t="s">
        <v>89</v>
      </c>
    </row>
    <row r="3487" spans="1:8" ht="16.5" customHeight="1" x14ac:dyDescent="0.25">
      <c r="A3487" s="27">
        <v>46073</v>
      </c>
      <c r="B3487" s="80">
        <v>2026</v>
      </c>
      <c r="C3487" s="80">
        <v>2</v>
      </c>
      <c r="D3487" s="30" t="s">
        <v>37</v>
      </c>
      <c r="E3487" s="30" t="s">
        <v>38</v>
      </c>
      <c r="F3487" s="30" t="s">
        <v>43</v>
      </c>
      <c r="G3487" s="33">
        <v>1.2284999999999999</v>
      </c>
      <c r="H3487" s="83" t="s">
        <v>88</v>
      </c>
    </row>
    <row r="3488" spans="1:8" ht="16.5" customHeight="1" x14ac:dyDescent="0.25">
      <c r="A3488" s="27">
        <v>46073</v>
      </c>
      <c r="B3488" s="80">
        <v>2026</v>
      </c>
      <c r="C3488" s="80">
        <v>2</v>
      </c>
      <c r="D3488" s="30" t="s">
        <v>37</v>
      </c>
      <c r="E3488" s="30" t="s">
        <v>42</v>
      </c>
      <c r="F3488" s="30" t="s">
        <v>43</v>
      </c>
      <c r="G3488" s="33">
        <v>12.43416</v>
      </c>
      <c r="H3488" s="83" t="s">
        <v>88</v>
      </c>
    </row>
    <row r="3489" spans="1:8" ht="16.5" customHeight="1" x14ac:dyDescent="0.25">
      <c r="A3489" s="27">
        <v>46073</v>
      </c>
      <c r="B3489" s="80">
        <v>2026</v>
      </c>
      <c r="C3489" s="80">
        <v>2</v>
      </c>
      <c r="D3489" s="30" t="s">
        <v>37</v>
      </c>
      <c r="E3489" s="30" t="s">
        <v>42</v>
      </c>
      <c r="F3489" s="30" t="s">
        <v>55</v>
      </c>
      <c r="G3489" s="33">
        <v>9</v>
      </c>
      <c r="H3489" s="83" t="s">
        <v>88</v>
      </c>
    </row>
    <row r="3490" spans="1:8" ht="16.5" customHeight="1" x14ac:dyDescent="0.25">
      <c r="A3490" s="27">
        <v>46073</v>
      </c>
      <c r="B3490" s="80">
        <v>2026</v>
      </c>
      <c r="C3490" s="80">
        <v>2</v>
      </c>
      <c r="D3490" s="30" t="s">
        <v>37</v>
      </c>
      <c r="E3490" s="30" t="s">
        <v>46</v>
      </c>
      <c r="F3490" s="30" t="s">
        <v>58</v>
      </c>
      <c r="G3490" s="33">
        <v>1.2988667199999999</v>
      </c>
      <c r="H3490" s="83" t="s">
        <v>88</v>
      </c>
    </row>
    <row r="3491" spans="1:8" ht="16.5" customHeight="1" x14ac:dyDescent="0.25">
      <c r="A3491" s="27">
        <v>46073</v>
      </c>
      <c r="B3491" s="80">
        <v>2026</v>
      </c>
      <c r="C3491" s="80">
        <v>2</v>
      </c>
      <c r="D3491" s="30" t="s">
        <v>37</v>
      </c>
      <c r="E3491" s="30" t="s">
        <v>50</v>
      </c>
      <c r="F3491" s="30" t="s">
        <v>43</v>
      </c>
      <c r="G3491" s="33">
        <v>1.1151882500000001</v>
      </c>
      <c r="H3491" s="83" t="s">
        <v>88</v>
      </c>
    </row>
    <row r="3492" spans="1:8" ht="16.5" customHeight="1" x14ac:dyDescent="0.25">
      <c r="A3492" s="27">
        <v>46073</v>
      </c>
      <c r="B3492" s="80">
        <v>2026</v>
      </c>
      <c r="C3492" s="80">
        <v>2</v>
      </c>
      <c r="D3492" s="30" t="s">
        <v>37</v>
      </c>
      <c r="E3492" s="30" t="s">
        <v>50</v>
      </c>
      <c r="F3492" s="30" t="s">
        <v>47</v>
      </c>
      <c r="G3492" s="33">
        <v>0.62160000000000004</v>
      </c>
      <c r="H3492" s="83" t="s">
        <v>88</v>
      </c>
    </row>
    <row r="3493" spans="1:8" ht="16.5" customHeight="1" x14ac:dyDescent="0.25">
      <c r="A3493" s="27">
        <v>46073</v>
      </c>
      <c r="B3493" s="80">
        <v>2026</v>
      </c>
      <c r="C3493" s="80">
        <v>2</v>
      </c>
      <c r="D3493" s="30" t="s">
        <v>37</v>
      </c>
      <c r="E3493" s="30" t="s">
        <v>66</v>
      </c>
      <c r="F3493" s="30" t="s">
        <v>43</v>
      </c>
      <c r="G3493" s="33">
        <v>22.855</v>
      </c>
      <c r="H3493" s="83" t="s">
        <v>89</v>
      </c>
    </row>
    <row r="3494" spans="1:8" ht="16.5" customHeight="1" x14ac:dyDescent="0.25">
      <c r="A3494" s="27">
        <v>46073</v>
      </c>
      <c r="B3494" s="80">
        <v>2026</v>
      </c>
      <c r="C3494" s="80">
        <v>2</v>
      </c>
      <c r="D3494" s="30" t="s">
        <v>37</v>
      </c>
      <c r="E3494" s="30" t="s">
        <v>68</v>
      </c>
      <c r="F3494" s="30" t="s">
        <v>43</v>
      </c>
      <c r="G3494" s="33">
        <v>3.7250000000000001</v>
      </c>
      <c r="H3494" s="83" t="s">
        <v>89</v>
      </c>
    </row>
    <row r="3495" spans="1:8" ht="16.5" customHeight="1" x14ac:dyDescent="0.25">
      <c r="A3495" s="27">
        <v>46073</v>
      </c>
      <c r="B3495" s="80">
        <v>2026</v>
      </c>
      <c r="C3495" s="80">
        <v>2</v>
      </c>
      <c r="D3495" s="30" t="s">
        <v>37</v>
      </c>
      <c r="E3495" s="30" t="s">
        <v>71</v>
      </c>
      <c r="F3495" s="30" t="s">
        <v>39</v>
      </c>
      <c r="G3495" s="33">
        <v>27.490400000000001</v>
      </c>
      <c r="H3495" s="83" t="s">
        <v>89</v>
      </c>
    </row>
    <row r="3496" spans="1:8" ht="16.5" customHeight="1" x14ac:dyDescent="0.25">
      <c r="A3496" s="27">
        <v>46073</v>
      </c>
      <c r="B3496" s="80">
        <v>2026</v>
      </c>
      <c r="C3496" s="80">
        <v>2</v>
      </c>
      <c r="D3496" s="30" t="s">
        <v>37</v>
      </c>
      <c r="E3496" s="30" t="s">
        <v>71</v>
      </c>
      <c r="F3496" s="30" t="s">
        <v>43</v>
      </c>
      <c r="G3496" s="33">
        <v>12.657</v>
      </c>
      <c r="H3496" s="83" t="s">
        <v>89</v>
      </c>
    </row>
    <row r="3497" spans="1:8" ht="16.5" customHeight="1" x14ac:dyDescent="0.25">
      <c r="A3497" s="27">
        <v>46073</v>
      </c>
      <c r="B3497" s="80">
        <v>2026</v>
      </c>
      <c r="C3497" s="80">
        <v>2</v>
      </c>
      <c r="D3497" s="30" t="s">
        <v>37</v>
      </c>
      <c r="E3497" s="30" t="s">
        <v>74</v>
      </c>
      <c r="F3497" s="30" t="s">
        <v>43</v>
      </c>
      <c r="G3497" s="33">
        <v>32.966999999999999</v>
      </c>
      <c r="H3497" s="83" t="s">
        <v>89</v>
      </c>
    </row>
    <row r="3498" spans="1:8" ht="16.5" customHeight="1" x14ac:dyDescent="0.25">
      <c r="A3498" s="27">
        <v>46073</v>
      </c>
      <c r="B3498" s="80">
        <v>2026</v>
      </c>
      <c r="C3498" s="80">
        <v>2</v>
      </c>
      <c r="D3498" s="30" t="s">
        <v>37</v>
      </c>
      <c r="E3498" s="30" t="s">
        <v>76</v>
      </c>
      <c r="F3498" s="30" t="s">
        <v>39</v>
      </c>
      <c r="G3498" s="33">
        <v>163.85914600000001</v>
      </c>
      <c r="H3498" s="83" t="s">
        <v>48</v>
      </c>
    </row>
    <row r="3499" spans="1:8" ht="16.5" customHeight="1" x14ac:dyDescent="0.25">
      <c r="A3499" s="27">
        <v>46073</v>
      </c>
      <c r="B3499" s="80">
        <v>2026</v>
      </c>
      <c r="C3499" s="80">
        <v>2</v>
      </c>
      <c r="D3499" s="30" t="s">
        <v>37</v>
      </c>
      <c r="E3499" s="30" t="s">
        <v>76</v>
      </c>
      <c r="F3499" s="30" t="s">
        <v>43</v>
      </c>
      <c r="G3499" s="33">
        <v>10.67245</v>
      </c>
      <c r="H3499" s="83" t="s">
        <v>48</v>
      </c>
    </row>
    <row r="3500" spans="1:8" ht="16.5" customHeight="1" x14ac:dyDescent="0.25">
      <c r="A3500" s="27">
        <v>46074</v>
      </c>
      <c r="B3500" s="80">
        <v>2026</v>
      </c>
      <c r="C3500" s="80">
        <v>2</v>
      </c>
      <c r="D3500" s="30" t="s">
        <v>37</v>
      </c>
      <c r="E3500" s="30" t="s">
        <v>50</v>
      </c>
      <c r="F3500" s="30" t="s">
        <v>51</v>
      </c>
      <c r="G3500" s="33">
        <v>0.2465</v>
      </c>
      <c r="H3500" s="83" t="s">
        <v>88</v>
      </c>
    </row>
    <row r="3501" spans="1:8" ht="16.5" customHeight="1" x14ac:dyDescent="0.25">
      <c r="A3501" s="27">
        <v>46074</v>
      </c>
      <c r="B3501" s="80">
        <v>2026</v>
      </c>
      <c r="C3501" s="80">
        <v>2</v>
      </c>
      <c r="D3501" s="30" t="s">
        <v>37</v>
      </c>
      <c r="E3501" s="30" t="s">
        <v>50</v>
      </c>
      <c r="F3501" s="30" t="s">
        <v>58</v>
      </c>
      <c r="G3501" s="33">
        <v>0.32342500000000002</v>
      </c>
      <c r="H3501" s="83" t="s">
        <v>88</v>
      </c>
    </row>
    <row r="3502" spans="1:8" ht="16.5" customHeight="1" x14ac:dyDescent="0.25">
      <c r="A3502" s="27">
        <v>46076</v>
      </c>
      <c r="B3502" s="80">
        <v>2026</v>
      </c>
      <c r="C3502" s="80">
        <v>2</v>
      </c>
      <c r="D3502" s="30" t="s">
        <v>37</v>
      </c>
      <c r="E3502" s="30" t="s">
        <v>38</v>
      </c>
      <c r="F3502" s="30" t="s">
        <v>43</v>
      </c>
      <c r="G3502" s="33">
        <v>5.1459000000000001</v>
      </c>
      <c r="H3502" s="83" t="s">
        <v>88</v>
      </c>
    </row>
    <row r="3503" spans="1:8" ht="16.5" customHeight="1" x14ac:dyDescent="0.25">
      <c r="A3503" s="27">
        <v>46076</v>
      </c>
      <c r="B3503" s="80">
        <v>2026</v>
      </c>
      <c r="C3503" s="80">
        <v>2</v>
      </c>
      <c r="D3503" s="30" t="s">
        <v>37</v>
      </c>
      <c r="E3503" s="30" t="s">
        <v>46</v>
      </c>
      <c r="F3503" s="30" t="s">
        <v>43</v>
      </c>
      <c r="G3503" s="33">
        <v>8.3309642400000001</v>
      </c>
      <c r="H3503" s="83" t="s">
        <v>88</v>
      </c>
    </row>
    <row r="3504" spans="1:8" ht="16.5" customHeight="1" x14ac:dyDescent="0.25">
      <c r="A3504" s="27">
        <v>46076</v>
      </c>
      <c r="B3504" s="80">
        <v>2026</v>
      </c>
      <c r="C3504" s="80">
        <v>2</v>
      </c>
      <c r="D3504" s="30" t="s">
        <v>37</v>
      </c>
      <c r="E3504" s="30" t="s">
        <v>46</v>
      </c>
      <c r="F3504" s="30" t="s">
        <v>47</v>
      </c>
      <c r="G3504" s="33">
        <v>0.13921600000000001</v>
      </c>
      <c r="H3504" s="83" t="s">
        <v>88</v>
      </c>
    </row>
    <row r="3505" spans="1:8" ht="16.5" customHeight="1" x14ac:dyDescent="0.25">
      <c r="A3505" s="27">
        <v>46076</v>
      </c>
      <c r="B3505" s="80">
        <v>2026</v>
      </c>
      <c r="C3505" s="80">
        <v>2</v>
      </c>
      <c r="D3505" s="30" t="s">
        <v>37</v>
      </c>
      <c r="E3505" s="30" t="s">
        <v>50</v>
      </c>
      <c r="F3505" s="30" t="s">
        <v>43</v>
      </c>
      <c r="G3505" s="33">
        <v>49.004339399999999</v>
      </c>
      <c r="H3505" s="83" t="s">
        <v>88</v>
      </c>
    </row>
    <row r="3506" spans="1:8" ht="16.5" customHeight="1" x14ac:dyDescent="0.25">
      <c r="A3506" s="27">
        <v>46076</v>
      </c>
      <c r="B3506" s="80">
        <v>2026</v>
      </c>
      <c r="C3506" s="80">
        <v>2</v>
      </c>
      <c r="D3506" s="30" t="s">
        <v>37</v>
      </c>
      <c r="E3506" s="30" t="s">
        <v>50</v>
      </c>
      <c r="F3506" s="30" t="s">
        <v>47</v>
      </c>
      <c r="G3506" s="33">
        <v>9.3967980000000004</v>
      </c>
      <c r="H3506" s="83" t="s">
        <v>88</v>
      </c>
    </row>
    <row r="3507" spans="1:8" ht="16.5" customHeight="1" x14ac:dyDescent="0.25">
      <c r="A3507" s="27">
        <v>46076</v>
      </c>
      <c r="B3507" s="80">
        <v>2026</v>
      </c>
      <c r="C3507" s="80">
        <v>2</v>
      </c>
      <c r="D3507" s="30" t="s">
        <v>37</v>
      </c>
      <c r="E3507" s="30" t="s">
        <v>50</v>
      </c>
      <c r="F3507" s="30" t="s">
        <v>55</v>
      </c>
      <c r="G3507" s="33">
        <v>0.17849999999999999</v>
      </c>
      <c r="H3507" s="83" t="s">
        <v>88</v>
      </c>
    </row>
    <row r="3508" spans="1:8" ht="16.5" customHeight="1" x14ac:dyDescent="0.25">
      <c r="A3508" s="27">
        <v>46076</v>
      </c>
      <c r="B3508" s="80">
        <v>2026</v>
      </c>
      <c r="C3508" s="80">
        <v>2</v>
      </c>
      <c r="D3508" s="30" t="s">
        <v>37</v>
      </c>
      <c r="E3508" s="30" t="s">
        <v>50</v>
      </c>
      <c r="F3508" s="30" t="s">
        <v>58</v>
      </c>
      <c r="G3508" s="33">
        <v>26.718465720000001</v>
      </c>
      <c r="H3508" s="83" t="s">
        <v>88</v>
      </c>
    </row>
    <row r="3509" spans="1:8" ht="16.5" customHeight="1" x14ac:dyDescent="0.25">
      <c r="A3509" s="27">
        <v>46076</v>
      </c>
      <c r="B3509" s="80">
        <v>2026</v>
      </c>
      <c r="C3509" s="80">
        <v>2</v>
      </c>
      <c r="D3509" s="30" t="s">
        <v>37</v>
      </c>
      <c r="E3509" s="30" t="s">
        <v>54</v>
      </c>
      <c r="F3509" s="30" t="s">
        <v>43</v>
      </c>
      <c r="G3509" s="33">
        <v>2.8673000000000002</v>
      </c>
      <c r="H3509" s="83" t="s">
        <v>88</v>
      </c>
    </row>
    <row r="3510" spans="1:8" ht="16.5" customHeight="1" x14ac:dyDescent="0.25">
      <c r="A3510" s="27">
        <v>46076</v>
      </c>
      <c r="B3510" s="80">
        <v>2026</v>
      </c>
      <c r="C3510" s="80">
        <v>2</v>
      </c>
      <c r="D3510" s="30" t="s">
        <v>37</v>
      </c>
      <c r="E3510" s="30" t="s">
        <v>66</v>
      </c>
      <c r="F3510" s="30" t="s">
        <v>43</v>
      </c>
      <c r="G3510" s="33">
        <v>1.5549999999999999</v>
      </c>
      <c r="H3510" s="83" t="s">
        <v>89</v>
      </c>
    </row>
    <row r="3511" spans="1:8" ht="16.5" customHeight="1" x14ac:dyDescent="0.25">
      <c r="A3511" s="27">
        <v>46076</v>
      </c>
      <c r="B3511" s="80">
        <v>2026</v>
      </c>
      <c r="C3511" s="80">
        <v>2</v>
      </c>
      <c r="D3511" s="30" t="s">
        <v>37</v>
      </c>
      <c r="E3511" s="30" t="s">
        <v>68</v>
      </c>
      <c r="F3511" s="30" t="s">
        <v>43</v>
      </c>
      <c r="G3511" s="33">
        <v>4.2960000000000003</v>
      </c>
      <c r="H3511" s="83" t="s">
        <v>89</v>
      </c>
    </row>
    <row r="3512" spans="1:8" ht="16.5" customHeight="1" x14ac:dyDescent="0.25">
      <c r="A3512" s="27">
        <v>46076</v>
      </c>
      <c r="B3512" s="80">
        <v>2026</v>
      </c>
      <c r="C3512" s="80">
        <v>2</v>
      </c>
      <c r="D3512" s="30" t="s">
        <v>37</v>
      </c>
      <c r="E3512" s="30" t="s">
        <v>71</v>
      </c>
      <c r="F3512" s="30" t="s">
        <v>43</v>
      </c>
      <c r="G3512" s="33">
        <v>2.2799999999999998</v>
      </c>
      <c r="H3512" s="83" t="s">
        <v>89</v>
      </c>
    </row>
    <row r="3513" spans="1:8" ht="16.5" customHeight="1" x14ac:dyDescent="0.25">
      <c r="A3513" s="27">
        <v>46076</v>
      </c>
      <c r="B3513" s="80">
        <v>2026</v>
      </c>
      <c r="C3513" s="80">
        <v>2</v>
      </c>
      <c r="D3513" s="30" t="s">
        <v>37</v>
      </c>
      <c r="E3513" s="30" t="s">
        <v>73</v>
      </c>
      <c r="F3513" s="30" t="s">
        <v>43</v>
      </c>
      <c r="G3513" s="33">
        <v>2.3588800000000001</v>
      </c>
      <c r="H3513" s="83" t="s">
        <v>89</v>
      </c>
    </row>
    <row r="3514" spans="1:8" ht="16.5" customHeight="1" x14ac:dyDescent="0.25">
      <c r="A3514" s="27">
        <v>46076</v>
      </c>
      <c r="B3514" s="80">
        <v>2026</v>
      </c>
      <c r="C3514" s="80">
        <v>2</v>
      </c>
      <c r="D3514" s="30" t="s">
        <v>37</v>
      </c>
      <c r="E3514" s="30" t="s">
        <v>74</v>
      </c>
      <c r="F3514" s="30" t="s">
        <v>43</v>
      </c>
      <c r="G3514" s="33">
        <v>30</v>
      </c>
      <c r="H3514" s="83" t="s">
        <v>89</v>
      </c>
    </row>
    <row r="3515" spans="1:8" ht="16.5" customHeight="1" x14ac:dyDescent="0.25">
      <c r="A3515" s="27">
        <v>46076</v>
      </c>
      <c r="B3515" s="80">
        <v>2026</v>
      </c>
      <c r="C3515" s="80">
        <v>2</v>
      </c>
      <c r="D3515" s="30" t="s">
        <v>37</v>
      </c>
      <c r="E3515" s="30" t="s">
        <v>75</v>
      </c>
      <c r="F3515" s="30" t="s">
        <v>43</v>
      </c>
      <c r="G3515" s="33">
        <v>19.822644</v>
      </c>
      <c r="H3515" s="83" t="s">
        <v>48</v>
      </c>
    </row>
    <row r="3516" spans="1:8" ht="16.5" customHeight="1" x14ac:dyDescent="0.25">
      <c r="A3516" s="27">
        <v>46077</v>
      </c>
      <c r="B3516" s="80">
        <v>2026</v>
      </c>
      <c r="C3516" s="80">
        <v>2</v>
      </c>
      <c r="D3516" s="30" t="s">
        <v>37</v>
      </c>
      <c r="E3516" s="30" t="s">
        <v>46</v>
      </c>
      <c r="F3516" s="30" t="s">
        <v>43</v>
      </c>
      <c r="G3516" s="33">
        <v>11.47399248</v>
      </c>
      <c r="H3516" s="83" t="s">
        <v>88</v>
      </c>
    </row>
    <row r="3517" spans="1:8" ht="16.5" customHeight="1" x14ac:dyDescent="0.25">
      <c r="A3517" s="27">
        <v>46077</v>
      </c>
      <c r="B3517" s="80">
        <v>2026</v>
      </c>
      <c r="C3517" s="80">
        <v>2</v>
      </c>
      <c r="D3517" s="30" t="s">
        <v>37</v>
      </c>
      <c r="E3517" s="30" t="s">
        <v>46</v>
      </c>
      <c r="F3517" s="30" t="s">
        <v>51</v>
      </c>
      <c r="G3517" s="33">
        <v>0.56952000000000003</v>
      </c>
      <c r="H3517" s="83" t="s">
        <v>88</v>
      </c>
    </row>
    <row r="3518" spans="1:8" ht="16.5" customHeight="1" x14ac:dyDescent="0.25">
      <c r="A3518" s="27">
        <v>46077</v>
      </c>
      <c r="B3518" s="80">
        <v>2026</v>
      </c>
      <c r="C3518" s="80">
        <v>2</v>
      </c>
      <c r="D3518" s="30" t="s">
        <v>37</v>
      </c>
      <c r="E3518" s="30" t="s">
        <v>46</v>
      </c>
      <c r="F3518" s="30" t="s">
        <v>58</v>
      </c>
      <c r="G3518" s="33">
        <v>5.8036799999999999E-2</v>
      </c>
      <c r="H3518" s="83" t="s">
        <v>88</v>
      </c>
    </row>
    <row r="3519" spans="1:8" ht="16.5" customHeight="1" x14ac:dyDescent="0.25">
      <c r="A3519" s="27">
        <v>46077</v>
      </c>
      <c r="B3519" s="80">
        <v>2026</v>
      </c>
      <c r="C3519" s="80">
        <v>2</v>
      </c>
      <c r="D3519" s="30" t="s">
        <v>37</v>
      </c>
      <c r="E3519" s="30" t="s">
        <v>50</v>
      </c>
      <c r="F3519" s="30" t="s">
        <v>43</v>
      </c>
      <c r="G3519" s="33">
        <v>3.2282744999999999</v>
      </c>
      <c r="H3519" s="83" t="s">
        <v>88</v>
      </c>
    </row>
    <row r="3520" spans="1:8" ht="16.5" customHeight="1" x14ac:dyDescent="0.25">
      <c r="A3520" s="27">
        <v>46077</v>
      </c>
      <c r="B3520" s="80">
        <v>2026</v>
      </c>
      <c r="C3520" s="80">
        <v>2</v>
      </c>
      <c r="D3520" s="30" t="s">
        <v>37</v>
      </c>
      <c r="E3520" s="30" t="s">
        <v>50</v>
      </c>
      <c r="F3520" s="30" t="s">
        <v>47</v>
      </c>
      <c r="G3520" s="33">
        <v>0.120666</v>
      </c>
      <c r="H3520" s="83" t="s">
        <v>88</v>
      </c>
    </row>
    <row r="3521" spans="1:8" ht="16.5" customHeight="1" x14ac:dyDescent="0.25">
      <c r="A3521" s="27">
        <v>46077</v>
      </c>
      <c r="B3521" s="80">
        <v>2026</v>
      </c>
      <c r="C3521" s="80">
        <v>2</v>
      </c>
      <c r="D3521" s="30" t="s">
        <v>37</v>
      </c>
      <c r="E3521" s="30" t="s">
        <v>50</v>
      </c>
      <c r="F3521" s="30" t="s">
        <v>58</v>
      </c>
      <c r="G3521" s="33">
        <v>0.42069846</v>
      </c>
      <c r="H3521" s="83" t="s">
        <v>88</v>
      </c>
    </row>
    <row r="3522" spans="1:8" ht="16.5" customHeight="1" x14ac:dyDescent="0.25">
      <c r="A3522" s="27">
        <v>46077</v>
      </c>
      <c r="B3522" s="80">
        <v>2026</v>
      </c>
      <c r="C3522" s="80">
        <v>2</v>
      </c>
      <c r="D3522" s="30" t="s">
        <v>37</v>
      </c>
      <c r="E3522" s="30" t="s">
        <v>54</v>
      </c>
      <c r="F3522" s="30" t="s">
        <v>43</v>
      </c>
      <c r="G3522" s="33">
        <v>6.0949999999999998</v>
      </c>
      <c r="H3522" s="83" t="s">
        <v>88</v>
      </c>
    </row>
    <row r="3523" spans="1:8" ht="16.5" customHeight="1" x14ac:dyDescent="0.25">
      <c r="A3523" s="27">
        <v>46077</v>
      </c>
      <c r="B3523" s="80">
        <v>2026</v>
      </c>
      <c r="C3523" s="80">
        <v>2</v>
      </c>
      <c r="D3523" s="30" t="s">
        <v>37</v>
      </c>
      <c r="E3523" s="30" t="s">
        <v>54</v>
      </c>
      <c r="F3523" s="30" t="s">
        <v>47</v>
      </c>
      <c r="G3523" s="33">
        <v>0.96</v>
      </c>
      <c r="H3523" s="83" t="s">
        <v>88</v>
      </c>
    </row>
    <row r="3524" spans="1:8" ht="16.5" customHeight="1" x14ac:dyDescent="0.25">
      <c r="A3524" s="27">
        <v>46077</v>
      </c>
      <c r="B3524" s="80">
        <v>2026</v>
      </c>
      <c r="C3524" s="80">
        <v>2</v>
      </c>
      <c r="D3524" s="30" t="s">
        <v>37</v>
      </c>
      <c r="E3524" s="30" t="s">
        <v>61</v>
      </c>
      <c r="F3524" s="30" t="s">
        <v>47</v>
      </c>
      <c r="G3524" s="33">
        <v>0.05</v>
      </c>
      <c r="H3524" s="83" t="s">
        <v>89</v>
      </c>
    </row>
    <row r="3525" spans="1:8" ht="16.5" customHeight="1" x14ac:dyDescent="0.25">
      <c r="A3525" s="27">
        <v>46077</v>
      </c>
      <c r="B3525" s="80">
        <v>2026</v>
      </c>
      <c r="C3525" s="80">
        <v>2</v>
      </c>
      <c r="D3525" s="30" t="s">
        <v>37</v>
      </c>
      <c r="E3525" s="30" t="s">
        <v>64</v>
      </c>
      <c r="F3525" s="30" t="s">
        <v>43</v>
      </c>
      <c r="G3525" s="33">
        <v>84</v>
      </c>
      <c r="H3525" s="83" t="s">
        <v>89</v>
      </c>
    </row>
    <row r="3526" spans="1:8" ht="16.5" customHeight="1" x14ac:dyDescent="0.25">
      <c r="A3526" s="27">
        <v>46077</v>
      </c>
      <c r="B3526" s="80">
        <v>2026</v>
      </c>
      <c r="C3526" s="80">
        <v>2</v>
      </c>
      <c r="D3526" s="30" t="s">
        <v>37</v>
      </c>
      <c r="E3526" s="30" t="s">
        <v>68</v>
      </c>
      <c r="F3526" s="30" t="s">
        <v>43</v>
      </c>
      <c r="G3526" s="33">
        <v>7.03</v>
      </c>
      <c r="H3526" s="83" t="s">
        <v>89</v>
      </c>
    </row>
    <row r="3527" spans="1:8" ht="16.5" customHeight="1" x14ac:dyDescent="0.25">
      <c r="A3527" s="27">
        <v>46077</v>
      </c>
      <c r="B3527" s="80">
        <v>2026</v>
      </c>
      <c r="C3527" s="80">
        <v>2</v>
      </c>
      <c r="D3527" s="30" t="s">
        <v>37</v>
      </c>
      <c r="E3527" s="30" t="s">
        <v>71</v>
      </c>
      <c r="F3527" s="30" t="s">
        <v>43</v>
      </c>
      <c r="G3527" s="33">
        <v>16.098500000000001</v>
      </c>
      <c r="H3527" s="83" t="s">
        <v>89</v>
      </c>
    </row>
    <row r="3528" spans="1:8" ht="16.5" customHeight="1" x14ac:dyDescent="0.25">
      <c r="A3528" s="27">
        <v>46077</v>
      </c>
      <c r="B3528" s="80">
        <v>2026</v>
      </c>
      <c r="C3528" s="80">
        <v>2</v>
      </c>
      <c r="D3528" s="30" t="s">
        <v>37</v>
      </c>
      <c r="E3528" s="30" t="s">
        <v>75</v>
      </c>
      <c r="F3528" s="30" t="s">
        <v>43</v>
      </c>
      <c r="G3528" s="33">
        <v>251.2911</v>
      </c>
      <c r="H3528" s="83" t="s">
        <v>48</v>
      </c>
    </row>
    <row r="3529" spans="1:8" ht="16.5" customHeight="1" x14ac:dyDescent="0.25">
      <c r="A3529" s="27">
        <v>46077</v>
      </c>
      <c r="B3529" s="80">
        <v>2026</v>
      </c>
      <c r="C3529" s="80">
        <v>2</v>
      </c>
      <c r="D3529" s="30" t="s">
        <v>37</v>
      </c>
      <c r="E3529" s="30" t="s">
        <v>75</v>
      </c>
      <c r="F3529" s="30" t="s">
        <v>47</v>
      </c>
      <c r="G3529" s="33">
        <v>56.313200000000002</v>
      </c>
      <c r="H3529" s="83" t="s">
        <v>48</v>
      </c>
    </row>
    <row r="3530" spans="1:8" ht="16.5" customHeight="1" x14ac:dyDescent="0.25">
      <c r="A3530" s="27">
        <v>46078</v>
      </c>
      <c r="B3530" s="80">
        <v>2026</v>
      </c>
      <c r="C3530" s="80">
        <v>2</v>
      </c>
      <c r="D3530" s="30" t="s">
        <v>37</v>
      </c>
      <c r="E3530" s="30" t="s">
        <v>42</v>
      </c>
      <c r="F3530" s="30" t="s">
        <v>43</v>
      </c>
      <c r="G3530" s="33">
        <v>1.03887</v>
      </c>
      <c r="H3530" s="83" t="s">
        <v>88</v>
      </c>
    </row>
    <row r="3531" spans="1:8" ht="16.5" customHeight="1" x14ac:dyDescent="0.25">
      <c r="A3531" s="27">
        <v>46078</v>
      </c>
      <c r="B3531" s="80">
        <v>2026</v>
      </c>
      <c r="C3531" s="80">
        <v>2</v>
      </c>
      <c r="D3531" s="30" t="s">
        <v>37</v>
      </c>
      <c r="E3531" s="30" t="s">
        <v>42</v>
      </c>
      <c r="F3531" s="30" t="s">
        <v>58</v>
      </c>
      <c r="G3531" s="33">
        <v>1.1737500000000001</v>
      </c>
      <c r="H3531" s="83" t="s">
        <v>88</v>
      </c>
    </row>
    <row r="3532" spans="1:8" ht="16.5" customHeight="1" x14ac:dyDescent="0.25">
      <c r="A3532" s="27">
        <v>46078</v>
      </c>
      <c r="B3532" s="80">
        <v>2026</v>
      </c>
      <c r="C3532" s="80">
        <v>2</v>
      </c>
      <c r="D3532" s="30" t="s">
        <v>37</v>
      </c>
      <c r="E3532" s="30" t="s">
        <v>46</v>
      </c>
      <c r="F3532" s="30" t="s">
        <v>43</v>
      </c>
      <c r="G3532" s="33">
        <v>1.86839884</v>
      </c>
      <c r="H3532" s="83" t="s">
        <v>88</v>
      </c>
    </row>
    <row r="3533" spans="1:8" ht="16.5" customHeight="1" x14ac:dyDescent="0.25">
      <c r="A3533" s="27">
        <v>46078</v>
      </c>
      <c r="B3533" s="80">
        <v>2026</v>
      </c>
      <c r="C3533" s="80">
        <v>2</v>
      </c>
      <c r="D3533" s="30" t="s">
        <v>37</v>
      </c>
      <c r="E3533" s="30" t="s">
        <v>46</v>
      </c>
      <c r="F3533" s="30" t="s">
        <v>58</v>
      </c>
      <c r="G3533" s="33">
        <v>0.33954511999999998</v>
      </c>
      <c r="H3533" s="83" t="s">
        <v>88</v>
      </c>
    </row>
    <row r="3534" spans="1:8" ht="16.5" customHeight="1" x14ac:dyDescent="0.25">
      <c r="A3534" s="27">
        <v>46078</v>
      </c>
      <c r="B3534" s="80">
        <v>2026</v>
      </c>
      <c r="C3534" s="80">
        <v>2</v>
      </c>
      <c r="D3534" s="30" t="s">
        <v>37</v>
      </c>
      <c r="E3534" s="30" t="s">
        <v>50</v>
      </c>
      <c r="F3534" s="30" t="s">
        <v>47</v>
      </c>
      <c r="G3534" s="33">
        <v>0.62160000000000004</v>
      </c>
      <c r="H3534" s="83" t="s">
        <v>88</v>
      </c>
    </row>
    <row r="3535" spans="1:8" ht="16.5" customHeight="1" x14ac:dyDescent="0.25">
      <c r="A3535" s="27">
        <v>46078</v>
      </c>
      <c r="B3535" s="80">
        <v>2026</v>
      </c>
      <c r="C3535" s="80">
        <v>2</v>
      </c>
      <c r="D3535" s="30" t="s">
        <v>37</v>
      </c>
      <c r="E3535" s="30" t="s">
        <v>50</v>
      </c>
      <c r="F3535" s="30" t="s">
        <v>51</v>
      </c>
      <c r="G3535" s="33">
        <v>0.73950000000000005</v>
      </c>
      <c r="H3535" s="83" t="s">
        <v>88</v>
      </c>
    </row>
    <row r="3536" spans="1:8" ht="16.5" customHeight="1" x14ac:dyDescent="0.25">
      <c r="A3536" s="27">
        <v>46078</v>
      </c>
      <c r="B3536" s="80">
        <v>2026</v>
      </c>
      <c r="C3536" s="80">
        <v>2</v>
      </c>
      <c r="D3536" s="30" t="s">
        <v>37</v>
      </c>
      <c r="E3536" s="30" t="s">
        <v>50</v>
      </c>
      <c r="F3536" s="30" t="s">
        <v>58</v>
      </c>
      <c r="G3536" s="33">
        <v>10.694502</v>
      </c>
      <c r="H3536" s="83" t="s">
        <v>88</v>
      </c>
    </row>
    <row r="3537" spans="1:8" ht="16.5" customHeight="1" x14ac:dyDescent="0.25">
      <c r="A3537" s="27">
        <v>46078</v>
      </c>
      <c r="B3537" s="80">
        <v>2026</v>
      </c>
      <c r="C3537" s="80">
        <v>2</v>
      </c>
      <c r="D3537" s="30" t="s">
        <v>37</v>
      </c>
      <c r="E3537" s="30" t="s">
        <v>54</v>
      </c>
      <c r="F3537" s="30" t="s">
        <v>43</v>
      </c>
      <c r="G3537" s="33">
        <v>4.4396500000000003</v>
      </c>
      <c r="H3537" s="83" t="s">
        <v>88</v>
      </c>
    </row>
    <row r="3538" spans="1:8" ht="16.5" customHeight="1" x14ac:dyDescent="0.25">
      <c r="A3538" s="27">
        <v>46078</v>
      </c>
      <c r="B3538" s="80">
        <v>2026</v>
      </c>
      <c r="C3538" s="80">
        <v>2</v>
      </c>
      <c r="D3538" s="30" t="s">
        <v>37</v>
      </c>
      <c r="E3538" s="30" t="s">
        <v>57</v>
      </c>
      <c r="F3538" s="30" t="s">
        <v>43</v>
      </c>
      <c r="G3538" s="33">
        <v>0.53200000000000003</v>
      </c>
      <c r="H3538" s="83" t="s">
        <v>89</v>
      </c>
    </row>
    <row r="3539" spans="1:8" ht="16.5" customHeight="1" x14ac:dyDescent="0.25">
      <c r="A3539" s="27">
        <v>46078</v>
      </c>
      <c r="B3539" s="80">
        <v>2026</v>
      </c>
      <c r="C3539" s="80">
        <v>2</v>
      </c>
      <c r="D3539" s="30" t="s">
        <v>37</v>
      </c>
      <c r="E3539" s="30" t="s">
        <v>57</v>
      </c>
      <c r="F3539" s="30" t="s">
        <v>55</v>
      </c>
      <c r="G3539" s="33">
        <v>3.78</v>
      </c>
      <c r="H3539" s="83" t="s">
        <v>89</v>
      </c>
    </row>
    <row r="3540" spans="1:8" ht="16.5" customHeight="1" x14ac:dyDescent="0.25">
      <c r="A3540" s="27">
        <v>46078</v>
      </c>
      <c r="B3540" s="80">
        <v>2026</v>
      </c>
      <c r="C3540" s="80">
        <v>2</v>
      </c>
      <c r="D3540" s="30" t="s">
        <v>37</v>
      </c>
      <c r="E3540" s="30" t="s">
        <v>64</v>
      </c>
      <c r="F3540" s="30" t="s">
        <v>43</v>
      </c>
      <c r="G3540" s="33">
        <v>2.2009500000000002</v>
      </c>
      <c r="H3540" s="83" t="s">
        <v>89</v>
      </c>
    </row>
    <row r="3541" spans="1:8" ht="16.5" customHeight="1" x14ac:dyDescent="0.25">
      <c r="A3541" s="27">
        <v>46078</v>
      </c>
      <c r="B3541" s="80">
        <v>2026</v>
      </c>
      <c r="C3541" s="80">
        <v>2</v>
      </c>
      <c r="D3541" s="30" t="s">
        <v>37</v>
      </c>
      <c r="E3541" s="30" t="s">
        <v>68</v>
      </c>
      <c r="F3541" s="30" t="s">
        <v>43</v>
      </c>
      <c r="G3541" s="33">
        <v>3.8519999999999999</v>
      </c>
      <c r="H3541" s="83" t="s">
        <v>89</v>
      </c>
    </row>
    <row r="3542" spans="1:8" ht="16.5" customHeight="1" x14ac:dyDescent="0.25">
      <c r="A3542" s="27">
        <v>46078</v>
      </c>
      <c r="B3542" s="80">
        <v>2026</v>
      </c>
      <c r="C3542" s="80">
        <v>2</v>
      </c>
      <c r="D3542" s="30" t="s">
        <v>37</v>
      </c>
      <c r="E3542" s="30" t="s">
        <v>71</v>
      </c>
      <c r="F3542" s="30" t="s">
        <v>39</v>
      </c>
      <c r="G3542" s="33">
        <v>5.3129999999999997</v>
      </c>
      <c r="H3542" s="83" t="s">
        <v>89</v>
      </c>
    </row>
    <row r="3543" spans="1:8" ht="16.5" customHeight="1" x14ac:dyDescent="0.25">
      <c r="A3543" s="27">
        <v>46078</v>
      </c>
      <c r="B3543" s="80">
        <v>2026</v>
      </c>
      <c r="C3543" s="80">
        <v>2</v>
      </c>
      <c r="D3543" s="30" t="s">
        <v>37</v>
      </c>
      <c r="E3543" s="30" t="s">
        <v>76</v>
      </c>
      <c r="F3543" s="30" t="s">
        <v>43</v>
      </c>
      <c r="G3543" s="33">
        <v>4.2408000000000001</v>
      </c>
      <c r="H3543" s="83" t="s">
        <v>48</v>
      </c>
    </row>
    <row r="3544" spans="1:8" ht="16.5" customHeight="1" x14ac:dyDescent="0.25">
      <c r="A3544" s="27">
        <v>46079</v>
      </c>
      <c r="B3544" s="80">
        <v>2026</v>
      </c>
      <c r="C3544" s="80">
        <v>2</v>
      </c>
      <c r="D3544" s="30" t="s">
        <v>37</v>
      </c>
      <c r="E3544" s="30" t="s">
        <v>38</v>
      </c>
      <c r="F3544" s="30" t="s">
        <v>43</v>
      </c>
      <c r="G3544" s="33">
        <v>3.4034</v>
      </c>
      <c r="H3544" s="83" t="s">
        <v>88</v>
      </c>
    </row>
    <row r="3545" spans="1:8" ht="16.5" customHeight="1" x14ac:dyDescent="0.25">
      <c r="A3545" s="27">
        <v>46079</v>
      </c>
      <c r="B3545" s="80">
        <v>2026</v>
      </c>
      <c r="C3545" s="80">
        <v>2</v>
      </c>
      <c r="D3545" s="30" t="s">
        <v>37</v>
      </c>
      <c r="E3545" s="30" t="s">
        <v>42</v>
      </c>
      <c r="F3545" s="30" t="s">
        <v>43</v>
      </c>
      <c r="G3545" s="33">
        <v>3.518456</v>
      </c>
      <c r="H3545" s="83" t="s">
        <v>88</v>
      </c>
    </row>
    <row r="3546" spans="1:8" ht="16.5" customHeight="1" x14ac:dyDescent="0.25">
      <c r="A3546" s="27">
        <v>46079</v>
      </c>
      <c r="B3546" s="80">
        <v>2026</v>
      </c>
      <c r="C3546" s="80">
        <v>2</v>
      </c>
      <c r="D3546" s="30" t="s">
        <v>37</v>
      </c>
      <c r="E3546" s="30" t="s">
        <v>42</v>
      </c>
      <c r="F3546" s="30" t="s">
        <v>55</v>
      </c>
      <c r="G3546" s="33">
        <v>3.2241499999999998</v>
      </c>
      <c r="H3546" s="83" t="s">
        <v>88</v>
      </c>
    </row>
    <row r="3547" spans="1:8" ht="16.5" customHeight="1" x14ac:dyDescent="0.25">
      <c r="A3547" s="27">
        <v>46079</v>
      </c>
      <c r="B3547" s="80">
        <v>2026</v>
      </c>
      <c r="C3547" s="80">
        <v>2</v>
      </c>
      <c r="D3547" s="30" t="s">
        <v>37</v>
      </c>
      <c r="E3547" s="30" t="s">
        <v>46</v>
      </c>
      <c r="F3547" s="30" t="s">
        <v>43</v>
      </c>
      <c r="G3547" s="33">
        <v>1.5242880000000001</v>
      </c>
      <c r="H3547" s="83" t="s">
        <v>88</v>
      </c>
    </row>
    <row r="3548" spans="1:8" ht="16.5" customHeight="1" x14ac:dyDescent="0.25">
      <c r="A3548" s="27">
        <v>46079</v>
      </c>
      <c r="B3548" s="80">
        <v>2026</v>
      </c>
      <c r="C3548" s="80">
        <v>2</v>
      </c>
      <c r="D3548" s="30" t="s">
        <v>37</v>
      </c>
      <c r="E3548" s="30" t="s">
        <v>46</v>
      </c>
      <c r="F3548" s="30" t="s">
        <v>58</v>
      </c>
      <c r="G3548" s="33">
        <v>0.33954511999999998</v>
      </c>
      <c r="H3548" s="83" t="s">
        <v>88</v>
      </c>
    </row>
    <row r="3549" spans="1:8" ht="16.5" customHeight="1" x14ac:dyDescent="0.25">
      <c r="A3549" s="27">
        <v>46079</v>
      </c>
      <c r="B3549" s="80">
        <v>2026</v>
      </c>
      <c r="C3549" s="80">
        <v>2</v>
      </c>
      <c r="D3549" s="30" t="s">
        <v>37</v>
      </c>
      <c r="E3549" s="30" t="s">
        <v>50</v>
      </c>
      <c r="F3549" s="30" t="s">
        <v>43</v>
      </c>
      <c r="G3549" s="33">
        <v>7.9157622500000002</v>
      </c>
      <c r="H3549" s="83" t="s">
        <v>88</v>
      </c>
    </row>
    <row r="3550" spans="1:8" ht="16.5" customHeight="1" x14ac:dyDescent="0.25">
      <c r="A3550" s="27">
        <v>46079</v>
      </c>
      <c r="B3550" s="80">
        <v>2026</v>
      </c>
      <c r="C3550" s="80">
        <v>2</v>
      </c>
      <c r="D3550" s="30" t="s">
        <v>37</v>
      </c>
      <c r="E3550" s="30" t="s">
        <v>50</v>
      </c>
      <c r="F3550" s="30" t="s">
        <v>47</v>
      </c>
      <c r="G3550" s="33">
        <v>1.5731999999999999</v>
      </c>
      <c r="H3550" s="83" t="s">
        <v>88</v>
      </c>
    </row>
    <row r="3551" spans="1:8" ht="16.5" customHeight="1" x14ac:dyDescent="0.25">
      <c r="A3551" s="27">
        <v>46079</v>
      </c>
      <c r="B3551" s="80">
        <v>2026</v>
      </c>
      <c r="C3551" s="80">
        <v>2</v>
      </c>
      <c r="D3551" s="30" t="s">
        <v>37</v>
      </c>
      <c r="E3551" s="30" t="s">
        <v>50</v>
      </c>
      <c r="F3551" s="30" t="s">
        <v>55</v>
      </c>
      <c r="G3551" s="33">
        <v>0.89249999999999996</v>
      </c>
      <c r="H3551" s="83" t="s">
        <v>88</v>
      </c>
    </row>
    <row r="3552" spans="1:8" ht="16.5" customHeight="1" x14ac:dyDescent="0.25">
      <c r="A3552" s="27">
        <v>46079</v>
      </c>
      <c r="B3552" s="80">
        <v>2026</v>
      </c>
      <c r="C3552" s="80">
        <v>2</v>
      </c>
      <c r="D3552" s="30" t="s">
        <v>37</v>
      </c>
      <c r="E3552" s="30" t="s">
        <v>50</v>
      </c>
      <c r="F3552" s="30" t="s">
        <v>58</v>
      </c>
      <c r="G3552" s="33">
        <v>4.8163263599999997</v>
      </c>
      <c r="H3552" s="83" t="s">
        <v>88</v>
      </c>
    </row>
    <row r="3553" spans="1:8" ht="16.5" customHeight="1" x14ac:dyDescent="0.25">
      <c r="A3553" s="27">
        <v>46079</v>
      </c>
      <c r="B3553" s="80">
        <v>2026</v>
      </c>
      <c r="C3553" s="80">
        <v>2</v>
      </c>
      <c r="D3553" s="30" t="s">
        <v>37</v>
      </c>
      <c r="E3553" s="30" t="s">
        <v>54</v>
      </c>
      <c r="F3553" s="30" t="s">
        <v>43</v>
      </c>
      <c r="G3553" s="33">
        <v>4.0414500000000002</v>
      </c>
      <c r="H3553" s="83" t="s">
        <v>88</v>
      </c>
    </row>
    <row r="3554" spans="1:8" ht="16.5" customHeight="1" x14ac:dyDescent="0.25">
      <c r="A3554" s="27">
        <v>46079</v>
      </c>
      <c r="B3554" s="80">
        <v>2026</v>
      </c>
      <c r="C3554" s="80">
        <v>2</v>
      </c>
      <c r="D3554" s="30" t="s">
        <v>37</v>
      </c>
      <c r="E3554" s="30" t="s">
        <v>66</v>
      </c>
      <c r="F3554" s="30" t="s">
        <v>43</v>
      </c>
      <c r="G3554" s="33">
        <v>2.4</v>
      </c>
      <c r="H3554" s="83" t="s">
        <v>89</v>
      </c>
    </row>
    <row r="3555" spans="1:8" ht="16.5" customHeight="1" x14ac:dyDescent="0.25">
      <c r="A3555" s="27">
        <v>46079</v>
      </c>
      <c r="B3555" s="80">
        <v>2026</v>
      </c>
      <c r="C3555" s="80">
        <v>2</v>
      </c>
      <c r="D3555" s="30" t="s">
        <v>37</v>
      </c>
      <c r="E3555" s="30" t="s">
        <v>68</v>
      </c>
      <c r="F3555" s="30" t="s">
        <v>43</v>
      </c>
      <c r="G3555" s="33">
        <v>1.351</v>
      </c>
      <c r="H3555" s="83" t="s">
        <v>89</v>
      </c>
    </row>
    <row r="3556" spans="1:8" ht="16.5" customHeight="1" x14ac:dyDescent="0.25">
      <c r="A3556" s="27">
        <v>46079</v>
      </c>
      <c r="B3556" s="80">
        <v>2026</v>
      </c>
      <c r="C3556" s="80">
        <v>2</v>
      </c>
      <c r="D3556" s="30" t="s">
        <v>37</v>
      </c>
      <c r="E3556" s="30" t="s">
        <v>73</v>
      </c>
      <c r="F3556" s="30" t="s">
        <v>43</v>
      </c>
      <c r="G3556" s="33">
        <v>20.591000000000001</v>
      </c>
      <c r="H3556" s="83" t="s">
        <v>89</v>
      </c>
    </row>
    <row r="3557" spans="1:8" ht="16.5" customHeight="1" x14ac:dyDescent="0.25">
      <c r="A3557" s="27">
        <v>46079</v>
      </c>
      <c r="B3557" s="80">
        <v>2026</v>
      </c>
      <c r="C3557" s="80">
        <v>2</v>
      </c>
      <c r="D3557" s="30" t="s">
        <v>37</v>
      </c>
      <c r="E3557" s="30" t="s">
        <v>74</v>
      </c>
      <c r="F3557" s="30" t="s">
        <v>43</v>
      </c>
      <c r="G3557" s="33">
        <v>4.5136000000000003</v>
      </c>
      <c r="H3557" s="83" t="s">
        <v>89</v>
      </c>
    </row>
    <row r="3558" spans="1:8" ht="16.5" customHeight="1" x14ac:dyDescent="0.25">
      <c r="A3558" s="27">
        <v>46080</v>
      </c>
      <c r="B3558" s="80">
        <v>2026</v>
      </c>
      <c r="C3558" s="80">
        <v>2</v>
      </c>
      <c r="D3558" s="30" t="s">
        <v>37</v>
      </c>
      <c r="E3558" s="30" t="s">
        <v>38</v>
      </c>
      <c r="F3558" s="30" t="s">
        <v>43</v>
      </c>
      <c r="G3558" s="33">
        <v>2.0834999999999999</v>
      </c>
      <c r="H3558" s="83" t="s">
        <v>88</v>
      </c>
    </row>
    <row r="3559" spans="1:8" ht="16.5" customHeight="1" x14ac:dyDescent="0.25">
      <c r="A3559" s="27">
        <v>46080</v>
      </c>
      <c r="B3559" s="80">
        <v>2026</v>
      </c>
      <c r="C3559" s="80">
        <v>2</v>
      </c>
      <c r="D3559" s="30" t="s">
        <v>37</v>
      </c>
      <c r="E3559" s="30" t="s">
        <v>42</v>
      </c>
      <c r="F3559" s="30" t="s">
        <v>43</v>
      </c>
      <c r="G3559" s="33">
        <v>6.2904999999999998</v>
      </c>
      <c r="H3559" s="83" t="s">
        <v>88</v>
      </c>
    </row>
    <row r="3560" spans="1:8" ht="16.5" customHeight="1" x14ac:dyDescent="0.25">
      <c r="A3560" s="27">
        <v>46080</v>
      </c>
      <c r="B3560" s="80">
        <v>2026</v>
      </c>
      <c r="C3560" s="80">
        <v>2</v>
      </c>
      <c r="D3560" s="30" t="s">
        <v>37</v>
      </c>
      <c r="E3560" s="30" t="s">
        <v>46</v>
      </c>
      <c r="F3560" s="30" t="s">
        <v>58</v>
      </c>
      <c r="G3560" s="33">
        <v>0.52698679999999998</v>
      </c>
      <c r="H3560" s="83" t="s">
        <v>88</v>
      </c>
    </row>
    <row r="3561" spans="1:8" ht="16.5" customHeight="1" x14ac:dyDescent="0.25">
      <c r="A3561" s="27">
        <v>46080</v>
      </c>
      <c r="B3561" s="80">
        <v>2026</v>
      </c>
      <c r="C3561" s="80">
        <v>2</v>
      </c>
      <c r="D3561" s="30" t="s">
        <v>37</v>
      </c>
      <c r="E3561" s="30" t="s">
        <v>50</v>
      </c>
      <c r="F3561" s="30" t="s">
        <v>43</v>
      </c>
      <c r="G3561" s="33">
        <v>128.51953850000001</v>
      </c>
      <c r="H3561" s="83" t="s">
        <v>88</v>
      </c>
    </row>
    <row r="3562" spans="1:8" ht="16.5" customHeight="1" x14ac:dyDescent="0.25">
      <c r="A3562" s="27">
        <v>46080</v>
      </c>
      <c r="B3562" s="80">
        <v>2026</v>
      </c>
      <c r="C3562" s="80">
        <v>2</v>
      </c>
      <c r="D3562" s="30" t="s">
        <v>37</v>
      </c>
      <c r="E3562" s="30" t="s">
        <v>50</v>
      </c>
      <c r="F3562" s="30" t="s">
        <v>47</v>
      </c>
      <c r="G3562" s="33">
        <v>1.731522</v>
      </c>
      <c r="H3562" s="83" t="s">
        <v>88</v>
      </c>
    </row>
    <row r="3563" spans="1:8" ht="16.5" customHeight="1" x14ac:dyDescent="0.25">
      <c r="A3563" s="27">
        <v>46080</v>
      </c>
      <c r="B3563" s="80">
        <v>2026</v>
      </c>
      <c r="C3563" s="80">
        <v>2</v>
      </c>
      <c r="D3563" s="30" t="s">
        <v>37</v>
      </c>
      <c r="E3563" s="30" t="s">
        <v>54</v>
      </c>
      <c r="F3563" s="30" t="s">
        <v>43</v>
      </c>
      <c r="G3563" s="33">
        <v>8.3932500000000001</v>
      </c>
      <c r="H3563" s="83" t="s">
        <v>88</v>
      </c>
    </row>
    <row r="3564" spans="1:8" ht="16.5" customHeight="1" x14ac:dyDescent="0.25">
      <c r="A3564" s="27">
        <v>46080</v>
      </c>
      <c r="B3564" s="80">
        <v>2026</v>
      </c>
      <c r="C3564" s="80">
        <v>2</v>
      </c>
      <c r="D3564" s="30" t="s">
        <v>37</v>
      </c>
      <c r="E3564" s="30" t="s">
        <v>57</v>
      </c>
      <c r="F3564" s="30" t="s">
        <v>43</v>
      </c>
      <c r="G3564" s="33">
        <v>5.8224999999999998</v>
      </c>
      <c r="H3564" s="83" t="s">
        <v>89</v>
      </c>
    </row>
    <row r="3565" spans="1:8" ht="16.5" customHeight="1" x14ac:dyDescent="0.25">
      <c r="A3565" s="27">
        <v>46080</v>
      </c>
      <c r="B3565" s="80">
        <v>2026</v>
      </c>
      <c r="C3565" s="80">
        <v>2</v>
      </c>
      <c r="D3565" s="30" t="s">
        <v>37</v>
      </c>
      <c r="E3565" s="30" t="s">
        <v>61</v>
      </c>
      <c r="F3565" s="30" t="s">
        <v>43</v>
      </c>
      <c r="G3565" s="33">
        <v>4.92</v>
      </c>
      <c r="H3565" s="83" t="s">
        <v>89</v>
      </c>
    </row>
    <row r="3566" spans="1:8" ht="16.5" customHeight="1" x14ac:dyDescent="0.25">
      <c r="A3566" s="27">
        <v>46080</v>
      </c>
      <c r="B3566" s="80">
        <v>2026</v>
      </c>
      <c r="C3566" s="80">
        <v>2</v>
      </c>
      <c r="D3566" s="30" t="s">
        <v>37</v>
      </c>
      <c r="E3566" s="30" t="s">
        <v>64</v>
      </c>
      <c r="F3566" s="30" t="s">
        <v>43</v>
      </c>
      <c r="G3566" s="33">
        <v>4.3346600000000004</v>
      </c>
      <c r="H3566" s="83" t="s">
        <v>89</v>
      </c>
    </row>
    <row r="3567" spans="1:8" ht="16.5" customHeight="1" x14ac:dyDescent="0.25">
      <c r="A3567" s="27">
        <v>46080</v>
      </c>
      <c r="B3567" s="80">
        <v>2026</v>
      </c>
      <c r="C3567" s="80">
        <v>2</v>
      </c>
      <c r="D3567" s="30" t="s">
        <v>37</v>
      </c>
      <c r="E3567" s="30" t="s">
        <v>68</v>
      </c>
      <c r="F3567" s="30" t="s">
        <v>43</v>
      </c>
      <c r="G3567" s="33">
        <v>7.8105000000000002</v>
      </c>
      <c r="H3567" s="83" t="s">
        <v>89</v>
      </c>
    </row>
    <row r="3568" spans="1:8" ht="16.5" customHeight="1" x14ac:dyDescent="0.25">
      <c r="A3568" s="27">
        <v>46080</v>
      </c>
      <c r="B3568" s="80">
        <v>2026</v>
      </c>
      <c r="C3568" s="80">
        <v>2</v>
      </c>
      <c r="D3568" s="30" t="s">
        <v>37</v>
      </c>
      <c r="E3568" s="30" t="s">
        <v>68</v>
      </c>
      <c r="F3568" s="30" t="s">
        <v>55</v>
      </c>
      <c r="G3568" s="33">
        <v>1.2</v>
      </c>
      <c r="H3568" s="83" t="s">
        <v>89</v>
      </c>
    </row>
    <row r="3569" spans="1:8" ht="16.5" customHeight="1" x14ac:dyDescent="0.25">
      <c r="A3569" s="27">
        <v>46080</v>
      </c>
      <c r="B3569" s="80">
        <v>2026</v>
      </c>
      <c r="C3569" s="80">
        <v>2</v>
      </c>
      <c r="D3569" s="30" t="s">
        <v>37</v>
      </c>
      <c r="E3569" s="30" t="s">
        <v>74</v>
      </c>
      <c r="F3569" s="30" t="s">
        <v>43</v>
      </c>
      <c r="G3569" s="33">
        <v>73.828500000000005</v>
      </c>
      <c r="H3569" s="83" t="s">
        <v>89</v>
      </c>
    </row>
    <row r="3570" spans="1:8" ht="16.5" customHeight="1" x14ac:dyDescent="0.25">
      <c r="A3570" s="27">
        <v>46080</v>
      </c>
      <c r="B3570" s="80">
        <v>2026</v>
      </c>
      <c r="C3570" s="80">
        <v>2</v>
      </c>
      <c r="D3570" s="30" t="s">
        <v>37</v>
      </c>
      <c r="E3570" s="30" t="s">
        <v>75</v>
      </c>
      <c r="F3570" s="30" t="s">
        <v>47</v>
      </c>
      <c r="G3570" s="33">
        <v>1.87</v>
      </c>
      <c r="H3570" s="83" t="s">
        <v>48</v>
      </c>
    </row>
    <row r="3571" spans="1:8" ht="16.5" customHeight="1" x14ac:dyDescent="0.25">
      <c r="A3571" s="27">
        <v>46083</v>
      </c>
      <c r="B3571" s="80">
        <v>2026</v>
      </c>
      <c r="C3571" s="80">
        <v>3</v>
      </c>
      <c r="D3571" s="30" t="s">
        <v>41</v>
      </c>
      <c r="E3571" s="30" t="s">
        <v>38</v>
      </c>
      <c r="F3571" s="30" t="s">
        <v>43</v>
      </c>
      <c r="G3571" s="33">
        <v>2.4885000000000002</v>
      </c>
      <c r="H3571" s="83" t="s">
        <v>88</v>
      </c>
    </row>
    <row r="3572" spans="1:8" ht="16.5" customHeight="1" x14ac:dyDescent="0.25">
      <c r="A3572" s="27">
        <v>46083</v>
      </c>
      <c r="B3572" s="80">
        <v>2026</v>
      </c>
      <c r="C3572" s="80">
        <v>3</v>
      </c>
      <c r="D3572" s="30" t="s">
        <v>41</v>
      </c>
      <c r="E3572" s="30" t="s">
        <v>38</v>
      </c>
      <c r="F3572" s="30" t="s">
        <v>55</v>
      </c>
      <c r="G3572" s="33">
        <v>1.72</v>
      </c>
      <c r="H3572" s="83" t="s">
        <v>88</v>
      </c>
    </row>
    <row r="3573" spans="1:8" ht="16.5" customHeight="1" x14ac:dyDescent="0.25">
      <c r="A3573" s="27">
        <v>46083</v>
      </c>
      <c r="B3573" s="80">
        <v>2026</v>
      </c>
      <c r="C3573" s="80">
        <v>3</v>
      </c>
      <c r="D3573" s="30" t="s">
        <v>41</v>
      </c>
      <c r="E3573" s="30" t="s">
        <v>42</v>
      </c>
      <c r="F3573" s="30" t="s">
        <v>43</v>
      </c>
      <c r="G3573" s="33">
        <v>13.243</v>
      </c>
      <c r="H3573" s="83" t="s">
        <v>88</v>
      </c>
    </row>
    <row r="3574" spans="1:8" ht="16.5" customHeight="1" x14ac:dyDescent="0.25">
      <c r="A3574" s="27">
        <v>46083</v>
      </c>
      <c r="B3574" s="80">
        <v>2026</v>
      </c>
      <c r="C3574" s="80">
        <v>3</v>
      </c>
      <c r="D3574" s="30" t="s">
        <v>41</v>
      </c>
      <c r="E3574" s="30" t="s">
        <v>46</v>
      </c>
      <c r="F3574" s="30" t="s">
        <v>43</v>
      </c>
      <c r="G3574" s="33">
        <v>16.577167280000001</v>
      </c>
      <c r="H3574" s="83" t="s">
        <v>88</v>
      </c>
    </row>
    <row r="3575" spans="1:8" ht="16.5" customHeight="1" x14ac:dyDescent="0.25">
      <c r="A3575" s="27">
        <v>46083</v>
      </c>
      <c r="B3575" s="80">
        <v>2026</v>
      </c>
      <c r="C3575" s="80">
        <v>3</v>
      </c>
      <c r="D3575" s="30" t="s">
        <v>41</v>
      </c>
      <c r="E3575" s="30" t="s">
        <v>46</v>
      </c>
      <c r="F3575" s="30" t="s">
        <v>55</v>
      </c>
      <c r="G3575" s="33">
        <v>0.56335999999999997</v>
      </c>
      <c r="H3575" s="83" t="s">
        <v>88</v>
      </c>
    </row>
    <row r="3576" spans="1:8" ht="16.5" customHeight="1" x14ac:dyDescent="0.25">
      <c r="A3576" s="27">
        <v>46083</v>
      </c>
      <c r="B3576" s="80">
        <v>2026</v>
      </c>
      <c r="C3576" s="80">
        <v>3</v>
      </c>
      <c r="D3576" s="30" t="s">
        <v>41</v>
      </c>
      <c r="E3576" s="30" t="s">
        <v>50</v>
      </c>
      <c r="F3576" s="30" t="s">
        <v>43</v>
      </c>
      <c r="G3576" s="33">
        <v>3.4967955000000002</v>
      </c>
      <c r="H3576" s="83" t="s">
        <v>88</v>
      </c>
    </row>
    <row r="3577" spans="1:8" ht="16.5" customHeight="1" x14ac:dyDescent="0.25">
      <c r="A3577" s="27">
        <v>46083</v>
      </c>
      <c r="B3577" s="80">
        <v>2026</v>
      </c>
      <c r="C3577" s="80">
        <v>3</v>
      </c>
      <c r="D3577" s="30" t="s">
        <v>41</v>
      </c>
      <c r="E3577" s="30" t="s">
        <v>50</v>
      </c>
      <c r="F3577" s="30" t="s">
        <v>47</v>
      </c>
      <c r="G3577" s="33">
        <v>1.1104499999999999</v>
      </c>
      <c r="H3577" s="83" t="s">
        <v>88</v>
      </c>
    </row>
    <row r="3578" spans="1:8" ht="16.5" customHeight="1" x14ac:dyDescent="0.25">
      <c r="A3578" s="27">
        <v>46083</v>
      </c>
      <c r="B3578" s="80">
        <v>2026</v>
      </c>
      <c r="C3578" s="80">
        <v>3</v>
      </c>
      <c r="D3578" s="30" t="s">
        <v>41</v>
      </c>
      <c r="E3578" s="30" t="s">
        <v>50</v>
      </c>
      <c r="F3578" s="30" t="s">
        <v>51</v>
      </c>
      <c r="G3578" s="33">
        <v>0.2465</v>
      </c>
      <c r="H3578" s="83" t="s">
        <v>88</v>
      </c>
    </row>
    <row r="3579" spans="1:8" ht="16.5" customHeight="1" x14ac:dyDescent="0.25">
      <c r="A3579" s="27">
        <v>46083</v>
      </c>
      <c r="B3579" s="80">
        <v>2026</v>
      </c>
      <c r="C3579" s="80">
        <v>3</v>
      </c>
      <c r="D3579" s="30" t="s">
        <v>41</v>
      </c>
      <c r="E3579" s="30" t="s">
        <v>50</v>
      </c>
      <c r="F3579" s="30" t="s">
        <v>55</v>
      </c>
      <c r="G3579" s="33">
        <v>0.17849999999999999</v>
      </c>
      <c r="H3579" s="83" t="s">
        <v>88</v>
      </c>
    </row>
    <row r="3580" spans="1:8" ht="16.5" customHeight="1" x14ac:dyDescent="0.25">
      <c r="A3580" s="27">
        <v>46083</v>
      </c>
      <c r="B3580" s="80">
        <v>2026</v>
      </c>
      <c r="C3580" s="80">
        <v>3</v>
      </c>
      <c r="D3580" s="30" t="s">
        <v>41</v>
      </c>
      <c r="E3580" s="30" t="s">
        <v>50</v>
      </c>
      <c r="F3580" s="30" t="s">
        <v>58</v>
      </c>
      <c r="G3580" s="33">
        <v>6.3622499999999998E-2</v>
      </c>
      <c r="H3580" s="83" t="s">
        <v>88</v>
      </c>
    </row>
    <row r="3581" spans="1:8" ht="16.5" customHeight="1" x14ac:dyDescent="0.25">
      <c r="A3581" s="27">
        <v>46083</v>
      </c>
      <c r="B3581" s="80">
        <v>2026</v>
      </c>
      <c r="C3581" s="80">
        <v>3</v>
      </c>
      <c r="D3581" s="30" t="s">
        <v>41</v>
      </c>
      <c r="E3581" s="30" t="s">
        <v>54</v>
      </c>
      <c r="F3581" s="30" t="s">
        <v>43</v>
      </c>
      <c r="G3581" s="33">
        <v>1.19</v>
      </c>
      <c r="H3581" s="83" t="s">
        <v>88</v>
      </c>
    </row>
    <row r="3582" spans="1:8" ht="16.5" customHeight="1" x14ac:dyDescent="0.25">
      <c r="A3582" s="27">
        <v>46083</v>
      </c>
      <c r="B3582" s="80">
        <v>2026</v>
      </c>
      <c r="C3582" s="80">
        <v>3</v>
      </c>
      <c r="D3582" s="30" t="s">
        <v>41</v>
      </c>
      <c r="E3582" s="30" t="s">
        <v>54</v>
      </c>
      <c r="F3582" s="30" t="s">
        <v>47</v>
      </c>
      <c r="G3582" s="33">
        <v>0.58499999999999996</v>
      </c>
      <c r="H3582" s="83" t="s">
        <v>88</v>
      </c>
    </row>
    <row r="3583" spans="1:8" ht="16.5" customHeight="1" x14ac:dyDescent="0.25">
      <c r="A3583" s="27">
        <v>46083</v>
      </c>
      <c r="B3583" s="80">
        <v>2026</v>
      </c>
      <c r="C3583" s="80">
        <v>3</v>
      </c>
      <c r="D3583" s="30" t="s">
        <v>41</v>
      </c>
      <c r="E3583" s="30" t="s">
        <v>68</v>
      </c>
      <c r="F3583" s="30" t="s">
        <v>39</v>
      </c>
      <c r="G3583" s="33">
        <v>1.5785</v>
      </c>
      <c r="H3583" s="83" t="s">
        <v>89</v>
      </c>
    </row>
    <row r="3584" spans="1:8" ht="16.5" customHeight="1" x14ac:dyDescent="0.25">
      <c r="A3584" s="27">
        <v>46083</v>
      </c>
      <c r="B3584" s="80">
        <v>2026</v>
      </c>
      <c r="C3584" s="80">
        <v>3</v>
      </c>
      <c r="D3584" s="30" t="s">
        <v>41</v>
      </c>
      <c r="E3584" s="30" t="s">
        <v>68</v>
      </c>
      <c r="F3584" s="30" t="s">
        <v>43</v>
      </c>
      <c r="G3584" s="33">
        <v>3.70025</v>
      </c>
      <c r="H3584" s="83" t="s">
        <v>89</v>
      </c>
    </row>
    <row r="3585" spans="1:8" ht="16.5" customHeight="1" x14ac:dyDescent="0.25">
      <c r="A3585" s="27">
        <v>46083</v>
      </c>
      <c r="B3585" s="80">
        <v>2026</v>
      </c>
      <c r="C3585" s="80">
        <v>3</v>
      </c>
      <c r="D3585" s="30" t="s">
        <v>41</v>
      </c>
      <c r="E3585" s="30" t="s">
        <v>71</v>
      </c>
      <c r="F3585" s="30" t="s">
        <v>39</v>
      </c>
      <c r="G3585" s="33">
        <v>3.9503309999999998</v>
      </c>
      <c r="H3585" s="83" t="s">
        <v>89</v>
      </c>
    </row>
    <row r="3586" spans="1:8" ht="16.5" customHeight="1" x14ac:dyDescent="0.25">
      <c r="A3586" s="27">
        <v>46083</v>
      </c>
      <c r="B3586" s="80">
        <v>2026</v>
      </c>
      <c r="C3586" s="80">
        <v>3</v>
      </c>
      <c r="D3586" s="30" t="s">
        <v>41</v>
      </c>
      <c r="E3586" s="30" t="s">
        <v>71</v>
      </c>
      <c r="F3586" s="30" t="s">
        <v>43</v>
      </c>
      <c r="G3586" s="33">
        <v>20.372250000000001</v>
      </c>
      <c r="H3586" s="83" t="s">
        <v>89</v>
      </c>
    </row>
    <row r="3587" spans="1:8" ht="16.5" customHeight="1" x14ac:dyDescent="0.25">
      <c r="A3587" s="27">
        <v>46083</v>
      </c>
      <c r="B3587" s="80">
        <v>2026</v>
      </c>
      <c r="C3587" s="80">
        <v>3</v>
      </c>
      <c r="D3587" s="30" t="s">
        <v>41</v>
      </c>
      <c r="E3587" s="30" t="s">
        <v>75</v>
      </c>
      <c r="F3587" s="30" t="s">
        <v>43</v>
      </c>
      <c r="G3587" s="33">
        <v>4.1367620000000001</v>
      </c>
      <c r="H3587" s="83" t="s">
        <v>48</v>
      </c>
    </row>
    <row r="3588" spans="1:8" ht="16.5" customHeight="1" x14ac:dyDescent="0.25">
      <c r="A3588" s="27">
        <v>46084</v>
      </c>
      <c r="B3588" s="80">
        <v>2026</v>
      </c>
      <c r="C3588" s="80">
        <v>3</v>
      </c>
      <c r="D3588" s="30" t="s">
        <v>41</v>
      </c>
      <c r="E3588" s="30" t="s">
        <v>38</v>
      </c>
      <c r="F3588" s="30" t="s">
        <v>43</v>
      </c>
      <c r="G3588" s="33">
        <v>14.676</v>
      </c>
      <c r="H3588" s="83" t="s">
        <v>88</v>
      </c>
    </row>
    <row r="3589" spans="1:8" ht="16.5" customHeight="1" x14ac:dyDescent="0.25">
      <c r="A3589" s="27">
        <v>46084</v>
      </c>
      <c r="B3589" s="80">
        <v>2026</v>
      </c>
      <c r="C3589" s="80">
        <v>3</v>
      </c>
      <c r="D3589" s="30" t="s">
        <v>41</v>
      </c>
      <c r="E3589" s="30" t="s">
        <v>38</v>
      </c>
      <c r="F3589" s="30" t="s">
        <v>51</v>
      </c>
      <c r="G3589" s="33">
        <v>0.5</v>
      </c>
      <c r="H3589" s="83" t="s">
        <v>88</v>
      </c>
    </row>
    <row r="3590" spans="1:8" ht="16.5" customHeight="1" x14ac:dyDescent="0.25">
      <c r="A3590" s="27">
        <v>46084</v>
      </c>
      <c r="B3590" s="80">
        <v>2026</v>
      </c>
      <c r="C3590" s="80">
        <v>3</v>
      </c>
      <c r="D3590" s="30" t="s">
        <v>41</v>
      </c>
      <c r="E3590" s="30" t="s">
        <v>46</v>
      </c>
      <c r="F3590" s="30" t="s">
        <v>43</v>
      </c>
      <c r="G3590" s="33">
        <v>2.4377392000000002</v>
      </c>
      <c r="H3590" s="83" t="s">
        <v>88</v>
      </c>
    </row>
    <row r="3591" spans="1:8" ht="16.5" customHeight="1" x14ac:dyDescent="0.25">
      <c r="A3591" s="27">
        <v>46084</v>
      </c>
      <c r="B3591" s="80">
        <v>2026</v>
      </c>
      <c r="C3591" s="80">
        <v>3</v>
      </c>
      <c r="D3591" s="30" t="s">
        <v>41</v>
      </c>
      <c r="E3591" s="30" t="s">
        <v>46</v>
      </c>
      <c r="F3591" s="30" t="s">
        <v>58</v>
      </c>
      <c r="G3591" s="33">
        <v>0.57509999999999994</v>
      </c>
      <c r="H3591" s="83" t="s">
        <v>88</v>
      </c>
    </row>
    <row r="3592" spans="1:8" ht="16.5" customHeight="1" x14ac:dyDescent="0.25">
      <c r="A3592" s="27">
        <v>46084</v>
      </c>
      <c r="B3592" s="80">
        <v>2026</v>
      </c>
      <c r="C3592" s="80">
        <v>3</v>
      </c>
      <c r="D3592" s="30" t="s">
        <v>41</v>
      </c>
      <c r="E3592" s="30" t="s">
        <v>50</v>
      </c>
      <c r="F3592" s="30" t="s">
        <v>43</v>
      </c>
      <c r="G3592" s="33">
        <v>6.8789999999999996</v>
      </c>
      <c r="H3592" s="83" t="s">
        <v>88</v>
      </c>
    </row>
    <row r="3593" spans="1:8" ht="16.5" customHeight="1" x14ac:dyDescent="0.25">
      <c r="A3593" s="27">
        <v>46084</v>
      </c>
      <c r="B3593" s="80">
        <v>2026</v>
      </c>
      <c r="C3593" s="80">
        <v>3</v>
      </c>
      <c r="D3593" s="30" t="s">
        <v>41</v>
      </c>
      <c r="E3593" s="30" t="s">
        <v>50</v>
      </c>
      <c r="F3593" s="30" t="s">
        <v>47</v>
      </c>
      <c r="G3593" s="33">
        <v>0.64680000000000004</v>
      </c>
      <c r="H3593" s="83" t="s">
        <v>88</v>
      </c>
    </row>
    <row r="3594" spans="1:8" ht="16.5" customHeight="1" x14ac:dyDescent="0.25">
      <c r="A3594" s="27">
        <v>46084</v>
      </c>
      <c r="B3594" s="80">
        <v>2026</v>
      </c>
      <c r="C3594" s="80">
        <v>3</v>
      </c>
      <c r="D3594" s="30" t="s">
        <v>41</v>
      </c>
      <c r="E3594" s="30" t="s">
        <v>50</v>
      </c>
      <c r="F3594" s="30" t="s">
        <v>58</v>
      </c>
      <c r="G3594" s="33">
        <v>3.6741699200000002</v>
      </c>
      <c r="H3594" s="83" t="s">
        <v>88</v>
      </c>
    </row>
    <row r="3595" spans="1:8" ht="16.5" customHeight="1" x14ac:dyDescent="0.25">
      <c r="A3595" s="27">
        <v>46084</v>
      </c>
      <c r="B3595" s="80">
        <v>2026</v>
      </c>
      <c r="C3595" s="80">
        <v>3</v>
      </c>
      <c r="D3595" s="30" t="s">
        <v>41</v>
      </c>
      <c r="E3595" s="30" t="s">
        <v>54</v>
      </c>
      <c r="F3595" s="30" t="s">
        <v>43</v>
      </c>
      <c r="G3595" s="33">
        <v>0.99399999999999999</v>
      </c>
      <c r="H3595" s="83" t="s">
        <v>88</v>
      </c>
    </row>
    <row r="3596" spans="1:8" ht="16.5" customHeight="1" x14ac:dyDescent="0.25">
      <c r="A3596" s="27">
        <v>46084</v>
      </c>
      <c r="B3596" s="80">
        <v>2026</v>
      </c>
      <c r="C3596" s="80">
        <v>3</v>
      </c>
      <c r="D3596" s="30" t="s">
        <v>41</v>
      </c>
      <c r="E3596" s="30" t="s">
        <v>57</v>
      </c>
      <c r="F3596" s="30" t="s">
        <v>39</v>
      </c>
      <c r="G3596" s="33">
        <v>4.4660000000000002</v>
      </c>
      <c r="H3596" s="83" t="s">
        <v>89</v>
      </c>
    </row>
    <row r="3597" spans="1:8" ht="16.5" customHeight="1" x14ac:dyDescent="0.25">
      <c r="A3597" s="27">
        <v>46084</v>
      </c>
      <c r="B3597" s="80">
        <v>2026</v>
      </c>
      <c r="C3597" s="80">
        <v>3</v>
      </c>
      <c r="D3597" s="30" t="s">
        <v>41</v>
      </c>
      <c r="E3597" s="30" t="s">
        <v>57</v>
      </c>
      <c r="F3597" s="30" t="s">
        <v>43</v>
      </c>
      <c r="G3597" s="33">
        <v>28.35</v>
      </c>
      <c r="H3597" s="83" t="s">
        <v>89</v>
      </c>
    </row>
    <row r="3598" spans="1:8" ht="16.5" customHeight="1" x14ac:dyDescent="0.25">
      <c r="A3598" s="27">
        <v>46084</v>
      </c>
      <c r="B3598" s="80">
        <v>2026</v>
      </c>
      <c r="C3598" s="80">
        <v>3</v>
      </c>
      <c r="D3598" s="30" t="s">
        <v>41</v>
      </c>
      <c r="E3598" s="30" t="s">
        <v>61</v>
      </c>
      <c r="F3598" s="30" t="s">
        <v>43</v>
      </c>
      <c r="G3598" s="33">
        <v>24.544</v>
      </c>
      <c r="H3598" s="83" t="s">
        <v>89</v>
      </c>
    </row>
    <row r="3599" spans="1:8" ht="16.5" customHeight="1" x14ac:dyDescent="0.25">
      <c r="A3599" s="27">
        <v>46084</v>
      </c>
      <c r="B3599" s="80">
        <v>2026</v>
      </c>
      <c r="C3599" s="80">
        <v>3</v>
      </c>
      <c r="D3599" s="30" t="s">
        <v>41</v>
      </c>
      <c r="E3599" s="30" t="s">
        <v>66</v>
      </c>
      <c r="F3599" s="30" t="s">
        <v>43</v>
      </c>
      <c r="G3599" s="33">
        <v>4.1384999999999996</v>
      </c>
      <c r="H3599" s="83" t="s">
        <v>89</v>
      </c>
    </row>
    <row r="3600" spans="1:8" ht="16.5" customHeight="1" x14ac:dyDescent="0.25">
      <c r="A3600" s="27">
        <v>46084</v>
      </c>
      <c r="B3600" s="80">
        <v>2026</v>
      </c>
      <c r="C3600" s="80">
        <v>3</v>
      </c>
      <c r="D3600" s="30" t="s">
        <v>41</v>
      </c>
      <c r="E3600" s="30" t="s">
        <v>68</v>
      </c>
      <c r="F3600" s="30" t="s">
        <v>43</v>
      </c>
      <c r="G3600" s="33">
        <v>0.42</v>
      </c>
      <c r="H3600" s="83" t="s">
        <v>89</v>
      </c>
    </row>
    <row r="3601" spans="1:8" ht="16.5" customHeight="1" x14ac:dyDescent="0.25">
      <c r="A3601" s="27">
        <v>46084</v>
      </c>
      <c r="B3601" s="80">
        <v>2026</v>
      </c>
      <c r="C3601" s="80">
        <v>3</v>
      </c>
      <c r="D3601" s="30" t="s">
        <v>41</v>
      </c>
      <c r="E3601" s="30" t="s">
        <v>75</v>
      </c>
      <c r="F3601" s="30" t="s">
        <v>43</v>
      </c>
      <c r="G3601" s="33">
        <v>7.0888900000000001</v>
      </c>
      <c r="H3601" s="83" t="s">
        <v>48</v>
      </c>
    </row>
    <row r="3602" spans="1:8" ht="16.5" customHeight="1" x14ac:dyDescent="0.25">
      <c r="A3602" s="27">
        <v>46085</v>
      </c>
      <c r="B3602" s="80">
        <v>2026</v>
      </c>
      <c r="C3602" s="80">
        <v>3</v>
      </c>
      <c r="D3602" s="30" t="s">
        <v>41</v>
      </c>
      <c r="E3602" s="30" t="s">
        <v>38</v>
      </c>
      <c r="F3602" s="30" t="s">
        <v>43</v>
      </c>
      <c r="G3602" s="33">
        <v>6.2070999999999996</v>
      </c>
      <c r="H3602" s="83" t="s">
        <v>88</v>
      </c>
    </row>
    <row r="3603" spans="1:8" ht="16.5" customHeight="1" x14ac:dyDescent="0.25">
      <c r="A3603" s="27">
        <v>46085</v>
      </c>
      <c r="B3603" s="80">
        <v>2026</v>
      </c>
      <c r="C3603" s="80">
        <v>3</v>
      </c>
      <c r="D3603" s="30" t="s">
        <v>41</v>
      </c>
      <c r="E3603" s="30" t="s">
        <v>38</v>
      </c>
      <c r="F3603" s="30" t="s">
        <v>47</v>
      </c>
      <c r="G3603" s="33">
        <v>0.182</v>
      </c>
      <c r="H3603" s="83" t="s">
        <v>88</v>
      </c>
    </row>
    <row r="3604" spans="1:8" ht="16.5" customHeight="1" x14ac:dyDescent="0.25">
      <c r="A3604" s="27">
        <v>46085</v>
      </c>
      <c r="B3604" s="80">
        <v>2026</v>
      </c>
      <c r="C3604" s="80">
        <v>3</v>
      </c>
      <c r="D3604" s="30" t="s">
        <v>41</v>
      </c>
      <c r="E3604" s="30" t="s">
        <v>42</v>
      </c>
      <c r="F3604" s="30" t="s">
        <v>43</v>
      </c>
      <c r="G3604" s="33">
        <v>2.7472500000000002</v>
      </c>
      <c r="H3604" s="83" t="s">
        <v>88</v>
      </c>
    </row>
    <row r="3605" spans="1:8" ht="16.5" customHeight="1" x14ac:dyDescent="0.25">
      <c r="A3605" s="27">
        <v>46085</v>
      </c>
      <c r="B3605" s="80">
        <v>2026</v>
      </c>
      <c r="C3605" s="80">
        <v>3</v>
      </c>
      <c r="D3605" s="30" t="s">
        <v>41</v>
      </c>
      <c r="E3605" s="30" t="s">
        <v>46</v>
      </c>
      <c r="F3605" s="30" t="s">
        <v>43</v>
      </c>
      <c r="G3605" s="33">
        <v>3.9814351000000001</v>
      </c>
      <c r="H3605" s="83" t="s">
        <v>88</v>
      </c>
    </row>
    <row r="3606" spans="1:8" ht="16.5" customHeight="1" x14ac:dyDescent="0.25">
      <c r="A3606" s="27">
        <v>46085</v>
      </c>
      <c r="B3606" s="80">
        <v>2026</v>
      </c>
      <c r="C3606" s="80">
        <v>3</v>
      </c>
      <c r="D3606" s="30" t="s">
        <v>41</v>
      </c>
      <c r="E3606" s="30" t="s">
        <v>46</v>
      </c>
      <c r="F3606" s="30" t="s">
        <v>58</v>
      </c>
      <c r="G3606" s="33">
        <v>6.2211040000000002E-2</v>
      </c>
      <c r="H3606" s="83" t="s">
        <v>88</v>
      </c>
    </row>
    <row r="3607" spans="1:8" ht="16.5" customHeight="1" x14ac:dyDescent="0.25">
      <c r="A3607" s="27">
        <v>46085</v>
      </c>
      <c r="B3607" s="80">
        <v>2026</v>
      </c>
      <c r="C3607" s="80">
        <v>3</v>
      </c>
      <c r="D3607" s="30" t="s">
        <v>41</v>
      </c>
      <c r="E3607" s="30" t="s">
        <v>50</v>
      </c>
      <c r="F3607" s="30" t="s">
        <v>43</v>
      </c>
      <c r="G3607" s="33">
        <v>18.222356999999999</v>
      </c>
      <c r="H3607" s="83" t="s">
        <v>88</v>
      </c>
    </row>
    <row r="3608" spans="1:8" ht="16.5" customHeight="1" x14ac:dyDescent="0.25">
      <c r="A3608" s="27">
        <v>46085</v>
      </c>
      <c r="B3608" s="80">
        <v>2026</v>
      </c>
      <c r="C3608" s="80">
        <v>3</v>
      </c>
      <c r="D3608" s="30" t="s">
        <v>41</v>
      </c>
      <c r="E3608" s="30" t="s">
        <v>50</v>
      </c>
      <c r="F3608" s="30" t="s">
        <v>47</v>
      </c>
      <c r="G3608" s="33">
        <v>2.5872000000000002</v>
      </c>
      <c r="H3608" s="83" t="s">
        <v>88</v>
      </c>
    </row>
    <row r="3609" spans="1:8" ht="16.5" customHeight="1" x14ac:dyDescent="0.25">
      <c r="A3609" s="27">
        <v>46085</v>
      </c>
      <c r="B3609" s="80">
        <v>2026</v>
      </c>
      <c r="C3609" s="80">
        <v>3</v>
      </c>
      <c r="D3609" s="30" t="s">
        <v>41</v>
      </c>
      <c r="E3609" s="30" t="s">
        <v>50</v>
      </c>
      <c r="F3609" s="30" t="s">
        <v>55</v>
      </c>
      <c r="G3609" s="33">
        <v>3.6840799999999998</v>
      </c>
      <c r="H3609" s="83" t="s">
        <v>88</v>
      </c>
    </row>
    <row r="3610" spans="1:8" ht="16.5" customHeight="1" x14ac:dyDescent="0.25">
      <c r="A3610" s="27">
        <v>46085</v>
      </c>
      <c r="B3610" s="80">
        <v>2026</v>
      </c>
      <c r="C3610" s="80">
        <v>3</v>
      </c>
      <c r="D3610" s="30" t="s">
        <v>41</v>
      </c>
      <c r="E3610" s="30" t="s">
        <v>50</v>
      </c>
      <c r="F3610" s="30" t="s">
        <v>58</v>
      </c>
      <c r="G3610" s="33">
        <v>5.7774391999999999</v>
      </c>
      <c r="H3610" s="83" t="s">
        <v>88</v>
      </c>
    </row>
    <row r="3611" spans="1:8" ht="16.5" customHeight="1" x14ac:dyDescent="0.25">
      <c r="A3611" s="27">
        <v>46085</v>
      </c>
      <c r="B3611" s="80">
        <v>2026</v>
      </c>
      <c r="C3611" s="80">
        <v>3</v>
      </c>
      <c r="D3611" s="30" t="s">
        <v>41</v>
      </c>
      <c r="E3611" s="30" t="s">
        <v>54</v>
      </c>
      <c r="F3611" s="30" t="s">
        <v>43</v>
      </c>
      <c r="G3611" s="33">
        <v>1.42625</v>
      </c>
      <c r="H3611" s="83" t="s">
        <v>88</v>
      </c>
    </row>
    <row r="3612" spans="1:8" ht="16.5" customHeight="1" x14ac:dyDescent="0.25">
      <c r="A3612" s="27">
        <v>46085</v>
      </c>
      <c r="B3612" s="80">
        <v>2026</v>
      </c>
      <c r="C3612" s="80">
        <v>3</v>
      </c>
      <c r="D3612" s="30" t="s">
        <v>41</v>
      </c>
      <c r="E3612" s="30" t="s">
        <v>57</v>
      </c>
      <c r="F3612" s="30" t="s">
        <v>43</v>
      </c>
      <c r="G3612" s="33">
        <v>6.8475000000000001</v>
      </c>
      <c r="H3612" s="83" t="s">
        <v>89</v>
      </c>
    </row>
    <row r="3613" spans="1:8" ht="16.5" customHeight="1" x14ac:dyDescent="0.25">
      <c r="A3613" s="27">
        <v>46085</v>
      </c>
      <c r="B3613" s="80">
        <v>2026</v>
      </c>
      <c r="C3613" s="80">
        <v>3</v>
      </c>
      <c r="D3613" s="30" t="s">
        <v>41</v>
      </c>
      <c r="E3613" s="30" t="s">
        <v>64</v>
      </c>
      <c r="F3613" s="30" t="s">
        <v>43</v>
      </c>
      <c r="G3613" s="33">
        <v>9.9422999999999995</v>
      </c>
      <c r="H3613" s="83" t="s">
        <v>89</v>
      </c>
    </row>
    <row r="3614" spans="1:8" ht="16.5" customHeight="1" x14ac:dyDescent="0.25">
      <c r="A3614" s="27">
        <v>46085</v>
      </c>
      <c r="B3614" s="80">
        <v>2026</v>
      </c>
      <c r="C3614" s="80">
        <v>3</v>
      </c>
      <c r="D3614" s="30" t="s">
        <v>41</v>
      </c>
      <c r="E3614" s="30" t="s">
        <v>66</v>
      </c>
      <c r="F3614" s="30" t="s">
        <v>39</v>
      </c>
      <c r="G3614" s="33">
        <v>3.7884000000000002</v>
      </c>
      <c r="H3614" s="83" t="s">
        <v>89</v>
      </c>
    </row>
    <row r="3615" spans="1:8" ht="16.5" customHeight="1" x14ac:dyDescent="0.25">
      <c r="A3615" s="27">
        <v>46085</v>
      </c>
      <c r="B3615" s="80">
        <v>2026</v>
      </c>
      <c r="C3615" s="80">
        <v>3</v>
      </c>
      <c r="D3615" s="30" t="s">
        <v>41</v>
      </c>
      <c r="E3615" s="30" t="s">
        <v>66</v>
      </c>
      <c r="F3615" s="30" t="s">
        <v>43</v>
      </c>
      <c r="G3615" s="33">
        <v>16.674949999999999</v>
      </c>
      <c r="H3615" s="83" t="s">
        <v>89</v>
      </c>
    </row>
    <row r="3616" spans="1:8" ht="16.5" customHeight="1" x14ac:dyDescent="0.25">
      <c r="A3616" s="27">
        <v>46085</v>
      </c>
      <c r="B3616" s="80">
        <v>2026</v>
      </c>
      <c r="C3616" s="80">
        <v>3</v>
      </c>
      <c r="D3616" s="30" t="s">
        <v>41</v>
      </c>
      <c r="E3616" s="30" t="s">
        <v>66</v>
      </c>
      <c r="F3616" s="30" t="s">
        <v>55</v>
      </c>
      <c r="G3616" s="33">
        <v>2.96</v>
      </c>
      <c r="H3616" s="83" t="s">
        <v>89</v>
      </c>
    </row>
    <row r="3617" spans="1:8" ht="16.5" customHeight="1" x14ac:dyDescent="0.25">
      <c r="A3617" s="27">
        <v>46085</v>
      </c>
      <c r="B3617" s="80">
        <v>2026</v>
      </c>
      <c r="C3617" s="80">
        <v>3</v>
      </c>
      <c r="D3617" s="30" t="s">
        <v>41</v>
      </c>
      <c r="E3617" s="30" t="s">
        <v>68</v>
      </c>
      <c r="F3617" s="30" t="s">
        <v>43</v>
      </c>
      <c r="G3617" s="33">
        <v>5.8869999999999996</v>
      </c>
      <c r="H3617" s="83" t="s">
        <v>89</v>
      </c>
    </row>
    <row r="3618" spans="1:8" ht="16.5" customHeight="1" x14ac:dyDescent="0.25">
      <c r="A3618" s="27">
        <v>46085</v>
      </c>
      <c r="B3618" s="80">
        <v>2026</v>
      </c>
      <c r="C3618" s="80">
        <v>3</v>
      </c>
      <c r="D3618" s="30" t="s">
        <v>41</v>
      </c>
      <c r="E3618" s="30" t="s">
        <v>75</v>
      </c>
      <c r="F3618" s="30" t="s">
        <v>43</v>
      </c>
      <c r="G3618" s="33">
        <v>1.3712457</v>
      </c>
      <c r="H3618" s="83" t="s">
        <v>48</v>
      </c>
    </row>
    <row r="3619" spans="1:8" ht="16.5" customHeight="1" x14ac:dyDescent="0.25">
      <c r="A3619" s="27">
        <v>46086</v>
      </c>
      <c r="B3619" s="80">
        <v>2026</v>
      </c>
      <c r="C3619" s="80">
        <v>3</v>
      </c>
      <c r="D3619" s="30" t="s">
        <v>41</v>
      </c>
      <c r="E3619" s="30" t="s">
        <v>38</v>
      </c>
      <c r="F3619" s="30" t="s">
        <v>43</v>
      </c>
      <c r="G3619" s="33">
        <v>15.396000000000001</v>
      </c>
      <c r="H3619" s="83" t="s">
        <v>88</v>
      </c>
    </row>
    <row r="3620" spans="1:8" ht="16.5" customHeight="1" x14ac:dyDescent="0.25">
      <c r="A3620" s="27">
        <v>46086</v>
      </c>
      <c r="B3620" s="80">
        <v>2026</v>
      </c>
      <c r="C3620" s="80">
        <v>3</v>
      </c>
      <c r="D3620" s="30" t="s">
        <v>41</v>
      </c>
      <c r="E3620" s="30" t="s">
        <v>42</v>
      </c>
      <c r="F3620" s="30" t="s">
        <v>55</v>
      </c>
      <c r="G3620" s="33">
        <v>0.15</v>
      </c>
      <c r="H3620" s="83" t="s">
        <v>88</v>
      </c>
    </row>
    <row r="3621" spans="1:8" ht="16.5" customHeight="1" x14ac:dyDescent="0.25">
      <c r="A3621" s="27">
        <v>46086</v>
      </c>
      <c r="B3621" s="80">
        <v>2026</v>
      </c>
      <c r="C3621" s="80">
        <v>3</v>
      </c>
      <c r="D3621" s="30" t="s">
        <v>41</v>
      </c>
      <c r="E3621" s="30" t="s">
        <v>46</v>
      </c>
      <c r="F3621" s="30" t="s">
        <v>43</v>
      </c>
      <c r="G3621" s="33">
        <v>2.4664779999999999</v>
      </c>
      <c r="H3621" s="83" t="s">
        <v>88</v>
      </c>
    </row>
    <row r="3622" spans="1:8" ht="16.5" customHeight="1" x14ac:dyDescent="0.25">
      <c r="A3622" s="27">
        <v>46086</v>
      </c>
      <c r="B3622" s="80">
        <v>2026</v>
      </c>
      <c r="C3622" s="80">
        <v>3</v>
      </c>
      <c r="D3622" s="30" t="s">
        <v>41</v>
      </c>
      <c r="E3622" s="30" t="s">
        <v>50</v>
      </c>
      <c r="F3622" s="30" t="s">
        <v>43</v>
      </c>
      <c r="G3622" s="33">
        <v>2.1055299999999999</v>
      </c>
      <c r="H3622" s="83" t="s">
        <v>88</v>
      </c>
    </row>
    <row r="3623" spans="1:8" ht="16.5" customHeight="1" x14ac:dyDescent="0.25">
      <c r="A3623" s="27">
        <v>46086</v>
      </c>
      <c r="B3623" s="80">
        <v>2026</v>
      </c>
      <c r="C3623" s="80">
        <v>3</v>
      </c>
      <c r="D3623" s="30" t="s">
        <v>41</v>
      </c>
      <c r="E3623" s="30" t="s">
        <v>50</v>
      </c>
      <c r="F3623" s="30" t="s">
        <v>47</v>
      </c>
      <c r="G3623" s="33">
        <v>1.2936000000000001</v>
      </c>
      <c r="H3623" s="83" t="s">
        <v>88</v>
      </c>
    </row>
    <row r="3624" spans="1:8" ht="16.5" customHeight="1" x14ac:dyDescent="0.25">
      <c r="A3624" s="27">
        <v>46086</v>
      </c>
      <c r="B3624" s="80">
        <v>2026</v>
      </c>
      <c r="C3624" s="80">
        <v>3</v>
      </c>
      <c r="D3624" s="30" t="s">
        <v>41</v>
      </c>
      <c r="E3624" s="30" t="s">
        <v>54</v>
      </c>
      <c r="F3624" s="30" t="s">
        <v>43</v>
      </c>
      <c r="G3624" s="33">
        <v>8.1620000000000008</v>
      </c>
      <c r="H3624" s="83" t="s">
        <v>88</v>
      </c>
    </row>
    <row r="3625" spans="1:8" ht="16.5" customHeight="1" x14ac:dyDescent="0.25">
      <c r="A3625" s="27">
        <v>46086</v>
      </c>
      <c r="B3625" s="80">
        <v>2026</v>
      </c>
      <c r="C3625" s="80">
        <v>3</v>
      </c>
      <c r="D3625" s="30" t="s">
        <v>41</v>
      </c>
      <c r="E3625" s="30" t="s">
        <v>64</v>
      </c>
      <c r="F3625" s="30" t="s">
        <v>43</v>
      </c>
      <c r="G3625" s="33">
        <v>5.5650000000000004</v>
      </c>
      <c r="H3625" s="83" t="s">
        <v>89</v>
      </c>
    </row>
    <row r="3626" spans="1:8" ht="16.5" customHeight="1" x14ac:dyDescent="0.25">
      <c r="A3626" s="27">
        <v>46086</v>
      </c>
      <c r="B3626" s="80">
        <v>2026</v>
      </c>
      <c r="C3626" s="80">
        <v>3</v>
      </c>
      <c r="D3626" s="30" t="s">
        <v>41</v>
      </c>
      <c r="E3626" s="30" t="s">
        <v>66</v>
      </c>
      <c r="F3626" s="30" t="s">
        <v>43</v>
      </c>
      <c r="G3626" s="33">
        <v>11.398849999999999</v>
      </c>
      <c r="H3626" s="83" t="s">
        <v>89</v>
      </c>
    </row>
    <row r="3627" spans="1:8" ht="16.5" customHeight="1" x14ac:dyDescent="0.25">
      <c r="A3627" s="27">
        <v>46086</v>
      </c>
      <c r="B3627" s="80">
        <v>2026</v>
      </c>
      <c r="C3627" s="80">
        <v>3</v>
      </c>
      <c r="D3627" s="30" t="s">
        <v>41</v>
      </c>
      <c r="E3627" s="30" t="s">
        <v>66</v>
      </c>
      <c r="F3627" s="30" t="s">
        <v>55</v>
      </c>
      <c r="G3627" s="33">
        <v>0.92</v>
      </c>
      <c r="H3627" s="83" t="s">
        <v>89</v>
      </c>
    </row>
    <row r="3628" spans="1:8" ht="16.5" customHeight="1" x14ac:dyDescent="0.25">
      <c r="A3628" s="27">
        <v>46086</v>
      </c>
      <c r="B3628" s="80">
        <v>2026</v>
      </c>
      <c r="C3628" s="80">
        <v>3</v>
      </c>
      <c r="D3628" s="30" t="s">
        <v>41</v>
      </c>
      <c r="E3628" s="30" t="s">
        <v>71</v>
      </c>
      <c r="F3628" s="30" t="s">
        <v>39</v>
      </c>
      <c r="G3628" s="33">
        <v>10.318</v>
      </c>
      <c r="H3628" s="83" t="s">
        <v>89</v>
      </c>
    </row>
    <row r="3629" spans="1:8" ht="16.5" customHeight="1" x14ac:dyDescent="0.25">
      <c r="A3629" s="27">
        <v>46086</v>
      </c>
      <c r="B3629" s="80">
        <v>2026</v>
      </c>
      <c r="C3629" s="80">
        <v>3</v>
      </c>
      <c r="D3629" s="30" t="s">
        <v>41</v>
      </c>
      <c r="E3629" s="30" t="s">
        <v>71</v>
      </c>
      <c r="F3629" s="30" t="s">
        <v>43</v>
      </c>
      <c r="G3629" s="33">
        <v>3.9420000000000002</v>
      </c>
      <c r="H3629" s="83" t="s">
        <v>89</v>
      </c>
    </row>
    <row r="3630" spans="1:8" ht="16.5" customHeight="1" x14ac:dyDescent="0.25">
      <c r="A3630" s="27">
        <v>46086</v>
      </c>
      <c r="B3630" s="80">
        <v>2026</v>
      </c>
      <c r="C3630" s="80">
        <v>3</v>
      </c>
      <c r="D3630" s="30" t="s">
        <v>41</v>
      </c>
      <c r="E3630" s="30" t="s">
        <v>75</v>
      </c>
      <c r="F3630" s="30" t="s">
        <v>43</v>
      </c>
      <c r="G3630" s="33">
        <v>8.4375999999999998</v>
      </c>
      <c r="H3630" s="83" t="s">
        <v>48</v>
      </c>
    </row>
    <row r="3631" spans="1:8" ht="16.5" customHeight="1" x14ac:dyDescent="0.25">
      <c r="A3631" s="27">
        <v>46086</v>
      </c>
      <c r="B3631" s="80">
        <v>2026</v>
      </c>
      <c r="C3631" s="80">
        <v>3</v>
      </c>
      <c r="D3631" s="30" t="s">
        <v>41</v>
      </c>
      <c r="E3631" s="30" t="s">
        <v>76</v>
      </c>
      <c r="F3631" s="30" t="s">
        <v>39</v>
      </c>
      <c r="G3631" s="33">
        <v>226.595583</v>
      </c>
      <c r="H3631" s="83" t="s">
        <v>48</v>
      </c>
    </row>
    <row r="3632" spans="1:8" ht="16.5" customHeight="1" x14ac:dyDescent="0.25">
      <c r="A3632" s="27">
        <v>46086</v>
      </c>
      <c r="B3632" s="80">
        <v>2026</v>
      </c>
      <c r="C3632" s="80">
        <v>3</v>
      </c>
      <c r="D3632" s="30" t="s">
        <v>41</v>
      </c>
      <c r="E3632" s="30" t="s">
        <v>76</v>
      </c>
      <c r="F3632" s="30" t="s">
        <v>43</v>
      </c>
      <c r="G3632" s="33">
        <v>1.43825</v>
      </c>
      <c r="H3632" s="83" t="s">
        <v>48</v>
      </c>
    </row>
    <row r="3633" spans="1:8" ht="16.5" customHeight="1" x14ac:dyDescent="0.25">
      <c r="A3633" s="27">
        <v>46087</v>
      </c>
      <c r="B3633" s="80">
        <v>2026</v>
      </c>
      <c r="C3633" s="80">
        <v>3</v>
      </c>
      <c r="D3633" s="30" t="s">
        <v>41</v>
      </c>
      <c r="E3633" s="30" t="s">
        <v>38</v>
      </c>
      <c r="F3633" s="30" t="s">
        <v>43</v>
      </c>
      <c r="G3633" s="33">
        <v>9.4659999999999993</v>
      </c>
      <c r="H3633" s="83" t="s">
        <v>88</v>
      </c>
    </row>
    <row r="3634" spans="1:8" ht="16.5" customHeight="1" x14ac:dyDescent="0.25">
      <c r="A3634" s="27">
        <v>46087</v>
      </c>
      <c r="B3634" s="80">
        <v>2026</v>
      </c>
      <c r="C3634" s="80">
        <v>3</v>
      </c>
      <c r="D3634" s="30" t="s">
        <v>41</v>
      </c>
      <c r="E3634" s="30" t="s">
        <v>38</v>
      </c>
      <c r="F3634" s="30" t="s">
        <v>55</v>
      </c>
      <c r="G3634" s="33">
        <v>0.57999999999999996</v>
      </c>
      <c r="H3634" s="83" t="s">
        <v>88</v>
      </c>
    </row>
    <row r="3635" spans="1:8" ht="16.5" customHeight="1" x14ac:dyDescent="0.25">
      <c r="A3635" s="27">
        <v>46087</v>
      </c>
      <c r="B3635" s="80">
        <v>2026</v>
      </c>
      <c r="C3635" s="80">
        <v>3</v>
      </c>
      <c r="D3635" s="30" t="s">
        <v>41</v>
      </c>
      <c r="E3635" s="30" t="s">
        <v>42</v>
      </c>
      <c r="F3635" s="30" t="s">
        <v>43</v>
      </c>
      <c r="G3635" s="33">
        <v>5.8044120000000001</v>
      </c>
      <c r="H3635" s="83" t="s">
        <v>88</v>
      </c>
    </row>
    <row r="3636" spans="1:8" ht="16.5" customHeight="1" x14ac:dyDescent="0.25">
      <c r="A3636" s="27">
        <v>46087</v>
      </c>
      <c r="B3636" s="80">
        <v>2026</v>
      </c>
      <c r="C3636" s="80">
        <v>3</v>
      </c>
      <c r="D3636" s="30" t="s">
        <v>41</v>
      </c>
      <c r="E3636" s="30" t="s">
        <v>42</v>
      </c>
      <c r="F3636" s="30" t="s">
        <v>55</v>
      </c>
      <c r="G3636" s="33">
        <v>0.71779999999999999</v>
      </c>
      <c r="H3636" s="83" t="s">
        <v>88</v>
      </c>
    </row>
    <row r="3637" spans="1:8" ht="16.5" customHeight="1" x14ac:dyDescent="0.25">
      <c r="A3637" s="27">
        <v>46087</v>
      </c>
      <c r="B3637" s="80">
        <v>2026</v>
      </c>
      <c r="C3637" s="80">
        <v>3</v>
      </c>
      <c r="D3637" s="30" t="s">
        <v>41</v>
      </c>
      <c r="E3637" s="30" t="s">
        <v>46</v>
      </c>
      <c r="F3637" s="30" t="s">
        <v>43</v>
      </c>
      <c r="G3637" s="33">
        <v>6.3078294000000001</v>
      </c>
      <c r="H3637" s="83" t="s">
        <v>88</v>
      </c>
    </row>
    <row r="3638" spans="1:8" ht="16.5" customHeight="1" x14ac:dyDescent="0.25">
      <c r="A3638" s="27">
        <v>46087</v>
      </c>
      <c r="B3638" s="80">
        <v>2026</v>
      </c>
      <c r="C3638" s="80">
        <v>3</v>
      </c>
      <c r="D3638" s="30" t="s">
        <v>41</v>
      </c>
      <c r="E3638" s="30" t="s">
        <v>46</v>
      </c>
      <c r="F3638" s="30" t="s">
        <v>47</v>
      </c>
      <c r="G3638" s="33">
        <v>2.35379856</v>
      </c>
      <c r="H3638" s="83" t="s">
        <v>88</v>
      </c>
    </row>
    <row r="3639" spans="1:8" ht="16.5" customHeight="1" x14ac:dyDescent="0.25">
      <c r="A3639" s="27">
        <v>46087</v>
      </c>
      <c r="B3639" s="80">
        <v>2026</v>
      </c>
      <c r="C3639" s="80">
        <v>3</v>
      </c>
      <c r="D3639" s="30" t="s">
        <v>41</v>
      </c>
      <c r="E3639" s="30" t="s">
        <v>46</v>
      </c>
      <c r="F3639" s="30" t="s">
        <v>51</v>
      </c>
      <c r="G3639" s="33">
        <v>0.52432000000000001</v>
      </c>
      <c r="H3639" s="83" t="s">
        <v>88</v>
      </c>
    </row>
    <row r="3640" spans="1:8" ht="16.5" customHeight="1" x14ac:dyDescent="0.25">
      <c r="A3640" s="27">
        <v>46087</v>
      </c>
      <c r="B3640" s="80">
        <v>2026</v>
      </c>
      <c r="C3640" s="80">
        <v>3</v>
      </c>
      <c r="D3640" s="30" t="s">
        <v>41</v>
      </c>
      <c r="E3640" s="30" t="s">
        <v>50</v>
      </c>
      <c r="F3640" s="30" t="s">
        <v>43</v>
      </c>
      <c r="G3640" s="33">
        <v>41.966835000000003</v>
      </c>
      <c r="H3640" s="83" t="s">
        <v>88</v>
      </c>
    </row>
    <row r="3641" spans="1:8" ht="16.5" customHeight="1" x14ac:dyDescent="0.25">
      <c r="A3641" s="27">
        <v>46087</v>
      </c>
      <c r="B3641" s="80">
        <v>2026</v>
      </c>
      <c r="C3641" s="80">
        <v>3</v>
      </c>
      <c r="D3641" s="30" t="s">
        <v>41</v>
      </c>
      <c r="E3641" s="30" t="s">
        <v>50</v>
      </c>
      <c r="F3641" s="30" t="s">
        <v>47</v>
      </c>
      <c r="G3641" s="33">
        <v>2.9138665000000001</v>
      </c>
      <c r="H3641" s="83" t="s">
        <v>88</v>
      </c>
    </row>
    <row r="3642" spans="1:8" ht="16.5" customHeight="1" x14ac:dyDescent="0.25">
      <c r="A3642" s="27">
        <v>46087</v>
      </c>
      <c r="B3642" s="80">
        <v>2026</v>
      </c>
      <c r="C3642" s="80">
        <v>3</v>
      </c>
      <c r="D3642" s="30" t="s">
        <v>41</v>
      </c>
      <c r="E3642" s="30" t="s">
        <v>50</v>
      </c>
      <c r="F3642" s="30" t="s">
        <v>51</v>
      </c>
      <c r="G3642" s="33">
        <v>0.2465</v>
      </c>
      <c r="H3642" s="83" t="s">
        <v>88</v>
      </c>
    </row>
    <row r="3643" spans="1:8" ht="16.5" customHeight="1" x14ac:dyDescent="0.25">
      <c r="A3643" s="27">
        <v>46087</v>
      </c>
      <c r="B3643" s="80">
        <v>2026</v>
      </c>
      <c r="C3643" s="80">
        <v>3</v>
      </c>
      <c r="D3643" s="30" t="s">
        <v>41</v>
      </c>
      <c r="E3643" s="30" t="s">
        <v>50</v>
      </c>
      <c r="F3643" s="30" t="s">
        <v>55</v>
      </c>
      <c r="G3643" s="33">
        <v>0.85097250000000002</v>
      </c>
      <c r="H3643" s="83" t="s">
        <v>88</v>
      </c>
    </row>
    <row r="3644" spans="1:8" ht="16.5" customHeight="1" x14ac:dyDescent="0.25">
      <c r="A3644" s="27">
        <v>46087</v>
      </c>
      <c r="B3644" s="80">
        <v>2026</v>
      </c>
      <c r="C3644" s="80">
        <v>3</v>
      </c>
      <c r="D3644" s="30" t="s">
        <v>41</v>
      </c>
      <c r="E3644" s="30" t="s">
        <v>54</v>
      </c>
      <c r="F3644" s="30" t="s">
        <v>43</v>
      </c>
      <c r="G3644" s="33">
        <v>20.321999999999999</v>
      </c>
      <c r="H3644" s="83" t="s">
        <v>88</v>
      </c>
    </row>
    <row r="3645" spans="1:8" ht="16.5" customHeight="1" x14ac:dyDescent="0.25">
      <c r="A3645" s="27">
        <v>46087</v>
      </c>
      <c r="B3645" s="80">
        <v>2026</v>
      </c>
      <c r="C3645" s="80">
        <v>3</v>
      </c>
      <c r="D3645" s="30" t="s">
        <v>41</v>
      </c>
      <c r="E3645" s="30" t="s">
        <v>54</v>
      </c>
      <c r="F3645" s="30" t="s">
        <v>47</v>
      </c>
      <c r="G3645" s="33">
        <v>0.56999999999999995</v>
      </c>
      <c r="H3645" s="83" t="s">
        <v>88</v>
      </c>
    </row>
    <row r="3646" spans="1:8" ht="16.5" customHeight="1" x14ac:dyDescent="0.25">
      <c r="A3646" s="27">
        <v>46087</v>
      </c>
      <c r="B3646" s="80">
        <v>2026</v>
      </c>
      <c r="C3646" s="80">
        <v>3</v>
      </c>
      <c r="D3646" s="30" t="s">
        <v>41</v>
      </c>
      <c r="E3646" s="30" t="s">
        <v>57</v>
      </c>
      <c r="F3646" s="30" t="s">
        <v>43</v>
      </c>
      <c r="G3646" s="33">
        <v>10.132</v>
      </c>
      <c r="H3646" s="83" t="s">
        <v>89</v>
      </c>
    </row>
    <row r="3647" spans="1:8" ht="16.5" customHeight="1" x14ac:dyDescent="0.25">
      <c r="A3647" s="27">
        <v>46087</v>
      </c>
      <c r="B3647" s="80">
        <v>2026</v>
      </c>
      <c r="C3647" s="80">
        <v>3</v>
      </c>
      <c r="D3647" s="30" t="s">
        <v>41</v>
      </c>
      <c r="E3647" s="30" t="s">
        <v>61</v>
      </c>
      <c r="F3647" s="30" t="s">
        <v>47</v>
      </c>
      <c r="G3647" s="33">
        <v>1.2423</v>
      </c>
      <c r="H3647" s="83" t="s">
        <v>89</v>
      </c>
    </row>
    <row r="3648" spans="1:8" ht="16.5" customHeight="1" x14ac:dyDescent="0.25">
      <c r="A3648" s="27">
        <v>46087</v>
      </c>
      <c r="B3648" s="80">
        <v>2026</v>
      </c>
      <c r="C3648" s="80">
        <v>3</v>
      </c>
      <c r="D3648" s="30" t="s">
        <v>41</v>
      </c>
      <c r="E3648" s="30" t="s">
        <v>61</v>
      </c>
      <c r="F3648" s="30" t="s">
        <v>55</v>
      </c>
      <c r="G3648" s="33">
        <v>9.7140000000000004</v>
      </c>
      <c r="H3648" s="83" t="s">
        <v>89</v>
      </c>
    </row>
    <row r="3649" spans="1:8" ht="16.5" customHeight="1" x14ac:dyDescent="0.25">
      <c r="A3649" s="27">
        <v>46087</v>
      </c>
      <c r="B3649" s="80">
        <v>2026</v>
      </c>
      <c r="C3649" s="80">
        <v>3</v>
      </c>
      <c r="D3649" s="30" t="s">
        <v>41</v>
      </c>
      <c r="E3649" s="30" t="s">
        <v>64</v>
      </c>
      <c r="F3649" s="30" t="s">
        <v>43</v>
      </c>
      <c r="G3649" s="33">
        <v>0.38500000000000001</v>
      </c>
      <c r="H3649" s="83" t="s">
        <v>89</v>
      </c>
    </row>
    <row r="3650" spans="1:8" ht="16.5" customHeight="1" x14ac:dyDescent="0.25">
      <c r="A3650" s="27">
        <v>46087</v>
      </c>
      <c r="B3650" s="80">
        <v>2026</v>
      </c>
      <c r="C3650" s="80">
        <v>3</v>
      </c>
      <c r="D3650" s="30" t="s">
        <v>41</v>
      </c>
      <c r="E3650" s="30" t="s">
        <v>71</v>
      </c>
      <c r="F3650" s="30" t="s">
        <v>43</v>
      </c>
      <c r="G3650" s="33">
        <v>0.7</v>
      </c>
      <c r="H3650" s="83" t="s">
        <v>89</v>
      </c>
    </row>
    <row r="3651" spans="1:8" ht="16.5" customHeight="1" x14ac:dyDescent="0.25">
      <c r="A3651" s="27">
        <v>46088</v>
      </c>
      <c r="B3651" s="80">
        <v>2026</v>
      </c>
      <c r="C3651" s="80">
        <v>3</v>
      </c>
      <c r="D3651" s="30" t="s">
        <v>41</v>
      </c>
      <c r="E3651" s="30" t="s">
        <v>50</v>
      </c>
      <c r="F3651" s="30" t="s">
        <v>55</v>
      </c>
      <c r="G3651" s="33">
        <v>0.17849999999999999</v>
      </c>
      <c r="H3651" s="83" t="s">
        <v>88</v>
      </c>
    </row>
    <row r="3652" spans="1:8" ht="16.5" customHeight="1" x14ac:dyDescent="0.25">
      <c r="A3652" s="27">
        <v>46088</v>
      </c>
      <c r="B3652" s="80">
        <v>2026</v>
      </c>
      <c r="C3652" s="80">
        <v>3</v>
      </c>
      <c r="D3652" s="30" t="s">
        <v>41</v>
      </c>
      <c r="E3652" s="30" t="s">
        <v>50</v>
      </c>
      <c r="F3652" s="30" t="s">
        <v>58</v>
      </c>
      <c r="G3652" s="33">
        <v>0.36018749999999999</v>
      </c>
      <c r="H3652" s="83" t="s">
        <v>88</v>
      </c>
    </row>
    <row r="3653" spans="1:8" ht="16.5" customHeight="1" x14ac:dyDescent="0.25">
      <c r="A3653" s="27">
        <v>46090</v>
      </c>
      <c r="B3653" s="80">
        <v>2026</v>
      </c>
      <c r="C3653" s="80">
        <v>3</v>
      </c>
      <c r="D3653" s="30" t="s">
        <v>41</v>
      </c>
      <c r="E3653" s="30" t="s">
        <v>38</v>
      </c>
      <c r="F3653" s="30" t="s">
        <v>43</v>
      </c>
      <c r="G3653" s="33">
        <v>13.191208</v>
      </c>
      <c r="H3653" s="83" t="s">
        <v>88</v>
      </c>
    </row>
    <row r="3654" spans="1:8" ht="16.5" customHeight="1" x14ac:dyDescent="0.25">
      <c r="A3654" s="27">
        <v>46090</v>
      </c>
      <c r="B3654" s="80">
        <v>2026</v>
      </c>
      <c r="C3654" s="80">
        <v>3</v>
      </c>
      <c r="D3654" s="30" t="s">
        <v>41</v>
      </c>
      <c r="E3654" s="30" t="s">
        <v>38</v>
      </c>
      <c r="F3654" s="30" t="s">
        <v>47</v>
      </c>
      <c r="G3654" s="33">
        <v>1.1121334</v>
      </c>
      <c r="H3654" s="83" t="s">
        <v>88</v>
      </c>
    </row>
    <row r="3655" spans="1:8" ht="16.5" customHeight="1" x14ac:dyDescent="0.25">
      <c r="A3655" s="27">
        <v>46090</v>
      </c>
      <c r="B3655" s="80">
        <v>2026</v>
      </c>
      <c r="C3655" s="80">
        <v>3</v>
      </c>
      <c r="D3655" s="30" t="s">
        <v>41</v>
      </c>
      <c r="E3655" s="30" t="s">
        <v>38</v>
      </c>
      <c r="F3655" s="30" t="s">
        <v>58</v>
      </c>
      <c r="G3655" s="33">
        <v>0.583982</v>
      </c>
      <c r="H3655" s="83" t="s">
        <v>88</v>
      </c>
    </row>
    <row r="3656" spans="1:8" ht="16.5" customHeight="1" x14ac:dyDescent="0.25">
      <c r="A3656" s="27">
        <v>46090</v>
      </c>
      <c r="B3656" s="80">
        <v>2026</v>
      </c>
      <c r="C3656" s="80">
        <v>3</v>
      </c>
      <c r="D3656" s="30" t="s">
        <v>41</v>
      </c>
      <c r="E3656" s="30" t="s">
        <v>42</v>
      </c>
      <c r="F3656" s="30" t="s">
        <v>43</v>
      </c>
      <c r="G3656" s="33">
        <v>3.6762999999999999</v>
      </c>
      <c r="H3656" s="83" t="s">
        <v>88</v>
      </c>
    </row>
    <row r="3657" spans="1:8" ht="16.5" customHeight="1" x14ac:dyDescent="0.25">
      <c r="A3657" s="27">
        <v>46090</v>
      </c>
      <c r="B3657" s="80">
        <v>2026</v>
      </c>
      <c r="C3657" s="80">
        <v>3</v>
      </c>
      <c r="D3657" s="30" t="s">
        <v>41</v>
      </c>
      <c r="E3657" s="30" t="s">
        <v>46</v>
      </c>
      <c r="F3657" s="30" t="s">
        <v>47</v>
      </c>
      <c r="G3657" s="33">
        <v>0.58331904000000001</v>
      </c>
      <c r="H3657" s="83" t="s">
        <v>88</v>
      </c>
    </row>
    <row r="3658" spans="1:8" ht="16.5" customHeight="1" x14ac:dyDescent="0.25">
      <c r="A3658" s="27">
        <v>46090</v>
      </c>
      <c r="B3658" s="80">
        <v>2026</v>
      </c>
      <c r="C3658" s="80">
        <v>3</v>
      </c>
      <c r="D3658" s="30" t="s">
        <v>41</v>
      </c>
      <c r="E3658" s="30" t="s">
        <v>50</v>
      </c>
      <c r="F3658" s="30" t="s">
        <v>43</v>
      </c>
      <c r="G3658" s="33">
        <v>2.8823075</v>
      </c>
      <c r="H3658" s="83" t="s">
        <v>88</v>
      </c>
    </row>
    <row r="3659" spans="1:8" ht="16.5" customHeight="1" x14ac:dyDescent="0.25">
      <c r="A3659" s="27">
        <v>46090</v>
      </c>
      <c r="B3659" s="80">
        <v>2026</v>
      </c>
      <c r="C3659" s="80">
        <v>3</v>
      </c>
      <c r="D3659" s="30" t="s">
        <v>41</v>
      </c>
      <c r="E3659" s="30" t="s">
        <v>50</v>
      </c>
      <c r="F3659" s="30" t="s">
        <v>47</v>
      </c>
      <c r="G3659" s="33">
        <v>0.92730000000000001</v>
      </c>
      <c r="H3659" s="83" t="s">
        <v>88</v>
      </c>
    </row>
    <row r="3660" spans="1:8" ht="16.5" customHeight="1" x14ac:dyDescent="0.25">
      <c r="A3660" s="27">
        <v>46090</v>
      </c>
      <c r="B3660" s="80">
        <v>2026</v>
      </c>
      <c r="C3660" s="80">
        <v>3</v>
      </c>
      <c r="D3660" s="30" t="s">
        <v>41</v>
      </c>
      <c r="E3660" s="30" t="s">
        <v>50</v>
      </c>
      <c r="F3660" s="30" t="s">
        <v>51</v>
      </c>
      <c r="G3660" s="33">
        <v>0.49299999999999999</v>
      </c>
      <c r="H3660" s="83" t="s">
        <v>88</v>
      </c>
    </row>
    <row r="3661" spans="1:8" ht="16.5" customHeight="1" x14ac:dyDescent="0.25">
      <c r="A3661" s="27">
        <v>46090</v>
      </c>
      <c r="B3661" s="80">
        <v>2026</v>
      </c>
      <c r="C3661" s="80">
        <v>3</v>
      </c>
      <c r="D3661" s="30" t="s">
        <v>41</v>
      </c>
      <c r="E3661" s="30" t="s">
        <v>50</v>
      </c>
      <c r="F3661" s="30" t="s">
        <v>55</v>
      </c>
      <c r="G3661" s="33">
        <v>0.17849999999999999</v>
      </c>
      <c r="H3661" s="83" t="s">
        <v>88</v>
      </c>
    </row>
    <row r="3662" spans="1:8" ht="16.5" customHeight="1" x14ac:dyDescent="0.25">
      <c r="A3662" s="27">
        <v>46090</v>
      </c>
      <c r="B3662" s="80">
        <v>2026</v>
      </c>
      <c r="C3662" s="80">
        <v>3</v>
      </c>
      <c r="D3662" s="30" t="s">
        <v>41</v>
      </c>
      <c r="E3662" s="30" t="s">
        <v>50</v>
      </c>
      <c r="F3662" s="30" t="s">
        <v>58</v>
      </c>
      <c r="G3662" s="33">
        <v>0.11083999999999999</v>
      </c>
      <c r="H3662" s="83" t="s">
        <v>88</v>
      </c>
    </row>
    <row r="3663" spans="1:8" ht="16.5" customHeight="1" x14ac:dyDescent="0.25">
      <c r="A3663" s="27">
        <v>46090</v>
      </c>
      <c r="B3663" s="80">
        <v>2026</v>
      </c>
      <c r="C3663" s="80">
        <v>3</v>
      </c>
      <c r="D3663" s="30" t="s">
        <v>41</v>
      </c>
      <c r="E3663" s="30" t="s">
        <v>54</v>
      </c>
      <c r="F3663" s="30" t="s">
        <v>43</v>
      </c>
      <c r="G3663" s="33">
        <v>12.398999999999999</v>
      </c>
      <c r="H3663" s="83" t="s">
        <v>88</v>
      </c>
    </row>
    <row r="3664" spans="1:8" ht="16.5" customHeight="1" x14ac:dyDescent="0.25">
      <c r="A3664" s="27">
        <v>46090</v>
      </c>
      <c r="B3664" s="80">
        <v>2026</v>
      </c>
      <c r="C3664" s="80">
        <v>3</v>
      </c>
      <c r="D3664" s="30" t="s">
        <v>41</v>
      </c>
      <c r="E3664" s="30" t="s">
        <v>66</v>
      </c>
      <c r="F3664" s="30" t="s">
        <v>43</v>
      </c>
      <c r="G3664" s="33">
        <v>15.93</v>
      </c>
      <c r="H3664" s="83" t="s">
        <v>89</v>
      </c>
    </row>
    <row r="3665" spans="1:8" ht="16.5" customHeight="1" x14ac:dyDescent="0.25">
      <c r="A3665" s="27">
        <v>46090</v>
      </c>
      <c r="B3665" s="80">
        <v>2026</v>
      </c>
      <c r="C3665" s="80">
        <v>3</v>
      </c>
      <c r="D3665" s="30" t="s">
        <v>41</v>
      </c>
      <c r="E3665" s="30" t="s">
        <v>68</v>
      </c>
      <c r="F3665" s="30" t="s">
        <v>43</v>
      </c>
      <c r="G3665" s="33">
        <v>13.096500000000001</v>
      </c>
      <c r="H3665" s="83" t="s">
        <v>89</v>
      </c>
    </row>
    <row r="3666" spans="1:8" ht="16.5" customHeight="1" x14ac:dyDescent="0.25">
      <c r="A3666" s="27">
        <v>46091</v>
      </c>
      <c r="B3666" s="80">
        <v>2026</v>
      </c>
      <c r="C3666" s="80">
        <v>3</v>
      </c>
      <c r="D3666" s="30" t="s">
        <v>41</v>
      </c>
      <c r="E3666" s="30" t="s">
        <v>38</v>
      </c>
      <c r="F3666" s="30" t="s">
        <v>43</v>
      </c>
      <c r="G3666" s="33">
        <v>17.422608</v>
      </c>
      <c r="H3666" s="83" t="s">
        <v>88</v>
      </c>
    </row>
    <row r="3667" spans="1:8" ht="16.5" customHeight="1" x14ac:dyDescent="0.25">
      <c r="A3667" s="27">
        <v>46091</v>
      </c>
      <c r="B3667" s="80">
        <v>2026</v>
      </c>
      <c r="C3667" s="80">
        <v>3</v>
      </c>
      <c r="D3667" s="30" t="s">
        <v>41</v>
      </c>
      <c r="E3667" s="30" t="s">
        <v>38</v>
      </c>
      <c r="F3667" s="30" t="s">
        <v>55</v>
      </c>
      <c r="G3667" s="33">
        <v>0.36</v>
      </c>
      <c r="H3667" s="83" t="s">
        <v>88</v>
      </c>
    </row>
    <row r="3668" spans="1:8" ht="16.5" customHeight="1" x14ac:dyDescent="0.25">
      <c r="A3668" s="27">
        <v>46091</v>
      </c>
      <c r="B3668" s="80">
        <v>2026</v>
      </c>
      <c r="C3668" s="80">
        <v>3</v>
      </c>
      <c r="D3668" s="30" t="s">
        <v>41</v>
      </c>
      <c r="E3668" s="30" t="s">
        <v>42</v>
      </c>
      <c r="F3668" s="30" t="s">
        <v>43</v>
      </c>
      <c r="G3668" s="33">
        <v>7.0209999999999999</v>
      </c>
      <c r="H3668" s="83" t="s">
        <v>88</v>
      </c>
    </row>
    <row r="3669" spans="1:8" ht="16.5" customHeight="1" x14ac:dyDescent="0.25">
      <c r="A3669" s="27">
        <v>46091</v>
      </c>
      <c r="B3669" s="80">
        <v>2026</v>
      </c>
      <c r="C3669" s="80">
        <v>3</v>
      </c>
      <c r="D3669" s="30" t="s">
        <v>41</v>
      </c>
      <c r="E3669" s="30" t="s">
        <v>46</v>
      </c>
      <c r="F3669" s="30" t="s">
        <v>58</v>
      </c>
      <c r="G3669" s="33">
        <v>0.47629749999999998</v>
      </c>
      <c r="H3669" s="83" t="s">
        <v>88</v>
      </c>
    </row>
    <row r="3670" spans="1:8" ht="16.5" customHeight="1" x14ac:dyDescent="0.25">
      <c r="A3670" s="27">
        <v>46091</v>
      </c>
      <c r="B3670" s="80">
        <v>2026</v>
      </c>
      <c r="C3670" s="80">
        <v>3</v>
      </c>
      <c r="D3670" s="30" t="s">
        <v>41</v>
      </c>
      <c r="E3670" s="30" t="s">
        <v>50</v>
      </c>
      <c r="F3670" s="30" t="s">
        <v>39</v>
      </c>
      <c r="G3670" s="33">
        <v>15.093540000000001</v>
      </c>
      <c r="H3670" s="83" t="s">
        <v>88</v>
      </c>
    </row>
    <row r="3671" spans="1:8" ht="16.5" customHeight="1" x14ac:dyDescent="0.25">
      <c r="A3671" s="27">
        <v>46091</v>
      </c>
      <c r="B3671" s="80">
        <v>2026</v>
      </c>
      <c r="C3671" s="80">
        <v>3</v>
      </c>
      <c r="D3671" s="30" t="s">
        <v>41</v>
      </c>
      <c r="E3671" s="30" t="s">
        <v>50</v>
      </c>
      <c r="F3671" s="30" t="s">
        <v>43</v>
      </c>
      <c r="G3671" s="33">
        <v>17.243360249999999</v>
      </c>
      <c r="H3671" s="83" t="s">
        <v>88</v>
      </c>
    </row>
    <row r="3672" spans="1:8" ht="16.5" customHeight="1" x14ac:dyDescent="0.25">
      <c r="A3672" s="27">
        <v>46091</v>
      </c>
      <c r="B3672" s="80">
        <v>2026</v>
      </c>
      <c r="C3672" s="80">
        <v>3</v>
      </c>
      <c r="D3672" s="30" t="s">
        <v>41</v>
      </c>
      <c r="E3672" s="30" t="s">
        <v>50</v>
      </c>
      <c r="F3672" s="30" t="s">
        <v>47</v>
      </c>
      <c r="G3672" s="33">
        <v>0.64680000000000004</v>
      </c>
      <c r="H3672" s="83" t="s">
        <v>88</v>
      </c>
    </row>
    <row r="3673" spans="1:8" ht="16.5" customHeight="1" x14ac:dyDescent="0.25">
      <c r="A3673" s="27">
        <v>46091</v>
      </c>
      <c r="B3673" s="80">
        <v>2026</v>
      </c>
      <c r="C3673" s="80">
        <v>3</v>
      </c>
      <c r="D3673" s="30" t="s">
        <v>41</v>
      </c>
      <c r="E3673" s="30" t="s">
        <v>50</v>
      </c>
      <c r="F3673" s="30" t="s">
        <v>58</v>
      </c>
      <c r="G3673" s="33">
        <v>1.3527311</v>
      </c>
      <c r="H3673" s="83" t="s">
        <v>88</v>
      </c>
    </row>
    <row r="3674" spans="1:8" ht="16.5" customHeight="1" x14ac:dyDescent="0.25">
      <c r="A3674" s="27">
        <v>46091</v>
      </c>
      <c r="B3674" s="80">
        <v>2026</v>
      </c>
      <c r="C3674" s="80">
        <v>3</v>
      </c>
      <c r="D3674" s="30" t="s">
        <v>41</v>
      </c>
      <c r="E3674" s="30" t="s">
        <v>54</v>
      </c>
      <c r="F3674" s="30" t="s">
        <v>43</v>
      </c>
      <c r="G3674" s="33">
        <v>10.978249999999999</v>
      </c>
      <c r="H3674" s="83" t="s">
        <v>88</v>
      </c>
    </row>
    <row r="3675" spans="1:8" ht="16.5" customHeight="1" x14ac:dyDescent="0.25">
      <c r="A3675" s="27">
        <v>46091</v>
      </c>
      <c r="B3675" s="80">
        <v>2026</v>
      </c>
      <c r="C3675" s="80">
        <v>3</v>
      </c>
      <c r="D3675" s="30" t="s">
        <v>41</v>
      </c>
      <c r="E3675" s="30" t="s">
        <v>54</v>
      </c>
      <c r="F3675" s="30" t="s">
        <v>51</v>
      </c>
      <c r="G3675" s="33">
        <v>0.11</v>
      </c>
      <c r="H3675" s="83" t="s">
        <v>88</v>
      </c>
    </row>
    <row r="3676" spans="1:8" ht="16.5" customHeight="1" x14ac:dyDescent="0.25">
      <c r="A3676" s="27">
        <v>46091</v>
      </c>
      <c r="B3676" s="80">
        <v>2026</v>
      </c>
      <c r="C3676" s="80">
        <v>3</v>
      </c>
      <c r="D3676" s="30" t="s">
        <v>41</v>
      </c>
      <c r="E3676" s="30" t="s">
        <v>57</v>
      </c>
      <c r="F3676" s="30" t="s">
        <v>43</v>
      </c>
      <c r="G3676" s="33">
        <v>19.305</v>
      </c>
      <c r="H3676" s="83" t="s">
        <v>89</v>
      </c>
    </row>
    <row r="3677" spans="1:8" ht="16.5" customHeight="1" x14ac:dyDescent="0.25">
      <c r="A3677" s="27">
        <v>46091</v>
      </c>
      <c r="B3677" s="80">
        <v>2026</v>
      </c>
      <c r="C3677" s="80">
        <v>3</v>
      </c>
      <c r="D3677" s="30" t="s">
        <v>41</v>
      </c>
      <c r="E3677" s="30" t="s">
        <v>61</v>
      </c>
      <c r="F3677" s="30" t="s">
        <v>39</v>
      </c>
      <c r="G3677" s="33">
        <v>1.216</v>
      </c>
      <c r="H3677" s="83" t="s">
        <v>89</v>
      </c>
    </row>
    <row r="3678" spans="1:8" ht="16.5" customHeight="1" x14ac:dyDescent="0.25">
      <c r="A3678" s="27">
        <v>46091</v>
      </c>
      <c r="B3678" s="80">
        <v>2026</v>
      </c>
      <c r="C3678" s="80">
        <v>3</v>
      </c>
      <c r="D3678" s="30" t="s">
        <v>41</v>
      </c>
      <c r="E3678" s="30" t="s">
        <v>66</v>
      </c>
      <c r="F3678" s="30" t="s">
        <v>43</v>
      </c>
      <c r="G3678" s="33">
        <v>14.157500000000001</v>
      </c>
      <c r="H3678" s="83" t="s">
        <v>89</v>
      </c>
    </row>
    <row r="3679" spans="1:8" ht="16.5" customHeight="1" x14ac:dyDescent="0.25">
      <c r="A3679" s="27">
        <v>46091</v>
      </c>
      <c r="B3679" s="80">
        <v>2026</v>
      </c>
      <c r="C3679" s="80">
        <v>3</v>
      </c>
      <c r="D3679" s="30" t="s">
        <v>41</v>
      </c>
      <c r="E3679" s="30" t="s">
        <v>68</v>
      </c>
      <c r="F3679" s="30" t="s">
        <v>43</v>
      </c>
      <c r="G3679" s="33">
        <v>1.55</v>
      </c>
      <c r="H3679" s="83" t="s">
        <v>89</v>
      </c>
    </row>
    <row r="3680" spans="1:8" ht="16.5" customHeight="1" x14ac:dyDescent="0.25">
      <c r="A3680" s="27">
        <v>46091</v>
      </c>
      <c r="B3680" s="80">
        <v>2026</v>
      </c>
      <c r="C3680" s="80">
        <v>3</v>
      </c>
      <c r="D3680" s="30" t="s">
        <v>41</v>
      </c>
      <c r="E3680" s="30" t="s">
        <v>73</v>
      </c>
      <c r="F3680" s="30" t="s">
        <v>51</v>
      </c>
      <c r="G3680" s="33">
        <v>1.25</v>
      </c>
      <c r="H3680" s="83" t="s">
        <v>89</v>
      </c>
    </row>
    <row r="3681" spans="1:8" ht="16.5" customHeight="1" x14ac:dyDescent="0.25">
      <c r="A3681" s="27">
        <v>46092</v>
      </c>
      <c r="B3681" s="80">
        <v>2026</v>
      </c>
      <c r="C3681" s="80">
        <v>3</v>
      </c>
      <c r="D3681" s="30" t="s">
        <v>41</v>
      </c>
      <c r="E3681" s="30" t="s">
        <v>42</v>
      </c>
      <c r="F3681" s="30" t="s">
        <v>43</v>
      </c>
      <c r="G3681" s="33">
        <v>1.3474999999999999</v>
      </c>
      <c r="H3681" s="83" t="s">
        <v>88</v>
      </c>
    </row>
    <row r="3682" spans="1:8" ht="16.5" customHeight="1" x14ac:dyDescent="0.25">
      <c r="A3682" s="27">
        <v>46092</v>
      </c>
      <c r="B3682" s="80">
        <v>2026</v>
      </c>
      <c r="C3682" s="80">
        <v>3</v>
      </c>
      <c r="D3682" s="30" t="s">
        <v>41</v>
      </c>
      <c r="E3682" s="30" t="s">
        <v>50</v>
      </c>
      <c r="F3682" s="30" t="s">
        <v>47</v>
      </c>
      <c r="G3682" s="33">
        <v>4.9070850000000004</v>
      </c>
      <c r="H3682" s="83" t="s">
        <v>88</v>
      </c>
    </row>
    <row r="3683" spans="1:8" ht="16.5" customHeight="1" x14ac:dyDescent="0.25">
      <c r="A3683" s="27">
        <v>46092</v>
      </c>
      <c r="B3683" s="80">
        <v>2026</v>
      </c>
      <c r="C3683" s="80">
        <v>3</v>
      </c>
      <c r="D3683" s="30" t="s">
        <v>41</v>
      </c>
      <c r="E3683" s="30" t="s">
        <v>50</v>
      </c>
      <c r="F3683" s="30" t="s">
        <v>51</v>
      </c>
      <c r="G3683" s="33">
        <v>0.2465</v>
      </c>
      <c r="H3683" s="83" t="s">
        <v>88</v>
      </c>
    </row>
    <row r="3684" spans="1:8" ht="16.5" customHeight="1" x14ac:dyDescent="0.25">
      <c r="A3684" s="27">
        <v>46092</v>
      </c>
      <c r="B3684" s="80">
        <v>2026</v>
      </c>
      <c r="C3684" s="80">
        <v>3</v>
      </c>
      <c r="D3684" s="30" t="s">
        <v>41</v>
      </c>
      <c r="E3684" s="30" t="s">
        <v>50</v>
      </c>
      <c r="F3684" s="30" t="s">
        <v>55</v>
      </c>
      <c r="G3684" s="33">
        <v>0.17849999999999999</v>
      </c>
      <c r="H3684" s="83" t="s">
        <v>88</v>
      </c>
    </row>
    <row r="3685" spans="1:8" ht="16.5" customHeight="1" x14ac:dyDescent="0.25">
      <c r="A3685" s="27">
        <v>46092</v>
      </c>
      <c r="B3685" s="80">
        <v>2026</v>
      </c>
      <c r="C3685" s="80">
        <v>3</v>
      </c>
      <c r="D3685" s="30" t="s">
        <v>41</v>
      </c>
      <c r="E3685" s="30" t="s">
        <v>50</v>
      </c>
      <c r="F3685" s="30" t="s">
        <v>58</v>
      </c>
      <c r="G3685" s="33">
        <v>0.11934</v>
      </c>
      <c r="H3685" s="83" t="s">
        <v>88</v>
      </c>
    </row>
    <row r="3686" spans="1:8" ht="16.5" customHeight="1" x14ac:dyDescent="0.25">
      <c r="A3686" s="27">
        <v>46092</v>
      </c>
      <c r="B3686" s="80">
        <v>2026</v>
      </c>
      <c r="C3686" s="80">
        <v>3</v>
      </c>
      <c r="D3686" s="30" t="s">
        <v>41</v>
      </c>
      <c r="E3686" s="30" t="s">
        <v>54</v>
      </c>
      <c r="F3686" s="30" t="s">
        <v>43</v>
      </c>
      <c r="G3686" s="33">
        <v>3.6262500000000002</v>
      </c>
      <c r="H3686" s="83" t="s">
        <v>88</v>
      </c>
    </row>
    <row r="3687" spans="1:8" ht="16.5" customHeight="1" x14ac:dyDescent="0.25">
      <c r="A3687" s="27">
        <v>46092</v>
      </c>
      <c r="B3687" s="80">
        <v>2026</v>
      </c>
      <c r="C3687" s="80">
        <v>3</v>
      </c>
      <c r="D3687" s="30" t="s">
        <v>41</v>
      </c>
      <c r="E3687" s="30" t="s">
        <v>57</v>
      </c>
      <c r="F3687" s="30" t="s">
        <v>43</v>
      </c>
      <c r="G3687" s="33">
        <v>31.007999999999999</v>
      </c>
      <c r="H3687" s="83" t="s">
        <v>89</v>
      </c>
    </row>
    <row r="3688" spans="1:8" ht="16.5" customHeight="1" x14ac:dyDescent="0.25">
      <c r="A3688" s="27">
        <v>46092</v>
      </c>
      <c r="B3688" s="80">
        <v>2026</v>
      </c>
      <c r="C3688" s="80">
        <v>3</v>
      </c>
      <c r="D3688" s="30" t="s">
        <v>41</v>
      </c>
      <c r="E3688" s="30" t="s">
        <v>57</v>
      </c>
      <c r="F3688" s="30" t="s">
        <v>51</v>
      </c>
      <c r="G3688" s="33">
        <v>19.3</v>
      </c>
      <c r="H3688" s="83" t="s">
        <v>89</v>
      </c>
    </row>
    <row r="3689" spans="1:8" ht="16.5" customHeight="1" x14ac:dyDescent="0.25">
      <c r="A3689" s="27">
        <v>46092</v>
      </c>
      <c r="B3689" s="80">
        <v>2026</v>
      </c>
      <c r="C3689" s="80">
        <v>3</v>
      </c>
      <c r="D3689" s="30" t="s">
        <v>41</v>
      </c>
      <c r="E3689" s="30" t="s">
        <v>61</v>
      </c>
      <c r="F3689" s="30" t="s">
        <v>43</v>
      </c>
      <c r="G3689" s="33">
        <v>19.380199999999999</v>
      </c>
      <c r="H3689" s="83" t="s">
        <v>89</v>
      </c>
    </row>
    <row r="3690" spans="1:8" ht="16.5" customHeight="1" x14ac:dyDescent="0.25">
      <c r="A3690" s="27">
        <v>46092</v>
      </c>
      <c r="B3690" s="80">
        <v>2026</v>
      </c>
      <c r="C3690" s="80">
        <v>3</v>
      </c>
      <c r="D3690" s="30" t="s">
        <v>41</v>
      </c>
      <c r="E3690" s="30" t="s">
        <v>61</v>
      </c>
      <c r="F3690" s="30" t="s">
        <v>47</v>
      </c>
      <c r="G3690" s="33">
        <v>0.80500000000000005</v>
      </c>
      <c r="H3690" s="83" t="s">
        <v>89</v>
      </c>
    </row>
    <row r="3691" spans="1:8" ht="16.5" customHeight="1" x14ac:dyDescent="0.25">
      <c r="A3691" s="27">
        <v>46092</v>
      </c>
      <c r="B3691" s="80">
        <v>2026</v>
      </c>
      <c r="C3691" s="80">
        <v>3</v>
      </c>
      <c r="D3691" s="30" t="s">
        <v>41</v>
      </c>
      <c r="E3691" s="30" t="s">
        <v>66</v>
      </c>
      <c r="F3691" s="30" t="s">
        <v>43</v>
      </c>
      <c r="G3691" s="33">
        <v>26.274771999999999</v>
      </c>
      <c r="H3691" s="83" t="s">
        <v>89</v>
      </c>
    </row>
    <row r="3692" spans="1:8" ht="16.5" customHeight="1" x14ac:dyDescent="0.25">
      <c r="A3692" s="27">
        <v>46092</v>
      </c>
      <c r="B3692" s="80">
        <v>2026</v>
      </c>
      <c r="C3692" s="80">
        <v>3</v>
      </c>
      <c r="D3692" s="30" t="s">
        <v>41</v>
      </c>
      <c r="E3692" s="30" t="s">
        <v>68</v>
      </c>
      <c r="F3692" s="30" t="s">
        <v>43</v>
      </c>
      <c r="G3692" s="33">
        <v>7.95</v>
      </c>
      <c r="H3692" s="83" t="s">
        <v>89</v>
      </c>
    </row>
    <row r="3693" spans="1:8" ht="16.5" customHeight="1" x14ac:dyDescent="0.25">
      <c r="A3693" s="27">
        <v>46092</v>
      </c>
      <c r="B3693" s="80">
        <v>2026</v>
      </c>
      <c r="C3693" s="80">
        <v>3</v>
      </c>
      <c r="D3693" s="30" t="s">
        <v>41</v>
      </c>
      <c r="E3693" s="30" t="s">
        <v>73</v>
      </c>
      <c r="F3693" s="30" t="s">
        <v>43</v>
      </c>
      <c r="G3693" s="33">
        <v>3.1179000000000001</v>
      </c>
      <c r="H3693" s="83" t="s">
        <v>89</v>
      </c>
    </row>
    <row r="3694" spans="1:8" ht="16.5" customHeight="1" x14ac:dyDescent="0.25">
      <c r="A3694" s="27">
        <v>46092</v>
      </c>
      <c r="B3694" s="80">
        <v>2026</v>
      </c>
      <c r="C3694" s="80">
        <v>3</v>
      </c>
      <c r="D3694" s="30" t="s">
        <v>41</v>
      </c>
      <c r="E3694" s="30" t="s">
        <v>75</v>
      </c>
      <c r="F3694" s="30" t="s">
        <v>43</v>
      </c>
      <c r="G3694" s="33">
        <v>13.44</v>
      </c>
      <c r="H3694" s="83" t="s">
        <v>48</v>
      </c>
    </row>
    <row r="3695" spans="1:8" ht="16.5" customHeight="1" x14ac:dyDescent="0.25">
      <c r="A3695" s="27">
        <v>46093</v>
      </c>
      <c r="B3695" s="80">
        <v>2026</v>
      </c>
      <c r="C3695" s="80">
        <v>3</v>
      </c>
      <c r="D3695" s="30" t="s">
        <v>41</v>
      </c>
      <c r="E3695" s="30" t="s">
        <v>38</v>
      </c>
      <c r="F3695" s="30" t="s">
        <v>43</v>
      </c>
      <c r="G3695" s="33">
        <v>30.993411999999999</v>
      </c>
      <c r="H3695" s="83" t="s">
        <v>88</v>
      </c>
    </row>
    <row r="3696" spans="1:8" ht="16.5" customHeight="1" x14ac:dyDescent="0.25">
      <c r="A3696" s="27">
        <v>46093</v>
      </c>
      <c r="B3696" s="80">
        <v>2026</v>
      </c>
      <c r="C3696" s="80">
        <v>3</v>
      </c>
      <c r="D3696" s="30" t="s">
        <v>41</v>
      </c>
      <c r="E3696" s="30" t="s">
        <v>42</v>
      </c>
      <c r="F3696" s="30" t="s">
        <v>43</v>
      </c>
      <c r="G3696" s="33">
        <v>2.4750000000000001</v>
      </c>
      <c r="H3696" s="83" t="s">
        <v>88</v>
      </c>
    </row>
    <row r="3697" spans="1:8" ht="16.5" customHeight="1" x14ac:dyDescent="0.25">
      <c r="A3697" s="27">
        <v>46093</v>
      </c>
      <c r="B3697" s="80">
        <v>2026</v>
      </c>
      <c r="C3697" s="80">
        <v>3</v>
      </c>
      <c r="D3697" s="30" t="s">
        <v>41</v>
      </c>
      <c r="E3697" s="30" t="s">
        <v>46</v>
      </c>
      <c r="F3697" s="30" t="s">
        <v>43</v>
      </c>
      <c r="G3697" s="33">
        <v>5.8835303999999997</v>
      </c>
      <c r="H3697" s="83" t="s">
        <v>88</v>
      </c>
    </row>
    <row r="3698" spans="1:8" ht="16.5" customHeight="1" x14ac:dyDescent="0.25">
      <c r="A3698" s="27">
        <v>46093</v>
      </c>
      <c r="B3698" s="80">
        <v>2026</v>
      </c>
      <c r="C3698" s="80">
        <v>3</v>
      </c>
      <c r="D3698" s="30" t="s">
        <v>41</v>
      </c>
      <c r="E3698" s="30" t="s">
        <v>46</v>
      </c>
      <c r="F3698" s="30" t="s">
        <v>47</v>
      </c>
      <c r="G3698" s="33">
        <v>0.13921600000000001</v>
      </c>
      <c r="H3698" s="83" t="s">
        <v>88</v>
      </c>
    </row>
    <row r="3699" spans="1:8" ht="16.5" customHeight="1" x14ac:dyDescent="0.25">
      <c r="A3699" s="27">
        <v>46093</v>
      </c>
      <c r="B3699" s="80">
        <v>2026</v>
      </c>
      <c r="C3699" s="80">
        <v>3</v>
      </c>
      <c r="D3699" s="30" t="s">
        <v>41</v>
      </c>
      <c r="E3699" s="30" t="s">
        <v>46</v>
      </c>
      <c r="F3699" s="30" t="s">
        <v>51</v>
      </c>
      <c r="G3699" s="33">
        <v>1.21136</v>
      </c>
      <c r="H3699" s="83" t="s">
        <v>88</v>
      </c>
    </row>
    <row r="3700" spans="1:8" ht="16.5" customHeight="1" x14ac:dyDescent="0.25">
      <c r="A3700" s="27">
        <v>46093</v>
      </c>
      <c r="B3700" s="80">
        <v>2026</v>
      </c>
      <c r="C3700" s="80">
        <v>3</v>
      </c>
      <c r="D3700" s="30" t="s">
        <v>41</v>
      </c>
      <c r="E3700" s="30" t="s">
        <v>46</v>
      </c>
      <c r="F3700" s="30" t="s">
        <v>58</v>
      </c>
      <c r="G3700" s="33">
        <v>9.0539999999999995E-2</v>
      </c>
      <c r="H3700" s="83" t="s">
        <v>88</v>
      </c>
    </row>
    <row r="3701" spans="1:8" ht="16.5" customHeight="1" x14ac:dyDescent="0.25">
      <c r="A3701" s="27">
        <v>46093</v>
      </c>
      <c r="B3701" s="80">
        <v>2026</v>
      </c>
      <c r="C3701" s="80">
        <v>3</v>
      </c>
      <c r="D3701" s="30" t="s">
        <v>41</v>
      </c>
      <c r="E3701" s="30" t="s">
        <v>50</v>
      </c>
      <c r="F3701" s="30" t="s">
        <v>43</v>
      </c>
      <c r="G3701" s="33">
        <v>15.140397699999999</v>
      </c>
      <c r="H3701" s="83" t="s">
        <v>88</v>
      </c>
    </row>
    <row r="3702" spans="1:8" ht="16.5" customHeight="1" x14ac:dyDescent="0.25">
      <c r="A3702" s="27">
        <v>46093</v>
      </c>
      <c r="B3702" s="80">
        <v>2026</v>
      </c>
      <c r="C3702" s="80">
        <v>3</v>
      </c>
      <c r="D3702" s="30" t="s">
        <v>41</v>
      </c>
      <c r="E3702" s="30" t="s">
        <v>50</v>
      </c>
      <c r="F3702" s="30" t="s">
        <v>51</v>
      </c>
      <c r="G3702" s="33">
        <v>0.36975000000000002</v>
      </c>
      <c r="H3702" s="83" t="s">
        <v>88</v>
      </c>
    </row>
    <row r="3703" spans="1:8" ht="16.5" customHeight="1" x14ac:dyDescent="0.25">
      <c r="A3703" s="27">
        <v>46093</v>
      </c>
      <c r="B3703" s="80">
        <v>2026</v>
      </c>
      <c r="C3703" s="80">
        <v>3</v>
      </c>
      <c r="D3703" s="30" t="s">
        <v>41</v>
      </c>
      <c r="E3703" s="30" t="s">
        <v>54</v>
      </c>
      <c r="F3703" s="30" t="s">
        <v>43</v>
      </c>
      <c r="G3703" s="33">
        <v>10.88255</v>
      </c>
      <c r="H3703" s="83" t="s">
        <v>88</v>
      </c>
    </row>
    <row r="3704" spans="1:8" ht="16.5" customHeight="1" x14ac:dyDescent="0.25">
      <c r="A3704" s="27">
        <v>46093</v>
      </c>
      <c r="B3704" s="80">
        <v>2026</v>
      </c>
      <c r="C3704" s="80">
        <v>3</v>
      </c>
      <c r="D3704" s="30" t="s">
        <v>41</v>
      </c>
      <c r="E3704" s="30" t="s">
        <v>57</v>
      </c>
      <c r="F3704" s="30" t="s">
        <v>39</v>
      </c>
      <c r="G3704" s="33">
        <v>5.5860000000000003</v>
      </c>
      <c r="H3704" s="83" t="s">
        <v>89</v>
      </c>
    </row>
    <row r="3705" spans="1:8" ht="16.5" customHeight="1" x14ac:dyDescent="0.25">
      <c r="A3705" s="27">
        <v>46093</v>
      </c>
      <c r="B3705" s="80">
        <v>2026</v>
      </c>
      <c r="C3705" s="80">
        <v>3</v>
      </c>
      <c r="D3705" s="30" t="s">
        <v>41</v>
      </c>
      <c r="E3705" s="30" t="s">
        <v>57</v>
      </c>
      <c r="F3705" s="30" t="s">
        <v>43</v>
      </c>
      <c r="G3705" s="33">
        <v>12.955500000000001</v>
      </c>
      <c r="H3705" s="83" t="s">
        <v>89</v>
      </c>
    </row>
    <row r="3706" spans="1:8" ht="16.5" customHeight="1" x14ac:dyDescent="0.25">
      <c r="A3706" s="27">
        <v>46093</v>
      </c>
      <c r="B3706" s="80">
        <v>2026</v>
      </c>
      <c r="C3706" s="80">
        <v>3</v>
      </c>
      <c r="D3706" s="30" t="s">
        <v>41</v>
      </c>
      <c r="E3706" s="30" t="s">
        <v>64</v>
      </c>
      <c r="F3706" s="30" t="s">
        <v>43</v>
      </c>
      <c r="G3706" s="33">
        <v>6.0187999999999997</v>
      </c>
      <c r="H3706" s="83" t="s">
        <v>89</v>
      </c>
    </row>
    <row r="3707" spans="1:8" ht="16.5" customHeight="1" x14ac:dyDescent="0.25">
      <c r="A3707" s="27">
        <v>46093</v>
      </c>
      <c r="B3707" s="80">
        <v>2026</v>
      </c>
      <c r="C3707" s="80">
        <v>3</v>
      </c>
      <c r="D3707" s="30" t="s">
        <v>41</v>
      </c>
      <c r="E3707" s="30" t="s">
        <v>68</v>
      </c>
      <c r="F3707" s="30" t="s">
        <v>43</v>
      </c>
      <c r="G3707" s="33">
        <v>1.2096</v>
      </c>
      <c r="H3707" s="83" t="s">
        <v>89</v>
      </c>
    </row>
    <row r="3708" spans="1:8" ht="16.5" customHeight="1" x14ac:dyDescent="0.25">
      <c r="A3708" s="27">
        <v>46093</v>
      </c>
      <c r="B3708" s="80">
        <v>2026</v>
      </c>
      <c r="C3708" s="80">
        <v>3</v>
      </c>
      <c r="D3708" s="30" t="s">
        <v>41</v>
      </c>
      <c r="E3708" s="30" t="s">
        <v>73</v>
      </c>
      <c r="F3708" s="30" t="s">
        <v>51</v>
      </c>
      <c r="G3708" s="33">
        <v>2.4300000000000002</v>
      </c>
      <c r="H3708" s="83" t="s">
        <v>89</v>
      </c>
    </row>
    <row r="3709" spans="1:8" ht="16.5" customHeight="1" x14ac:dyDescent="0.25">
      <c r="A3709" s="27">
        <v>46093</v>
      </c>
      <c r="B3709" s="80">
        <v>2026</v>
      </c>
      <c r="C3709" s="80">
        <v>3</v>
      </c>
      <c r="D3709" s="30" t="s">
        <v>41</v>
      </c>
      <c r="E3709" s="30" t="s">
        <v>75</v>
      </c>
      <c r="F3709" s="30" t="s">
        <v>43</v>
      </c>
      <c r="G3709" s="33">
        <v>1.78332</v>
      </c>
      <c r="H3709" s="83" t="s">
        <v>48</v>
      </c>
    </row>
    <row r="3710" spans="1:8" ht="16.5" customHeight="1" x14ac:dyDescent="0.25">
      <c r="A3710" s="27">
        <v>46094</v>
      </c>
      <c r="B3710" s="80">
        <v>2026</v>
      </c>
      <c r="C3710" s="80">
        <v>3</v>
      </c>
      <c r="D3710" s="30" t="s">
        <v>41</v>
      </c>
      <c r="E3710" s="30" t="s">
        <v>38</v>
      </c>
      <c r="F3710" s="30" t="s">
        <v>43</v>
      </c>
      <c r="G3710" s="33">
        <v>14.027378000000001</v>
      </c>
      <c r="H3710" s="83" t="s">
        <v>88</v>
      </c>
    </row>
    <row r="3711" spans="1:8" ht="16.5" customHeight="1" x14ac:dyDescent="0.25">
      <c r="A3711" s="27">
        <v>46094</v>
      </c>
      <c r="B3711" s="80">
        <v>2026</v>
      </c>
      <c r="C3711" s="80">
        <v>3</v>
      </c>
      <c r="D3711" s="30" t="s">
        <v>41</v>
      </c>
      <c r="E3711" s="30" t="s">
        <v>42</v>
      </c>
      <c r="F3711" s="30" t="s">
        <v>43</v>
      </c>
      <c r="G3711" s="33">
        <v>23.306999999999999</v>
      </c>
      <c r="H3711" s="83" t="s">
        <v>88</v>
      </c>
    </row>
    <row r="3712" spans="1:8" ht="16.5" customHeight="1" x14ac:dyDescent="0.25">
      <c r="A3712" s="27">
        <v>46094</v>
      </c>
      <c r="B3712" s="80">
        <v>2026</v>
      </c>
      <c r="C3712" s="80">
        <v>3</v>
      </c>
      <c r="D3712" s="30" t="s">
        <v>41</v>
      </c>
      <c r="E3712" s="30" t="s">
        <v>46</v>
      </c>
      <c r="F3712" s="30" t="s">
        <v>43</v>
      </c>
      <c r="G3712" s="33">
        <v>13.15588045</v>
      </c>
      <c r="H3712" s="83" t="s">
        <v>88</v>
      </c>
    </row>
    <row r="3713" spans="1:8" ht="16.5" customHeight="1" x14ac:dyDescent="0.25">
      <c r="A3713" s="27">
        <v>46094</v>
      </c>
      <c r="B3713" s="80">
        <v>2026</v>
      </c>
      <c r="C3713" s="80">
        <v>3</v>
      </c>
      <c r="D3713" s="30" t="s">
        <v>41</v>
      </c>
      <c r="E3713" s="30" t="s">
        <v>46</v>
      </c>
      <c r="F3713" s="30" t="s">
        <v>47</v>
      </c>
      <c r="G3713" s="33">
        <v>0.12891</v>
      </c>
      <c r="H3713" s="83" t="s">
        <v>88</v>
      </c>
    </row>
    <row r="3714" spans="1:8" ht="16.5" customHeight="1" x14ac:dyDescent="0.25">
      <c r="A3714" s="27">
        <v>46094</v>
      </c>
      <c r="B3714" s="80">
        <v>2026</v>
      </c>
      <c r="C3714" s="80">
        <v>3</v>
      </c>
      <c r="D3714" s="30" t="s">
        <v>41</v>
      </c>
      <c r="E3714" s="30" t="s">
        <v>46</v>
      </c>
      <c r="F3714" s="30" t="s">
        <v>55</v>
      </c>
      <c r="G3714" s="33">
        <v>0.23203799999999999</v>
      </c>
      <c r="H3714" s="83" t="s">
        <v>88</v>
      </c>
    </row>
    <row r="3715" spans="1:8" ht="16.5" customHeight="1" x14ac:dyDescent="0.25">
      <c r="A3715" s="27">
        <v>46094</v>
      </c>
      <c r="B3715" s="80">
        <v>2026</v>
      </c>
      <c r="C3715" s="80">
        <v>3</v>
      </c>
      <c r="D3715" s="30" t="s">
        <v>41</v>
      </c>
      <c r="E3715" s="30" t="s">
        <v>46</v>
      </c>
      <c r="F3715" s="30" t="s">
        <v>58</v>
      </c>
      <c r="G3715" s="33">
        <v>0.32876080000000002</v>
      </c>
      <c r="H3715" s="83" t="s">
        <v>88</v>
      </c>
    </row>
    <row r="3716" spans="1:8" ht="16.5" customHeight="1" x14ac:dyDescent="0.25">
      <c r="A3716" s="27">
        <v>46094</v>
      </c>
      <c r="B3716" s="80">
        <v>2026</v>
      </c>
      <c r="C3716" s="80">
        <v>3</v>
      </c>
      <c r="D3716" s="30" t="s">
        <v>41</v>
      </c>
      <c r="E3716" s="30" t="s">
        <v>50</v>
      </c>
      <c r="F3716" s="30" t="s">
        <v>43</v>
      </c>
      <c r="G3716" s="33">
        <v>15.20129644</v>
      </c>
      <c r="H3716" s="83" t="s">
        <v>88</v>
      </c>
    </row>
    <row r="3717" spans="1:8" ht="16.5" customHeight="1" x14ac:dyDescent="0.25">
      <c r="A3717" s="27">
        <v>46094</v>
      </c>
      <c r="B3717" s="80">
        <v>2026</v>
      </c>
      <c r="C3717" s="80">
        <v>3</v>
      </c>
      <c r="D3717" s="30" t="s">
        <v>41</v>
      </c>
      <c r="E3717" s="30" t="s">
        <v>50</v>
      </c>
      <c r="F3717" s="30" t="s">
        <v>47</v>
      </c>
      <c r="G3717" s="33">
        <v>0.64680000000000004</v>
      </c>
      <c r="H3717" s="83" t="s">
        <v>88</v>
      </c>
    </row>
    <row r="3718" spans="1:8" ht="16.5" customHeight="1" x14ac:dyDescent="0.25">
      <c r="A3718" s="27">
        <v>46094</v>
      </c>
      <c r="B3718" s="80">
        <v>2026</v>
      </c>
      <c r="C3718" s="80">
        <v>3</v>
      </c>
      <c r="D3718" s="30" t="s">
        <v>41</v>
      </c>
      <c r="E3718" s="30" t="s">
        <v>50</v>
      </c>
      <c r="F3718" s="30" t="s">
        <v>55</v>
      </c>
      <c r="G3718" s="33">
        <v>2.7196799999999999</v>
      </c>
      <c r="H3718" s="83" t="s">
        <v>88</v>
      </c>
    </row>
    <row r="3719" spans="1:8" ht="16.5" customHeight="1" x14ac:dyDescent="0.25">
      <c r="A3719" s="27">
        <v>46094</v>
      </c>
      <c r="B3719" s="80">
        <v>2026</v>
      </c>
      <c r="C3719" s="80">
        <v>3</v>
      </c>
      <c r="D3719" s="30" t="s">
        <v>41</v>
      </c>
      <c r="E3719" s="30" t="s">
        <v>50</v>
      </c>
      <c r="F3719" s="30" t="s">
        <v>58</v>
      </c>
      <c r="G3719" s="33">
        <v>25.419319139999999</v>
      </c>
      <c r="H3719" s="83" t="s">
        <v>88</v>
      </c>
    </row>
    <row r="3720" spans="1:8" ht="16.5" customHeight="1" x14ac:dyDescent="0.25">
      <c r="A3720" s="27">
        <v>46094</v>
      </c>
      <c r="B3720" s="80">
        <v>2026</v>
      </c>
      <c r="C3720" s="80">
        <v>3</v>
      </c>
      <c r="D3720" s="30" t="s">
        <v>41</v>
      </c>
      <c r="E3720" s="30" t="s">
        <v>54</v>
      </c>
      <c r="F3720" s="30" t="s">
        <v>43</v>
      </c>
      <c r="G3720" s="33">
        <v>6.2660999999999998</v>
      </c>
      <c r="H3720" s="83" t="s">
        <v>88</v>
      </c>
    </row>
    <row r="3721" spans="1:8" ht="16.5" customHeight="1" x14ac:dyDescent="0.25">
      <c r="A3721" s="27">
        <v>46094</v>
      </c>
      <c r="B3721" s="80">
        <v>2026</v>
      </c>
      <c r="C3721" s="80">
        <v>3</v>
      </c>
      <c r="D3721" s="30" t="s">
        <v>41</v>
      </c>
      <c r="E3721" s="30" t="s">
        <v>57</v>
      </c>
      <c r="F3721" s="30" t="s">
        <v>51</v>
      </c>
      <c r="G3721" s="33">
        <v>5.6159999999999997</v>
      </c>
      <c r="H3721" s="83" t="s">
        <v>89</v>
      </c>
    </row>
    <row r="3722" spans="1:8" ht="16.5" customHeight="1" x14ac:dyDescent="0.25">
      <c r="A3722" s="27">
        <v>46094</v>
      </c>
      <c r="B3722" s="80">
        <v>2026</v>
      </c>
      <c r="C3722" s="80">
        <v>3</v>
      </c>
      <c r="D3722" s="30" t="s">
        <v>41</v>
      </c>
      <c r="E3722" s="30" t="s">
        <v>66</v>
      </c>
      <c r="F3722" s="30" t="s">
        <v>43</v>
      </c>
      <c r="G3722" s="33">
        <v>4.8360000000000003</v>
      </c>
      <c r="H3722" s="83" t="s">
        <v>89</v>
      </c>
    </row>
    <row r="3723" spans="1:8" ht="16.5" customHeight="1" x14ac:dyDescent="0.25">
      <c r="A3723" s="27">
        <v>46094</v>
      </c>
      <c r="B3723" s="80">
        <v>2026</v>
      </c>
      <c r="C3723" s="80">
        <v>3</v>
      </c>
      <c r="D3723" s="30" t="s">
        <v>41</v>
      </c>
      <c r="E3723" s="30" t="s">
        <v>71</v>
      </c>
      <c r="F3723" s="30" t="s">
        <v>43</v>
      </c>
      <c r="G3723" s="33">
        <v>19.428750000000001</v>
      </c>
      <c r="H3723" s="83" t="s">
        <v>89</v>
      </c>
    </row>
    <row r="3724" spans="1:8" ht="16.5" customHeight="1" x14ac:dyDescent="0.25">
      <c r="A3724" s="27">
        <v>46094</v>
      </c>
      <c r="B3724" s="80">
        <v>2026</v>
      </c>
      <c r="C3724" s="80">
        <v>3</v>
      </c>
      <c r="D3724" s="30" t="s">
        <v>41</v>
      </c>
      <c r="E3724" s="30" t="s">
        <v>75</v>
      </c>
      <c r="F3724" s="30" t="s">
        <v>43</v>
      </c>
      <c r="G3724" s="33">
        <v>1.6549750000000001</v>
      </c>
      <c r="H3724" s="83" t="s">
        <v>48</v>
      </c>
    </row>
    <row r="3725" spans="1:8" ht="16.5" customHeight="1" x14ac:dyDescent="0.25">
      <c r="A3725" s="27">
        <v>46097</v>
      </c>
      <c r="B3725" s="80">
        <v>2026</v>
      </c>
      <c r="C3725" s="80">
        <v>3</v>
      </c>
      <c r="D3725" s="30" t="s">
        <v>41</v>
      </c>
      <c r="E3725" s="30" t="s">
        <v>38</v>
      </c>
      <c r="F3725" s="30" t="s">
        <v>43</v>
      </c>
      <c r="G3725" s="33">
        <v>2.85</v>
      </c>
      <c r="H3725" s="83" t="s">
        <v>88</v>
      </c>
    </row>
    <row r="3726" spans="1:8" ht="16.5" customHeight="1" x14ac:dyDescent="0.25">
      <c r="A3726" s="27">
        <v>46097</v>
      </c>
      <c r="B3726" s="80">
        <v>2026</v>
      </c>
      <c r="C3726" s="80">
        <v>3</v>
      </c>
      <c r="D3726" s="30" t="s">
        <v>41</v>
      </c>
      <c r="E3726" s="30" t="s">
        <v>38</v>
      </c>
      <c r="F3726" s="30" t="s">
        <v>58</v>
      </c>
      <c r="G3726" s="33">
        <v>0.90294260000000004</v>
      </c>
      <c r="H3726" s="83" t="s">
        <v>88</v>
      </c>
    </row>
    <row r="3727" spans="1:8" ht="16.5" customHeight="1" x14ac:dyDescent="0.25">
      <c r="A3727" s="27">
        <v>46097</v>
      </c>
      <c r="B3727" s="80">
        <v>2026</v>
      </c>
      <c r="C3727" s="80">
        <v>3</v>
      </c>
      <c r="D3727" s="30" t="s">
        <v>41</v>
      </c>
      <c r="E3727" s="30" t="s">
        <v>42</v>
      </c>
      <c r="F3727" s="30" t="s">
        <v>43</v>
      </c>
      <c r="G3727" s="33">
        <v>21.05</v>
      </c>
      <c r="H3727" s="83" t="s">
        <v>88</v>
      </c>
    </row>
    <row r="3728" spans="1:8" ht="16.5" customHeight="1" x14ac:dyDescent="0.25">
      <c r="A3728" s="27">
        <v>46097</v>
      </c>
      <c r="B3728" s="80">
        <v>2026</v>
      </c>
      <c r="C3728" s="80">
        <v>3</v>
      </c>
      <c r="D3728" s="30" t="s">
        <v>41</v>
      </c>
      <c r="E3728" s="30" t="s">
        <v>50</v>
      </c>
      <c r="F3728" s="30" t="s">
        <v>43</v>
      </c>
      <c r="G3728" s="33">
        <v>137.72412965000001</v>
      </c>
      <c r="H3728" s="83" t="s">
        <v>88</v>
      </c>
    </row>
    <row r="3729" spans="1:8" ht="16.5" customHeight="1" x14ac:dyDescent="0.25">
      <c r="A3729" s="27">
        <v>46097</v>
      </c>
      <c r="B3729" s="80">
        <v>2026</v>
      </c>
      <c r="C3729" s="80">
        <v>3</v>
      </c>
      <c r="D3729" s="30" t="s">
        <v>41</v>
      </c>
      <c r="E3729" s="30" t="s">
        <v>50</v>
      </c>
      <c r="F3729" s="30" t="s">
        <v>47</v>
      </c>
      <c r="G3729" s="33">
        <v>0.64680000000000004</v>
      </c>
      <c r="H3729" s="83" t="s">
        <v>88</v>
      </c>
    </row>
    <row r="3730" spans="1:8" ht="16.5" customHeight="1" x14ac:dyDescent="0.25">
      <c r="A3730" s="27">
        <v>46097</v>
      </c>
      <c r="B3730" s="80">
        <v>2026</v>
      </c>
      <c r="C3730" s="80">
        <v>3</v>
      </c>
      <c r="D3730" s="30" t="s">
        <v>41</v>
      </c>
      <c r="E3730" s="30" t="s">
        <v>50</v>
      </c>
      <c r="F3730" s="30" t="s">
        <v>58</v>
      </c>
      <c r="G3730" s="33">
        <v>1.3402875169999999</v>
      </c>
      <c r="H3730" s="83" t="s">
        <v>88</v>
      </c>
    </row>
    <row r="3731" spans="1:8" ht="16.5" customHeight="1" x14ac:dyDescent="0.25">
      <c r="A3731" s="27">
        <v>46097</v>
      </c>
      <c r="B3731" s="80">
        <v>2026</v>
      </c>
      <c r="C3731" s="80">
        <v>3</v>
      </c>
      <c r="D3731" s="30" t="s">
        <v>41</v>
      </c>
      <c r="E3731" s="30" t="s">
        <v>54</v>
      </c>
      <c r="F3731" s="30" t="s">
        <v>43</v>
      </c>
      <c r="G3731" s="33">
        <v>10.5634</v>
      </c>
      <c r="H3731" s="83" t="s">
        <v>88</v>
      </c>
    </row>
    <row r="3732" spans="1:8" ht="16.5" customHeight="1" x14ac:dyDescent="0.25">
      <c r="A3732" s="27">
        <v>46097</v>
      </c>
      <c r="B3732" s="80">
        <v>2026</v>
      </c>
      <c r="C3732" s="80">
        <v>3</v>
      </c>
      <c r="D3732" s="30" t="s">
        <v>41</v>
      </c>
      <c r="E3732" s="30" t="s">
        <v>66</v>
      </c>
      <c r="F3732" s="30" t="s">
        <v>43</v>
      </c>
      <c r="G3732" s="33">
        <v>2.13625</v>
      </c>
      <c r="H3732" s="83" t="s">
        <v>89</v>
      </c>
    </row>
    <row r="3733" spans="1:8" ht="16.5" customHeight="1" x14ac:dyDescent="0.25">
      <c r="A3733" s="27">
        <v>46097</v>
      </c>
      <c r="B3733" s="80">
        <v>2026</v>
      </c>
      <c r="C3733" s="80">
        <v>3</v>
      </c>
      <c r="D3733" s="30" t="s">
        <v>41</v>
      </c>
      <c r="E3733" s="30" t="s">
        <v>66</v>
      </c>
      <c r="F3733" s="30" t="s">
        <v>51</v>
      </c>
      <c r="G3733" s="33">
        <v>1.2250000000000001</v>
      </c>
      <c r="H3733" s="83" t="s">
        <v>89</v>
      </c>
    </row>
    <row r="3734" spans="1:8" ht="16.5" customHeight="1" x14ac:dyDescent="0.25">
      <c r="A3734" s="27">
        <v>46097</v>
      </c>
      <c r="B3734" s="80">
        <v>2026</v>
      </c>
      <c r="C3734" s="80">
        <v>3</v>
      </c>
      <c r="D3734" s="30" t="s">
        <v>41</v>
      </c>
      <c r="E3734" s="30" t="s">
        <v>68</v>
      </c>
      <c r="F3734" s="30" t="s">
        <v>43</v>
      </c>
      <c r="G3734" s="33">
        <v>2.8153000000000001</v>
      </c>
      <c r="H3734" s="83" t="s">
        <v>89</v>
      </c>
    </row>
    <row r="3735" spans="1:8" ht="16.5" customHeight="1" x14ac:dyDescent="0.25">
      <c r="A3735" s="27">
        <v>46097</v>
      </c>
      <c r="B3735" s="80">
        <v>2026</v>
      </c>
      <c r="C3735" s="80">
        <v>3</v>
      </c>
      <c r="D3735" s="30" t="s">
        <v>41</v>
      </c>
      <c r="E3735" s="30" t="s">
        <v>75</v>
      </c>
      <c r="F3735" s="30" t="s">
        <v>43</v>
      </c>
      <c r="G3735" s="33">
        <v>5.3040000000000003</v>
      </c>
      <c r="H3735" s="83" t="s">
        <v>48</v>
      </c>
    </row>
    <row r="3736" spans="1:8" ht="16.5" customHeight="1" x14ac:dyDescent="0.25">
      <c r="A3736" s="27">
        <v>46098</v>
      </c>
      <c r="B3736" s="80">
        <v>2026</v>
      </c>
      <c r="C3736" s="80">
        <v>3</v>
      </c>
      <c r="D3736" s="30" t="s">
        <v>41</v>
      </c>
      <c r="E3736" s="30" t="s">
        <v>42</v>
      </c>
      <c r="F3736" s="30" t="s">
        <v>43</v>
      </c>
      <c r="G3736" s="33">
        <v>11.301500000000001</v>
      </c>
      <c r="H3736" s="83" t="s">
        <v>88</v>
      </c>
    </row>
    <row r="3737" spans="1:8" ht="16.5" customHeight="1" x14ac:dyDescent="0.25">
      <c r="A3737" s="27">
        <v>46098</v>
      </c>
      <c r="B3737" s="80">
        <v>2026</v>
      </c>
      <c r="C3737" s="80">
        <v>3</v>
      </c>
      <c r="D3737" s="30" t="s">
        <v>41</v>
      </c>
      <c r="E3737" s="30" t="s">
        <v>46</v>
      </c>
      <c r="F3737" s="30" t="s">
        <v>43</v>
      </c>
      <c r="G3737" s="33">
        <v>5.6274850000000001</v>
      </c>
      <c r="H3737" s="83" t="s">
        <v>88</v>
      </c>
    </row>
    <row r="3738" spans="1:8" ht="16.5" customHeight="1" x14ac:dyDescent="0.25">
      <c r="A3738" s="27">
        <v>46098</v>
      </c>
      <c r="B3738" s="80">
        <v>2026</v>
      </c>
      <c r="C3738" s="80">
        <v>3</v>
      </c>
      <c r="D3738" s="30" t="s">
        <v>41</v>
      </c>
      <c r="E3738" s="30" t="s">
        <v>46</v>
      </c>
      <c r="F3738" s="30" t="s">
        <v>58</v>
      </c>
      <c r="G3738" s="33">
        <v>1.4958000220000001</v>
      </c>
      <c r="H3738" s="83" t="s">
        <v>88</v>
      </c>
    </row>
    <row r="3739" spans="1:8" ht="16.5" customHeight="1" x14ac:dyDescent="0.25">
      <c r="A3739" s="27">
        <v>46098</v>
      </c>
      <c r="B3739" s="80">
        <v>2026</v>
      </c>
      <c r="C3739" s="80">
        <v>3</v>
      </c>
      <c r="D3739" s="30" t="s">
        <v>41</v>
      </c>
      <c r="E3739" s="30" t="s">
        <v>50</v>
      </c>
      <c r="F3739" s="30" t="s">
        <v>39</v>
      </c>
      <c r="G3739" s="33">
        <v>2.726728</v>
      </c>
      <c r="H3739" s="83" t="s">
        <v>88</v>
      </c>
    </row>
    <row r="3740" spans="1:8" ht="16.5" customHeight="1" x14ac:dyDescent="0.25">
      <c r="A3740" s="27">
        <v>46098</v>
      </c>
      <c r="B3740" s="80">
        <v>2026</v>
      </c>
      <c r="C3740" s="80">
        <v>3</v>
      </c>
      <c r="D3740" s="30" t="s">
        <v>41</v>
      </c>
      <c r="E3740" s="30" t="s">
        <v>50</v>
      </c>
      <c r="F3740" s="30" t="s">
        <v>43</v>
      </c>
      <c r="G3740" s="33">
        <v>4.5247944999999996</v>
      </c>
      <c r="H3740" s="83" t="s">
        <v>88</v>
      </c>
    </row>
    <row r="3741" spans="1:8" ht="16.5" customHeight="1" x14ac:dyDescent="0.25">
      <c r="A3741" s="27">
        <v>46098</v>
      </c>
      <c r="B3741" s="80">
        <v>2026</v>
      </c>
      <c r="C3741" s="80">
        <v>3</v>
      </c>
      <c r="D3741" s="30" t="s">
        <v>41</v>
      </c>
      <c r="E3741" s="30" t="s">
        <v>50</v>
      </c>
      <c r="F3741" s="30" t="s">
        <v>47</v>
      </c>
      <c r="G3741" s="33">
        <v>0.97019999999999995</v>
      </c>
      <c r="H3741" s="83" t="s">
        <v>88</v>
      </c>
    </row>
    <row r="3742" spans="1:8" ht="16.5" customHeight="1" x14ac:dyDescent="0.25">
      <c r="A3742" s="27">
        <v>46098</v>
      </c>
      <c r="B3742" s="80">
        <v>2026</v>
      </c>
      <c r="C3742" s="80">
        <v>3</v>
      </c>
      <c r="D3742" s="30" t="s">
        <v>41</v>
      </c>
      <c r="E3742" s="30" t="s">
        <v>50</v>
      </c>
      <c r="F3742" s="30" t="s">
        <v>51</v>
      </c>
      <c r="G3742" s="33">
        <v>0.61624999999999996</v>
      </c>
      <c r="H3742" s="83" t="s">
        <v>88</v>
      </c>
    </row>
    <row r="3743" spans="1:8" ht="16.5" customHeight="1" x14ac:dyDescent="0.25">
      <c r="A3743" s="27">
        <v>46098</v>
      </c>
      <c r="B3743" s="80">
        <v>2026</v>
      </c>
      <c r="C3743" s="80">
        <v>3</v>
      </c>
      <c r="D3743" s="30" t="s">
        <v>41</v>
      </c>
      <c r="E3743" s="30" t="s">
        <v>50</v>
      </c>
      <c r="F3743" s="30" t="s">
        <v>58</v>
      </c>
      <c r="G3743" s="33">
        <v>8.1089999999999995E-2</v>
      </c>
      <c r="H3743" s="83" t="s">
        <v>88</v>
      </c>
    </row>
    <row r="3744" spans="1:8" ht="16.5" customHeight="1" x14ac:dyDescent="0.25">
      <c r="A3744" s="27">
        <v>46098</v>
      </c>
      <c r="B3744" s="80">
        <v>2026</v>
      </c>
      <c r="C3744" s="80">
        <v>3</v>
      </c>
      <c r="D3744" s="30" t="s">
        <v>41</v>
      </c>
      <c r="E3744" s="30" t="s">
        <v>54</v>
      </c>
      <c r="F3744" s="30" t="s">
        <v>43</v>
      </c>
      <c r="G3744" s="33">
        <v>2.7837499999999999</v>
      </c>
      <c r="H3744" s="83" t="s">
        <v>88</v>
      </c>
    </row>
    <row r="3745" spans="1:8" ht="16.5" customHeight="1" x14ac:dyDescent="0.25">
      <c r="A3745" s="27">
        <v>46098</v>
      </c>
      <c r="B3745" s="80">
        <v>2026</v>
      </c>
      <c r="C3745" s="80">
        <v>3</v>
      </c>
      <c r="D3745" s="30" t="s">
        <v>41</v>
      </c>
      <c r="E3745" s="30" t="s">
        <v>66</v>
      </c>
      <c r="F3745" s="30" t="s">
        <v>43</v>
      </c>
      <c r="G3745" s="33">
        <v>29.192</v>
      </c>
      <c r="H3745" s="83" t="s">
        <v>89</v>
      </c>
    </row>
    <row r="3746" spans="1:8" ht="16.5" customHeight="1" x14ac:dyDescent="0.25">
      <c r="A3746" s="27">
        <v>46098</v>
      </c>
      <c r="B3746" s="80">
        <v>2026</v>
      </c>
      <c r="C3746" s="80">
        <v>3</v>
      </c>
      <c r="D3746" s="30" t="s">
        <v>41</v>
      </c>
      <c r="E3746" s="30" t="s">
        <v>68</v>
      </c>
      <c r="F3746" s="30" t="s">
        <v>43</v>
      </c>
      <c r="G3746" s="33">
        <v>5.0744999999999996</v>
      </c>
      <c r="H3746" s="83" t="s">
        <v>89</v>
      </c>
    </row>
    <row r="3747" spans="1:8" ht="16.5" customHeight="1" x14ac:dyDescent="0.25">
      <c r="A3747" s="27">
        <v>46099</v>
      </c>
      <c r="B3747" s="80">
        <v>2026</v>
      </c>
      <c r="C3747" s="80">
        <v>3</v>
      </c>
      <c r="D3747" s="30" t="s">
        <v>41</v>
      </c>
      <c r="E3747" s="30" t="s">
        <v>38</v>
      </c>
      <c r="F3747" s="30" t="s">
        <v>43</v>
      </c>
      <c r="G3747" s="33">
        <v>4.3512279999999999</v>
      </c>
      <c r="H3747" s="83" t="s">
        <v>88</v>
      </c>
    </row>
    <row r="3748" spans="1:8" ht="16.5" customHeight="1" x14ac:dyDescent="0.25">
      <c r="A3748" s="27">
        <v>46099</v>
      </c>
      <c r="B3748" s="80">
        <v>2026</v>
      </c>
      <c r="C3748" s="80">
        <v>3</v>
      </c>
      <c r="D3748" s="30" t="s">
        <v>41</v>
      </c>
      <c r="E3748" s="30" t="s">
        <v>38</v>
      </c>
      <c r="F3748" s="30" t="s">
        <v>51</v>
      </c>
      <c r="G3748" s="33">
        <v>0.17799999999999999</v>
      </c>
      <c r="H3748" s="83" t="s">
        <v>88</v>
      </c>
    </row>
    <row r="3749" spans="1:8" ht="16.5" customHeight="1" x14ac:dyDescent="0.25">
      <c r="A3749" s="27">
        <v>46099</v>
      </c>
      <c r="B3749" s="80">
        <v>2026</v>
      </c>
      <c r="C3749" s="80">
        <v>3</v>
      </c>
      <c r="D3749" s="30" t="s">
        <v>41</v>
      </c>
      <c r="E3749" s="30" t="s">
        <v>42</v>
      </c>
      <c r="F3749" s="30" t="s">
        <v>43</v>
      </c>
      <c r="G3749" s="33">
        <v>2.4750000000000001</v>
      </c>
      <c r="H3749" s="83" t="s">
        <v>88</v>
      </c>
    </row>
    <row r="3750" spans="1:8" ht="16.5" customHeight="1" x14ac:dyDescent="0.25">
      <c r="A3750" s="27">
        <v>46099</v>
      </c>
      <c r="B3750" s="80">
        <v>2026</v>
      </c>
      <c r="C3750" s="80">
        <v>3</v>
      </c>
      <c r="D3750" s="30" t="s">
        <v>41</v>
      </c>
      <c r="E3750" s="30" t="s">
        <v>42</v>
      </c>
      <c r="F3750" s="30" t="s">
        <v>58</v>
      </c>
      <c r="G3750" s="33">
        <v>0.72099000000000002</v>
      </c>
      <c r="H3750" s="83" t="s">
        <v>88</v>
      </c>
    </row>
    <row r="3751" spans="1:8" ht="16.5" customHeight="1" x14ac:dyDescent="0.25">
      <c r="A3751" s="27">
        <v>46099</v>
      </c>
      <c r="B3751" s="80">
        <v>2026</v>
      </c>
      <c r="C3751" s="80">
        <v>3</v>
      </c>
      <c r="D3751" s="30" t="s">
        <v>41</v>
      </c>
      <c r="E3751" s="30" t="s">
        <v>50</v>
      </c>
      <c r="F3751" s="30" t="s">
        <v>43</v>
      </c>
      <c r="G3751" s="33">
        <v>6.5643444000000004</v>
      </c>
      <c r="H3751" s="83" t="s">
        <v>88</v>
      </c>
    </row>
    <row r="3752" spans="1:8" ht="16.5" customHeight="1" x14ac:dyDescent="0.25">
      <c r="A3752" s="27">
        <v>46099</v>
      </c>
      <c r="B3752" s="80">
        <v>2026</v>
      </c>
      <c r="C3752" s="80">
        <v>3</v>
      </c>
      <c r="D3752" s="30" t="s">
        <v>41</v>
      </c>
      <c r="E3752" s="30" t="s">
        <v>50</v>
      </c>
      <c r="F3752" s="30" t="s">
        <v>47</v>
      </c>
      <c r="G3752" s="33">
        <v>0.64680000000000004</v>
      </c>
      <c r="H3752" s="83" t="s">
        <v>88</v>
      </c>
    </row>
    <row r="3753" spans="1:8" ht="16.5" customHeight="1" x14ac:dyDescent="0.25">
      <c r="A3753" s="27">
        <v>46099</v>
      </c>
      <c r="B3753" s="80">
        <v>2026</v>
      </c>
      <c r="C3753" s="80">
        <v>3</v>
      </c>
      <c r="D3753" s="30" t="s">
        <v>41</v>
      </c>
      <c r="E3753" s="30" t="s">
        <v>54</v>
      </c>
      <c r="F3753" s="30" t="s">
        <v>43</v>
      </c>
      <c r="G3753" s="33">
        <v>12.31725</v>
      </c>
      <c r="H3753" s="83" t="s">
        <v>88</v>
      </c>
    </row>
    <row r="3754" spans="1:8" ht="16.5" customHeight="1" x14ac:dyDescent="0.25">
      <c r="A3754" s="27">
        <v>46099</v>
      </c>
      <c r="B3754" s="80">
        <v>2026</v>
      </c>
      <c r="C3754" s="80">
        <v>3</v>
      </c>
      <c r="D3754" s="30" t="s">
        <v>41</v>
      </c>
      <c r="E3754" s="30" t="s">
        <v>54</v>
      </c>
      <c r="F3754" s="30" t="s">
        <v>55</v>
      </c>
      <c r="G3754" s="33">
        <v>0.35</v>
      </c>
      <c r="H3754" s="83" t="s">
        <v>88</v>
      </c>
    </row>
    <row r="3755" spans="1:8" ht="16.5" customHeight="1" x14ac:dyDescent="0.25">
      <c r="A3755" s="27">
        <v>46099</v>
      </c>
      <c r="B3755" s="80">
        <v>2026</v>
      </c>
      <c r="C3755" s="80">
        <v>3</v>
      </c>
      <c r="D3755" s="30" t="s">
        <v>41</v>
      </c>
      <c r="E3755" s="30" t="s">
        <v>57</v>
      </c>
      <c r="F3755" s="30" t="s">
        <v>43</v>
      </c>
      <c r="G3755" s="33">
        <v>15.685499999999999</v>
      </c>
      <c r="H3755" s="83" t="s">
        <v>89</v>
      </c>
    </row>
    <row r="3756" spans="1:8" ht="16.5" customHeight="1" x14ac:dyDescent="0.25">
      <c r="A3756" s="27">
        <v>46099</v>
      </c>
      <c r="B3756" s="80">
        <v>2026</v>
      </c>
      <c r="C3756" s="80">
        <v>3</v>
      </c>
      <c r="D3756" s="30" t="s">
        <v>41</v>
      </c>
      <c r="E3756" s="30" t="s">
        <v>57</v>
      </c>
      <c r="F3756" s="30" t="s">
        <v>51</v>
      </c>
      <c r="G3756" s="33">
        <v>1.8460000000000001</v>
      </c>
      <c r="H3756" s="83" t="s">
        <v>89</v>
      </c>
    </row>
    <row r="3757" spans="1:8" ht="16.5" customHeight="1" x14ac:dyDescent="0.25">
      <c r="A3757" s="27">
        <v>46099</v>
      </c>
      <c r="B3757" s="80">
        <v>2026</v>
      </c>
      <c r="C3757" s="80">
        <v>3</v>
      </c>
      <c r="D3757" s="30" t="s">
        <v>41</v>
      </c>
      <c r="E3757" s="30" t="s">
        <v>66</v>
      </c>
      <c r="F3757" s="30" t="s">
        <v>43</v>
      </c>
      <c r="G3757" s="33">
        <v>21.3125</v>
      </c>
      <c r="H3757" s="83" t="s">
        <v>89</v>
      </c>
    </row>
    <row r="3758" spans="1:8" ht="16.5" customHeight="1" x14ac:dyDescent="0.25">
      <c r="A3758" s="27">
        <v>46099</v>
      </c>
      <c r="B3758" s="80">
        <v>2026</v>
      </c>
      <c r="C3758" s="80">
        <v>3</v>
      </c>
      <c r="D3758" s="30" t="s">
        <v>41</v>
      </c>
      <c r="E3758" s="30" t="s">
        <v>68</v>
      </c>
      <c r="F3758" s="30" t="s">
        <v>55</v>
      </c>
      <c r="G3758" s="33">
        <v>0.96</v>
      </c>
      <c r="H3758" s="83" t="s">
        <v>89</v>
      </c>
    </row>
    <row r="3759" spans="1:8" ht="16.5" customHeight="1" x14ac:dyDescent="0.25">
      <c r="A3759" s="27">
        <v>46099</v>
      </c>
      <c r="B3759" s="80">
        <v>2026</v>
      </c>
      <c r="C3759" s="80">
        <v>3</v>
      </c>
      <c r="D3759" s="30" t="s">
        <v>41</v>
      </c>
      <c r="E3759" s="30" t="s">
        <v>71</v>
      </c>
      <c r="F3759" s="30" t="s">
        <v>43</v>
      </c>
      <c r="G3759" s="33">
        <v>35.455800000000004</v>
      </c>
      <c r="H3759" s="83" t="s">
        <v>89</v>
      </c>
    </row>
    <row r="3760" spans="1:8" ht="16.5" customHeight="1" x14ac:dyDescent="0.25">
      <c r="A3760" s="27">
        <v>46099</v>
      </c>
      <c r="B3760" s="80">
        <v>2026</v>
      </c>
      <c r="C3760" s="80">
        <v>3</v>
      </c>
      <c r="D3760" s="30" t="s">
        <v>41</v>
      </c>
      <c r="E3760" s="30" t="s">
        <v>75</v>
      </c>
      <c r="F3760" s="30" t="s">
        <v>43</v>
      </c>
      <c r="G3760" s="33">
        <v>2.5632000000000001</v>
      </c>
      <c r="H3760" s="83" t="s">
        <v>48</v>
      </c>
    </row>
    <row r="3761" spans="1:8" ht="16.5" customHeight="1" x14ac:dyDescent="0.25">
      <c r="A3761" s="27">
        <v>46100</v>
      </c>
      <c r="B3761" s="80">
        <v>2026</v>
      </c>
      <c r="C3761" s="80">
        <v>3</v>
      </c>
      <c r="D3761" s="30" t="s">
        <v>41</v>
      </c>
      <c r="E3761" s="30" t="s">
        <v>38</v>
      </c>
      <c r="F3761" s="30" t="s">
        <v>43</v>
      </c>
      <c r="G3761" s="33">
        <v>75.358500000000006</v>
      </c>
      <c r="H3761" s="83" t="s">
        <v>88</v>
      </c>
    </row>
    <row r="3762" spans="1:8" ht="16.5" customHeight="1" x14ac:dyDescent="0.25">
      <c r="A3762" s="27">
        <v>46100</v>
      </c>
      <c r="B3762" s="80">
        <v>2026</v>
      </c>
      <c r="C3762" s="80">
        <v>3</v>
      </c>
      <c r="D3762" s="30" t="s">
        <v>41</v>
      </c>
      <c r="E3762" s="30" t="s">
        <v>42</v>
      </c>
      <c r="F3762" s="30" t="s">
        <v>43</v>
      </c>
      <c r="G3762" s="33">
        <v>4.9240000000000004</v>
      </c>
      <c r="H3762" s="83" t="s">
        <v>88</v>
      </c>
    </row>
    <row r="3763" spans="1:8" ht="16.5" customHeight="1" x14ac:dyDescent="0.25">
      <c r="A3763" s="27">
        <v>46100</v>
      </c>
      <c r="B3763" s="80">
        <v>2026</v>
      </c>
      <c r="C3763" s="80">
        <v>3</v>
      </c>
      <c r="D3763" s="30" t="s">
        <v>41</v>
      </c>
      <c r="E3763" s="30" t="s">
        <v>42</v>
      </c>
      <c r="F3763" s="30" t="s">
        <v>55</v>
      </c>
      <c r="G3763" s="33">
        <v>1.794</v>
      </c>
      <c r="H3763" s="83" t="s">
        <v>88</v>
      </c>
    </row>
    <row r="3764" spans="1:8" ht="16.5" customHeight="1" x14ac:dyDescent="0.25">
      <c r="A3764" s="27">
        <v>46100</v>
      </c>
      <c r="B3764" s="80">
        <v>2026</v>
      </c>
      <c r="C3764" s="80">
        <v>3</v>
      </c>
      <c r="D3764" s="30" t="s">
        <v>41</v>
      </c>
      <c r="E3764" s="30" t="s">
        <v>46</v>
      </c>
      <c r="F3764" s="30" t="s">
        <v>43</v>
      </c>
      <c r="G3764" s="33">
        <v>12.0936725</v>
      </c>
      <c r="H3764" s="83" t="s">
        <v>88</v>
      </c>
    </row>
    <row r="3765" spans="1:8" ht="16.5" customHeight="1" x14ac:dyDescent="0.25">
      <c r="A3765" s="27">
        <v>46100</v>
      </c>
      <c r="B3765" s="80">
        <v>2026</v>
      </c>
      <c r="C3765" s="80">
        <v>3</v>
      </c>
      <c r="D3765" s="30" t="s">
        <v>41</v>
      </c>
      <c r="E3765" s="30" t="s">
        <v>50</v>
      </c>
      <c r="F3765" s="30" t="s">
        <v>43</v>
      </c>
      <c r="G3765" s="33">
        <v>33.548192649999997</v>
      </c>
      <c r="H3765" s="83" t="s">
        <v>88</v>
      </c>
    </row>
    <row r="3766" spans="1:8" ht="16.5" customHeight="1" x14ac:dyDescent="0.25">
      <c r="A3766" s="27">
        <v>46100</v>
      </c>
      <c r="B3766" s="80">
        <v>2026</v>
      </c>
      <c r="C3766" s="80">
        <v>3</v>
      </c>
      <c r="D3766" s="30" t="s">
        <v>41</v>
      </c>
      <c r="E3766" s="30" t="s">
        <v>50</v>
      </c>
      <c r="F3766" s="30" t="s">
        <v>47</v>
      </c>
      <c r="G3766" s="33">
        <v>0.64680000000000004</v>
      </c>
      <c r="H3766" s="83" t="s">
        <v>88</v>
      </c>
    </row>
    <row r="3767" spans="1:8" ht="16.5" customHeight="1" x14ac:dyDescent="0.25">
      <c r="A3767" s="27">
        <v>46100</v>
      </c>
      <c r="B3767" s="80">
        <v>2026</v>
      </c>
      <c r="C3767" s="80">
        <v>3</v>
      </c>
      <c r="D3767" s="30" t="s">
        <v>41</v>
      </c>
      <c r="E3767" s="30" t="s">
        <v>50</v>
      </c>
      <c r="F3767" s="30" t="s">
        <v>55</v>
      </c>
      <c r="G3767" s="33">
        <v>0.226075</v>
      </c>
      <c r="H3767" s="83" t="s">
        <v>88</v>
      </c>
    </row>
    <row r="3768" spans="1:8" ht="16.5" customHeight="1" x14ac:dyDescent="0.25">
      <c r="A3768" s="27">
        <v>46100</v>
      </c>
      <c r="B3768" s="80">
        <v>2026</v>
      </c>
      <c r="C3768" s="80">
        <v>3</v>
      </c>
      <c r="D3768" s="30" t="s">
        <v>41</v>
      </c>
      <c r="E3768" s="30" t="s">
        <v>50</v>
      </c>
      <c r="F3768" s="30" t="s">
        <v>58</v>
      </c>
      <c r="G3768" s="33">
        <v>12.616838100000001</v>
      </c>
      <c r="H3768" s="83" t="s">
        <v>88</v>
      </c>
    </row>
    <row r="3769" spans="1:8" ht="16.5" customHeight="1" x14ac:dyDescent="0.25">
      <c r="A3769" s="27">
        <v>46100</v>
      </c>
      <c r="B3769" s="80">
        <v>2026</v>
      </c>
      <c r="C3769" s="80">
        <v>3</v>
      </c>
      <c r="D3769" s="30" t="s">
        <v>41</v>
      </c>
      <c r="E3769" s="30" t="s">
        <v>54</v>
      </c>
      <c r="F3769" s="30" t="s">
        <v>43</v>
      </c>
      <c r="G3769" s="33">
        <v>7.6135000000000002</v>
      </c>
      <c r="H3769" s="83" t="s">
        <v>88</v>
      </c>
    </row>
    <row r="3770" spans="1:8" ht="16.5" customHeight="1" x14ac:dyDescent="0.25">
      <c r="A3770" s="27">
        <v>46100</v>
      </c>
      <c r="B3770" s="80">
        <v>2026</v>
      </c>
      <c r="C3770" s="80">
        <v>3</v>
      </c>
      <c r="D3770" s="30" t="s">
        <v>41</v>
      </c>
      <c r="E3770" s="30" t="s">
        <v>57</v>
      </c>
      <c r="F3770" s="30" t="s">
        <v>43</v>
      </c>
      <c r="G3770" s="33">
        <v>14.5145</v>
      </c>
      <c r="H3770" s="83" t="s">
        <v>89</v>
      </c>
    </row>
    <row r="3771" spans="1:8" ht="16.5" customHeight="1" x14ac:dyDescent="0.25">
      <c r="A3771" s="27">
        <v>46100</v>
      </c>
      <c r="B3771" s="80">
        <v>2026</v>
      </c>
      <c r="C3771" s="80">
        <v>3</v>
      </c>
      <c r="D3771" s="30" t="s">
        <v>41</v>
      </c>
      <c r="E3771" s="30" t="s">
        <v>64</v>
      </c>
      <c r="F3771" s="30" t="s">
        <v>43</v>
      </c>
      <c r="G3771" s="33">
        <v>38.159999999999997</v>
      </c>
      <c r="H3771" s="83" t="s">
        <v>89</v>
      </c>
    </row>
    <row r="3772" spans="1:8" ht="16.5" customHeight="1" x14ac:dyDescent="0.25">
      <c r="A3772" s="27">
        <v>46100</v>
      </c>
      <c r="B3772" s="80">
        <v>2026</v>
      </c>
      <c r="C3772" s="80">
        <v>3</v>
      </c>
      <c r="D3772" s="30" t="s">
        <v>41</v>
      </c>
      <c r="E3772" s="30" t="s">
        <v>71</v>
      </c>
      <c r="F3772" s="30" t="s">
        <v>39</v>
      </c>
      <c r="G3772" s="33">
        <v>10.78</v>
      </c>
      <c r="H3772" s="83" t="s">
        <v>89</v>
      </c>
    </row>
    <row r="3773" spans="1:8" ht="16.5" customHeight="1" x14ac:dyDescent="0.25">
      <c r="A3773" s="27">
        <v>46100</v>
      </c>
      <c r="B3773" s="80">
        <v>2026</v>
      </c>
      <c r="C3773" s="80">
        <v>3</v>
      </c>
      <c r="D3773" s="30" t="s">
        <v>41</v>
      </c>
      <c r="E3773" s="30" t="s">
        <v>73</v>
      </c>
      <c r="F3773" s="30" t="s">
        <v>39</v>
      </c>
      <c r="G3773" s="33">
        <v>5.1536099999999996</v>
      </c>
      <c r="H3773" s="83" t="s">
        <v>89</v>
      </c>
    </row>
    <row r="3774" spans="1:8" ht="16.5" customHeight="1" x14ac:dyDescent="0.25">
      <c r="A3774" s="27">
        <v>46100</v>
      </c>
      <c r="B3774" s="80">
        <v>2026</v>
      </c>
      <c r="C3774" s="80">
        <v>3</v>
      </c>
      <c r="D3774" s="30" t="s">
        <v>41</v>
      </c>
      <c r="E3774" s="30" t="s">
        <v>75</v>
      </c>
      <c r="F3774" s="30" t="s">
        <v>43</v>
      </c>
      <c r="G3774" s="33">
        <v>18.310296000000001</v>
      </c>
      <c r="H3774" s="83" t="s">
        <v>48</v>
      </c>
    </row>
    <row r="3775" spans="1:8" ht="16.5" customHeight="1" x14ac:dyDescent="0.25">
      <c r="A3775" s="27">
        <v>46101</v>
      </c>
      <c r="B3775" s="80">
        <v>2026</v>
      </c>
      <c r="C3775" s="80">
        <v>3</v>
      </c>
      <c r="D3775" s="30" t="s">
        <v>41</v>
      </c>
      <c r="E3775" s="30" t="s">
        <v>38</v>
      </c>
      <c r="F3775" s="30" t="s">
        <v>43</v>
      </c>
      <c r="G3775" s="33">
        <v>9.5909999999999993</v>
      </c>
      <c r="H3775" s="83" t="s">
        <v>88</v>
      </c>
    </row>
    <row r="3776" spans="1:8" ht="16.5" customHeight="1" x14ac:dyDescent="0.25">
      <c r="A3776" s="27">
        <v>46101</v>
      </c>
      <c r="B3776" s="80">
        <v>2026</v>
      </c>
      <c r="C3776" s="80">
        <v>3</v>
      </c>
      <c r="D3776" s="30" t="s">
        <v>41</v>
      </c>
      <c r="E3776" s="30" t="s">
        <v>42</v>
      </c>
      <c r="F3776" s="30" t="s">
        <v>43</v>
      </c>
      <c r="G3776" s="33">
        <v>1.5264</v>
      </c>
      <c r="H3776" s="83" t="s">
        <v>88</v>
      </c>
    </row>
    <row r="3777" spans="1:8" ht="16.5" customHeight="1" x14ac:dyDescent="0.25">
      <c r="A3777" s="27">
        <v>46101</v>
      </c>
      <c r="B3777" s="80">
        <v>2026</v>
      </c>
      <c r="C3777" s="80">
        <v>3</v>
      </c>
      <c r="D3777" s="30" t="s">
        <v>41</v>
      </c>
      <c r="E3777" s="30" t="s">
        <v>46</v>
      </c>
      <c r="F3777" s="30" t="s">
        <v>43</v>
      </c>
      <c r="G3777" s="33">
        <v>3.8128047999999999</v>
      </c>
      <c r="H3777" s="83" t="s">
        <v>88</v>
      </c>
    </row>
    <row r="3778" spans="1:8" ht="16.5" customHeight="1" x14ac:dyDescent="0.25">
      <c r="A3778" s="27">
        <v>46101</v>
      </c>
      <c r="B3778" s="80">
        <v>2026</v>
      </c>
      <c r="C3778" s="80">
        <v>3</v>
      </c>
      <c r="D3778" s="30" t="s">
        <v>41</v>
      </c>
      <c r="E3778" s="30" t="s">
        <v>50</v>
      </c>
      <c r="F3778" s="30" t="s">
        <v>43</v>
      </c>
      <c r="G3778" s="33">
        <v>6.1430218999999999</v>
      </c>
      <c r="H3778" s="83" t="s">
        <v>88</v>
      </c>
    </row>
    <row r="3779" spans="1:8" ht="16.5" customHeight="1" x14ac:dyDescent="0.25">
      <c r="A3779" s="27">
        <v>46101</v>
      </c>
      <c r="B3779" s="80">
        <v>2026</v>
      </c>
      <c r="C3779" s="80">
        <v>3</v>
      </c>
      <c r="D3779" s="30" t="s">
        <v>41</v>
      </c>
      <c r="E3779" s="30" t="s">
        <v>50</v>
      </c>
      <c r="F3779" s="30" t="s">
        <v>47</v>
      </c>
      <c r="G3779" s="33">
        <v>0.980406</v>
      </c>
      <c r="H3779" s="83" t="s">
        <v>88</v>
      </c>
    </row>
    <row r="3780" spans="1:8" ht="16.5" customHeight="1" x14ac:dyDescent="0.25">
      <c r="A3780" s="27">
        <v>46101</v>
      </c>
      <c r="B3780" s="80">
        <v>2026</v>
      </c>
      <c r="C3780" s="80">
        <v>3</v>
      </c>
      <c r="D3780" s="30" t="s">
        <v>41</v>
      </c>
      <c r="E3780" s="30" t="s">
        <v>50</v>
      </c>
      <c r="F3780" s="30" t="s">
        <v>55</v>
      </c>
      <c r="G3780" s="33">
        <v>0.48266399999999998</v>
      </c>
      <c r="H3780" s="83" t="s">
        <v>88</v>
      </c>
    </row>
    <row r="3781" spans="1:8" ht="16.5" customHeight="1" x14ac:dyDescent="0.25">
      <c r="A3781" s="27">
        <v>46101</v>
      </c>
      <c r="B3781" s="80">
        <v>2026</v>
      </c>
      <c r="C3781" s="80">
        <v>3</v>
      </c>
      <c r="D3781" s="30" t="s">
        <v>41</v>
      </c>
      <c r="E3781" s="30" t="s">
        <v>50</v>
      </c>
      <c r="F3781" s="30" t="s">
        <v>58</v>
      </c>
      <c r="G3781" s="33">
        <v>0.19771479</v>
      </c>
      <c r="H3781" s="83" t="s">
        <v>88</v>
      </c>
    </row>
    <row r="3782" spans="1:8" ht="16.5" customHeight="1" x14ac:dyDescent="0.25">
      <c r="A3782" s="27">
        <v>46101</v>
      </c>
      <c r="B3782" s="80">
        <v>2026</v>
      </c>
      <c r="C3782" s="80">
        <v>3</v>
      </c>
      <c r="D3782" s="30" t="s">
        <v>41</v>
      </c>
      <c r="E3782" s="30" t="s">
        <v>54</v>
      </c>
      <c r="F3782" s="30" t="s">
        <v>43</v>
      </c>
      <c r="G3782" s="33">
        <v>6.4617500000000003</v>
      </c>
      <c r="H3782" s="83" t="s">
        <v>88</v>
      </c>
    </row>
    <row r="3783" spans="1:8" ht="16.5" customHeight="1" x14ac:dyDescent="0.25">
      <c r="A3783" s="27">
        <v>46101</v>
      </c>
      <c r="B3783" s="80">
        <v>2026</v>
      </c>
      <c r="C3783" s="80">
        <v>3</v>
      </c>
      <c r="D3783" s="30" t="s">
        <v>41</v>
      </c>
      <c r="E3783" s="30" t="s">
        <v>54</v>
      </c>
      <c r="F3783" s="30" t="s">
        <v>47</v>
      </c>
      <c r="G3783" s="33">
        <v>0.39</v>
      </c>
      <c r="H3783" s="83" t="s">
        <v>88</v>
      </c>
    </row>
    <row r="3784" spans="1:8" ht="16.5" customHeight="1" x14ac:dyDescent="0.25">
      <c r="A3784" s="27">
        <v>46101</v>
      </c>
      <c r="B3784" s="80">
        <v>2026</v>
      </c>
      <c r="C3784" s="80">
        <v>3</v>
      </c>
      <c r="D3784" s="30" t="s">
        <v>41</v>
      </c>
      <c r="E3784" s="30" t="s">
        <v>57</v>
      </c>
      <c r="F3784" s="30" t="s">
        <v>39</v>
      </c>
      <c r="G3784" s="33">
        <v>210.26724999999999</v>
      </c>
      <c r="H3784" s="83" t="s">
        <v>89</v>
      </c>
    </row>
    <row r="3785" spans="1:8" ht="16.5" customHeight="1" x14ac:dyDescent="0.25">
      <c r="A3785" s="27">
        <v>46101</v>
      </c>
      <c r="B3785" s="80">
        <v>2026</v>
      </c>
      <c r="C3785" s="80">
        <v>3</v>
      </c>
      <c r="D3785" s="30" t="s">
        <v>41</v>
      </c>
      <c r="E3785" s="30" t="s">
        <v>57</v>
      </c>
      <c r="F3785" s="30" t="s">
        <v>43</v>
      </c>
      <c r="G3785" s="33">
        <v>16.111000000000001</v>
      </c>
      <c r="H3785" s="83" t="s">
        <v>89</v>
      </c>
    </row>
    <row r="3786" spans="1:8" ht="16.5" customHeight="1" x14ac:dyDescent="0.25">
      <c r="A3786" s="27">
        <v>46101</v>
      </c>
      <c r="B3786" s="80">
        <v>2026</v>
      </c>
      <c r="C3786" s="80">
        <v>3</v>
      </c>
      <c r="D3786" s="30" t="s">
        <v>41</v>
      </c>
      <c r="E3786" s="30" t="s">
        <v>61</v>
      </c>
      <c r="F3786" s="30" t="s">
        <v>43</v>
      </c>
      <c r="G3786" s="33">
        <v>13.103999999999999</v>
      </c>
      <c r="H3786" s="83" t="s">
        <v>89</v>
      </c>
    </row>
    <row r="3787" spans="1:8" ht="16.5" customHeight="1" x14ac:dyDescent="0.25">
      <c r="A3787" s="27">
        <v>46101</v>
      </c>
      <c r="B3787" s="80">
        <v>2026</v>
      </c>
      <c r="C3787" s="80">
        <v>3</v>
      </c>
      <c r="D3787" s="30" t="s">
        <v>41</v>
      </c>
      <c r="E3787" s="30" t="s">
        <v>66</v>
      </c>
      <c r="F3787" s="30" t="s">
        <v>43</v>
      </c>
      <c r="G3787" s="33">
        <v>8.6146999999999991</v>
      </c>
      <c r="H3787" s="83" t="s">
        <v>89</v>
      </c>
    </row>
    <row r="3788" spans="1:8" ht="16.5" customHeight="1" x14ac:dyDescent="0.25">
      <c r="A3788" s="27">
        <v>46101</v>
      </c>
      <c r="B3788" s="80">
        <v>2026</v>
      </c>
      <c r="C3788" s="80">
        <v>3</v>
      </c>
      <c r="D3788" s="30" t="s">
        <v>41</v>
      </c>
      <c r="E3788" s="30" t="s">
        <v>68</v>
      </c>
      <c r="F3788" s="30" t="s">
        <v>43</v>
      </c>
      <c r="G3788" s="33">
        <v>0.42</v>
      </c>
      <c r="H3788" s="83" t="s">
        <v>89</v>
      </c>
    </row>
    <row r="3789" spans="1:8" ht="16.5" customHeight="1" x14ac:dyDescent="0.25">
      <c r="A3789" s="27">
        <v>46102</v>
      </c>
      <c r="B3789" s="80">
        <v>2026</v>
      </c>
      <c r="C3789" s="80">
        <v>3</v>
      </c>
      <c r="D3789" s="30" t="s">
        <v>41</v>
      </c>
      <c r="E3789" s="30" t="s">
        <v>50</v>
      </c>
      <c r="F3789" s="30" t="s">
        <v>43</v>
      </c>
      <c r="G3789" s="33">
        <v>0.37612499999999999</v>
      </c>
      <c r="H3789" s="83" t="s">
        <v>88</v>
      </c>
    </row>
    <row r="3790" spans="1:8" ht="16.5" customHeight="1" x14ac:dyDescent="0.25">
      <c r="A3790" s="27">
        <v>46102</v>
      </c>
      <c r="B3790" s="80">
        <v>2026</v>
      </c>
      <c r="C3790" s="80">
        <v>3</v>
      </c>
      <c r="D3790" s="30" t="s">
        <v>41</v>
      </c>
      <c r="E3790" s="30" t="s">
        <v>50</v>
      </c>
      <c r="F3790" s="30" t="s">
        <v>47</v>
      </c>
      <c r="G3790" s="33">
        <v>0.14025000000000001</v>
      </c>
      <c r="H3790" s="83" t="s">
        <v>88</v>
      </c>
    </row>
    <row r="3791" spans="1:8" ht="16.5" customHeight="1" x14ac:dyDescent="0.25">
      <c r="A3791" s="27">
        <v>46102</v>
      </c>
      <c r="B3791" s="80">
        <v>2026</v>
      </c>
      <c r="C3791" s="80">
        <v>3</v>
      </c>
      <c r="D3791" s="30" t="s">
        <v>41</v>
      </c>
      <c r="E3791" s="30" t="s">
        <v>50</v>
      </c>
      <c r="F3791" s="30" t="s">
        <v>51</v>
      </c>
      <c r="G3791" s="33">
        <v>1.2324999999999999</v>
      </c>
      <c r="H3791" s="83" t="s">
        <v>88</v>
      </c>
    </row>
    <row r="3792" spans="1:8" ht="16.5" customHeight="1" x14ac:dyDescent="0.25">
      <c r="A3792" s="27">
        <v>46102</v>
      </c>
      <c r="B3792" s="80">
        <v>2026</v>
      </c>
      <c r="C3792" s="80">
        <v>3</v>
      </c>
      <c r="D3792" s="30" t="s">
        <v>41</v>
      </c>
      <c r="E3792" s="30" t="s">
        <v>50</v>
      </c>
      <c r="F3792" s="30" t="s">
        <v>58</v>
      </c>
      <c r="G3792" s="33">
        <v>7.1825E-2</v>
      </c>
      <c r="H3792" s="83" t="s">
        <v>88</v>
      </c>
    </row>
    <row r="3793" spans="1:8" ht="16.5" customHeight="1" x14ac:dyDescent="0.25">
      <c r="A3793" s="27">
        <v>46104</v>
      </c>
      <c r="B3793" s="80">
        <v>2026</v>
      </c>
      <c r="C3793" s="80">
        <v>3</v>
      </c>
      <c r="D3793" s="30" t="s">
        <v>41</v>
      </c>
      <c r="E3793" s="30" t="s">
        <v>38</v>
      </c>
      <c r="F3793" s="30" t="s">
        <v>43</v>
      </c>
      <c r="G3793" s="33">
        <v>184.042</v>
      </c>
      <c r="H3793" s="83" t="s">
        <v>88</v>
      </c>
    </row>
    <row r="3794" spans="1:8" ht="16.5" customHeight="1" x14ac:dyDescent="0.25">
      <c r="A3794" s="27">
        <v>46104</v>
      </c>
      <c r="B3794" s="80">
        <v>2026</v>
      </c>
      <c r="C3794" s="80">
        <v>3</v>
      </c>
      <c r="D3794" s="30" t="s">
        <v>41</v>
      </c>
      <c r="E3794" s="30" t="s">
        <v>46</v>
      </c>
      <c r="F3794" s="30" t="s">
        <v>43</v>
      </c>
      <c r="G3794" s="33">
        <v>1.0224983999999999</v>
      </c>
      <c r="H3794" s="83" t="s">
        <v>88</v>
      </c>
    </row>
    <row r="3795" spans="1:8" ht="16.5" customHeight="1" x14ac:dyDescent="0.25">
      <c r="A3795" s="27">
        <v>46104</v>
      </c>
      <c r="B3795" s="80">
        <v>2026</v>
      </c>
      <c r="C3795" s="80">
        <v>3</v>
      </c>
      <c r="D3795" s="30" t="s">
        <v>41</v>
      </c>
      <c r="E3795" s="30" t="s">
        <v>46</v>
      </c>
      <c r="F3795" s="30" t="s">
        <v>55</v>
      </c>
      <c r="G3795" s="33">
        <v>1.2049799999999999</v>
      </c>
      <c r="H3795" s="83" t="s">
        <v>88</v>
      </c>
    </row>
    <row r="3796" spans="1:8" ht="16.5" customHeight="1" x14ac:dyDescent="0.25">
      <c r="A3796" s="27">
        <v>46104</v>
      </c>
      <c r="B3796" s="80">
        <v>2026</v>
      </c>
      <c r="C3796" s="80">
        <v>3</v>
      </c>
      <c r="D3796" s="30" t="s">
        <v>41</v>
      </c>
      <c r="E3796" s="30" t="s">
        <v>50</v>
      </c>
      <c r="F3796" s="30" t="s">
        <v>43</v>
      </c>
      <c r="G3796" s="33">
        <v>11.219314799999999</v>
      </c>
      <c r="H3796" s="83" t="s">
        <v>88</v>
      </c>
    </row>
    <row r="3797" spans="1:8" ht="16.5" customHeight="1" x14ac:dyDescent="0.25">
      <c r="A3797" s="27">
        <v>46104</v>
      </c>
      <c r="B3797" s="80">
        <v>2026</v>
      </c>
      <c r="C3797" s="80">
        <v>3</v>
      </c>
      <c r="D3797" s="30" t="s">
        <v>41</v>
      </c>
      <c r="E3797" s="30" t="s">
        <v>50</v>
      </c>
      <c r="F3797" s="30" t="s">
        <v>47</v>
      </c>
      <c r="G3797" s="33">
        <v>0.87932399999999999</v>
      </c>
      <c r="H3797" s="83" t="s">
        <v>88</v>
      </c>
    </row>
    <row r="3798" spans="1:8" ht="16.5" customHeight="1" x14ac:dyDescent="0.25">
      <c r="A3798" s="27">
        <v>46104</v>
      </c>
      <c r="B3798" s="80">
        <v>2026</v>
      </c>
      <c r="C3798" s="80">
        <v>3</v>
      </c>
      <c r="D3798" s="30" t="s">
        <v>41</v>
      </c>
      <c r="E3798" s="30" t="s">
        <v>50</v>
      </c>
      <c r="F3798" s="30" t="s">
        <v>51</v>
      </c>
      <c r="G3798" s="33">
        <v>1.35575</v>
      </c>
      <c r="H3798" s="83" t="s">
        <v>88</v>
      </c>
    </row>
    <row r="3799" spans="1:8" ht="16.5" customHeight="1" x14ac:dyDescent="0.25">
      <c r="A3799" s="27">
        <v>46104</v>
      </c>
      <c r="B3799" s="80">
        <v>2026</v>
      </c>
      <c r="C3799" s="80">
        <v>3</v>
      </c>
      <c r="D3799" s="30" t="s">
        <v>41</v>
      </c>
      <c r="E3799" s="30" t="s">
        <v>50</v>
      </c>
      <c r="F3799" s="30" t="s">
        <v>55</v>
      </c>
      <c r="G3799" s="33">
        <v>0.71399999999999997</v>
      </c>
      <c r="H3799" s="83" t="s">
        <v>88</v>
      </c>
    </row>
    <row r="3800" spans="1:8" ht="16.5" customHeight="1" x14ac:dyDescent="0.25">
      <c r="A3800" s="27">
        <v>46104</v>
      </c>
      <c r="B3800" s="80">
        <v>2026</v>
      </c>
      <c r="C3800" s="80">
        <v>3</v>
      </c>
      <c r="D3800" s="30" t="s">
        <v>41</v>
      </c>
      <c r="E3800" s="30" t="s">
        <v>50</v>
      </c>
      <c r="F3800" s="30" t="s">
        <v>58</v>
      </c>
      <c r="G3800" s="33">
        <v>2.1994380480000002</v>
      </c>
      <c r="H3800" s="83" t="s">
        <v>88</v>
      </c>
    </row>
    <row r="3801" spans="1:8" ht="16.5" customHeight="1" x14ac:dyDescent="0.25">
      <c r="A3801" s="27">
        <v>46104</v>
      </c>
      <c r="B3801" s="80">
        <v>2026</v>
      </c>
      <c r="C3801" s="80">
        <v>3</v>
      </c>
      <c r="D3801" s="30" t="s">
        <v>41</v>
      </c>
      <c r="E3801" s="30" t="s">
        <v>54</v>
      </c>
      <c r="F3801" s="30" t="s">
        <v>43</v>
      </c>
      <c r="G3801" s="33">
        <v>5.6520999999999999</v>
      </c>
      <c r="H3801" s="83" t="s">
        <v>88</v>
      </c>
    </row>
    <row r="3802" spans="1:8" ht="16.5" customHeight="1" x14ac:dyDescent="0.25">
      <c r="A3802" s="27">
        <v>46104</v>
      </c>
      <c r="B3802" s="80">
        <v>2026</v>
      </c>
      <c r="C3802" s="80">
        <v>3</v>
      </c>
      <c r="D3802" s="30" t="s">
        <v>41</v>
      </c>
      <c r="E3802" s="30" t="s">
        <v>57</v>
      </c>
      <c r="F3802" s="30" t="s">
        <v>43</v>
      </c>
      <c r="G3802" s="33">
        <v>2.5055999999999998</v>
      </c>
      <c r="H3802" s="83" t="s">
        <v>89</v>
      </c>
    </row>
    <row r="3803" spans="1:8" ht="16.5" customHeight="1" x14ac:dyDescent="0.25">
      <c r="A3803" s="27">
        <v>46104</v>
      </c>
      <c r="B3803" s="80">
        <v>2026</v>
      </c>
      <c r="C3803" s="80">
        <v>3</v>
      </c>
      <c r="D3803" s="30" t="s">
        <v>41</v>
      </c>
      <c r="E3803" s="30" t="s">
        <v>66</v>
      </c>
      <c r="F3803" s="30" t="s">
        <v>43</v>
      </c>
      <c r="G3803" s="33">
        <v>6.077</v>
      </c>
      <c r="H3803" s="83" t="s">
        <v>89</v>
      </c>
    </row>
    <row r="3804" spans="1:8" ht="16.5" customHeight="1" x14ac:dyDescent="0.25">
      <c r="A3804" s="27">
        <v>46104</v>
      </c>
      <c r="B3804" s="80">
        <v>2026</v>
      </c>
      <c r="C3804" s="80">
        <v>3</v>
      </c>
      <c r="D3804" s="30" t="s">
        <v>41</v>
      </c>
      <c r="E3804" s="30" t="s">
        <v>71</v>
      </c>
      <c r="F3804" s="30" t="s">
        <v>39</v>
      </c>
      <c r="G3804" s="33">
        <v>45.582000000000001</v>
      </c>
      <c r="H3804" s="83" t="s">
        <v>89</v>
      </c>
    </row>
    <row r="3805" spans="1:8" ht="16.5" customHeight="1" x14ac:dyDescent="0.25">
      <c r="A3805" s="27">
        <v>46104</v>
      </c>
      <c r="B3805" s="80">
        <v>2026</v>
      </c>
      <c r="C3805" s="80">
        <v>3</v>
      </c>
      <c r="D3805" s="30" t="s">
        <v>41</v>
      </c>
      <c r="E3805" s="30" t="s">
        <v>73</v>
      </c>
      <c r="F3805" s="30" t="s">
        <v>43</v>
      </c>
      <c r="G3805" s="33">
        <v>4.2156200000000004</v>
      </c>
      <c r="H3805" s="83" t="s">
        <v>89</v>
      </c>
    </row>
    <row r="3806" spans="1:8" ht="16.5" customHeight="1" x14ac:dyDescent="0.25">
      <c r="A3806" s="27">
        <v>46105</v>
      </c>
      <c r="B3806" s="80">
        <v>2026</v>
      </c>
      <c r="C3806" s="80">
        <v>3</v>
      </c>
      <c r="D3806" s="30" t="s">
        <v>41</v>
      </c>
      <c r="E3806" s="30" t="s">
        <v>38</v>
      </c>
      <c r="F3806" s="30" t="s">
        <v>43</v>
      </c>
      <c r="G3806" s="33">
        <v>62.043700000000001</v>
      </c>
      <c r="H3806" s="83" t="s">
        <v>88</v>
      </c>
    </row>
    <row r="3807" spans="1:8" ht="16.5" customHeight="1" x14ac:dyDescent="0.25">
      <c r="A3807" s="27">
        <v>46105</v>
      </c>
      <c r="B3807" s="80">
        <v>2026</v>
      </c>
      <c r="C3807" s="80">
        <v>3</v>
      </c>
      <c r="D3807" s="30" t="s">
        <v>41</v>
      </c>
      <c r="E3807" s="30" t="s">
        <v>42</v>
      </c>
      <c r="F3807" s="30" t="s">
        <v>43</v>
      </c>
      <c r="G3807" s="33">
        <v>8.3178000000000001</v>
      </c>
      <c r="H3807" s="83" t="s">
        <v>88</v>
      </c>
    </row>
    <row r="3808" spans="1:8" ht="16.5" customHeight="1" x14ac:dyDescent="0.25">
      <c r="A3808" s="27">
        <v>46105</v>
      </c>
      <c r="B3808" s="80">
        <v>2026</v>
      </c>
      <c r="C3808" s="80">
        <v>3</v>
      </c>
      <c r="D3808" s="30" t="s">
        <v>41</v>
      </c>
      <c r="E3808" s="30" t="s">
        <v>46</v>
      </c>
      <c r="F3808" s="30" t="s">
        <v>43</v>
      </c>
      <c r="G3808" s="33">
        <v>1.3869058000000001</v>
      </c>
      <c r="H3808" s="83" t="s">
        <v>88</v>
      </c>
    </row>
    <row r="3809" spans="1:8" ht="16.5" customHeight="1" x14ac:dyDescent="0.25">
      <c r="A3809" s="27">
        <v>46105</v>
      </c>
      <c r="B3809" s="80">
        <v>2026</v>
      </c>
      <c r="C3809" s="80">
        <v>3</v>
      </c>
      <c r="D3809" s="30" t="s">
        <v>41</v>
      </c>
      <c r="E3809" s="30" t="s">
        <v>46</v>
      </c>
      <c r="F3809" s="30" t="s">
        <v>47</v>
      </c>
      <c r="G3809" s="33">
        <v>0.40588800000000003</v>
      </c>
      <c r="H3809" s="83" t="s">
        <v>88</v>
      </c>
    </row>
    <row r="3810" spans="1:8" ht="16.5" customHeight="1" x14ac:dyDescent="0.25">
      <c r="A3810" s="27">
        <v>46105</v>
      </c>
      <c r="B3810" s="80">
        <v>2026</v>
      </c>
      <c r="C3810" s="80">
        <v>3</v>
      </c>
      <c r="D3810" s="30" t="s">
        <v>41</v>
      </c>
      <c r="E3810" s="30" t="s">
        <v>50</v>
      </c>
      <c r="F3810" s="30" t="s">
        <v>43</v>
      </c>
      <c r="G3810" s="33">
        <v>17.929580999999999</v>
      </c>
      <c r="H3810" s="83" t="s">
        <v>88</v>
      </c>
    </row>
    <row r="3811" spans="1:8" ht="16.5" customHeight="1" x14ac:dyDescent="0.25">
      <c r="A3811" s="27">
        <v>46105</v>
      </c>
      <c r="B3811" s="80">
        <v>2026</v>
      </c>
      <c r="C3811" s="80">
        <v>3</v>
      </c>
      <c r="D3811" s="30" t="s">
        <v>41</v>
      </c>
      <c r="E3811" s="30" t="s">
        <v>50</v>
      </c>
      <c r="F3811" s="30" t="s">
        <v>51</v>
      </c>
      <c r="G3811" s="33">
        <v>0.12325</v>
      </c>
      <c r="H3811" s="83" t="s">
        <v>88</v>
      </c>
    </row>
    <row r="3812" spans="1:8" ht="16.5" customHeight="1" x14ac:dyDescent="0.25">
      <c r="A3812" s="27">
        <v>46105</v>
      </c>
      <c r="B3812" s="80">
        <v>2026</v>
      </c>
      <c r="C3812" s="80">
        <v>3</v>
      </c>
      <c r="D3812" s="30" t="s">
        <v>41</v>
      </c>
      <c r="E3812" s="30" t="s">
        <v>54</v>
      </c>
      <c r="F3812" s="30" t="s">
        <v>43</v>
      </c>
      <c r="G3812" s="33">
        <v>6.1923500000000002</v>
      </c>
      <c r="H3812" s="83" t="s">
        <v>88</v>
      </c>
    </row>
    <row r="3813" spans="1:8" ht="16.5" customHeight="1" x14ac:dyDescent="0.25">
      <c r="A3813" s="27">
        <v>46105</v>
      </c>
      <c r="B3813" s="80">
        <v>2026</v>
      </c>
      <c r="C3813" s="80">
        <v>3</v>
      </c>
      <c r="D3813" s="30" t="s">
        <v>41</v>
      </c>
      <c r="E3813" s="30" t="s">
        <v>54</v>
      </c>
      <c r="F3813" s="30" t="s">
        <v>47</v>
      </c>
      <c r="G3813" s="33">
        <v>0.48</v>
      </c>
      <c r="H3813" s="83" t="s">
        <v>88</v>
      </c>
    </row>
    <row r="3814" spans="1:8" ht="16.5" customHeight="1" x14ac:dyDescent="0.25">
      <c r="A3814" s="27">
        <v>46105</v>
      </c>
      <c r="B3814" s="80">
        <v>2026</v>
      </c>
      <c r="C3814" s="80">
        <v>3</v>
      </c>
      <c r="D3814" s="30" t="s">
        <v>41</v>
      </c>
      <c r="E3814" s="30" t="s">
        <v>57</v>
      </c>
      <c r="F3814" s="30" t="s">
        <v>39</v>
      </c>
      <c r="G3814" s="33">
        <v>38.244500000000002</v>
      </c>
      <c r="H3814" s="83" t="s">
        <v>89</v>
      </c>
    </row>
    <row r="3815" spans="1:8" ht="16.5" customHeight="1" x14ac:dyDescent="0.25">
      <c r="A3815" s="27">
        <v>46105</v>
      </c>
      <c r="B3815" s="80">
        <v>2026</v>
      </c>
      <c r="C3815" s="80">
        <v>3</v>
      </c>
      <c r="D3815" s="30" t="s">
        <v>41</v>
      </c>
      <c r="E3815" s="30" t="s">
        <v>57</v>
      </c>
      <c r="F3815" s="30" t="s">
        <v>43</v>
      </c>
      <c r="G3815" s="33">
        <v>21.96</v>
      </c>
      <c r="H3815" s="83" t="s">
        <v>89</v>
      </c>
    </row>
    <row r="3816" spans="1:8" ht="16.5" customHeight="1" x14ac:dyDescent="0.25">
      <c r="A3816" s="27">
        <v>46105</v>
      </c>
      <c r="B3816" s="80">
        <v>2026</v>
      </c>
      <c r="C3816" s="80">
        <v>3</v>
      </c>
      <c r="D3816" s="30" t="s">
        <v>41</v>
      </c>
      <c r="E3816" s="30" t="s">
        <v>61</v>
      </c>
      <c r="F3816" s="30" t="s">
        <v>43</v>
      </c>
      <c r="G3816" s="33">
        <v>2.0625</v>
      </c>
      <c r="H3816" s="83" t="s">
        <v>89</v>
      </c>
    </row>
    <row r="3817" spans="1:8" ht="16.5" customHeight="1" x14ac:dyDescent="0.25">
      <c r="A3817" s="27">
        <v>46105</v>
      </c>
      <c r="B3817" s="80">
        <v>2026</v>
      </c>
      <c r="C3817" s="80">
        <v>3</v>
      </c>
      <c r="D3817" s="30" t="s">
        <v>41</v>
      </c>
      <c r="E3817" s="30" t="s">
        <v>66</v>
      </c>
      <c r="F3817" s="30" t="s">
        <v>43</v>
      </c>
      <c r="G3817" s="33">
        <v>6.6312499999999996</v>
      </c>
      <c r="H3817" s="83" t="s">
        <v>89</v>
      </c>
    </row>
    <row r="3818" spans="1:8" ht="16.5" customHeight="1" x14ac:dyDescent="0.25">
      <c r="A3818" s="27">
        <v>46105</v>
      </c>
      <c r="B3818" s="80">
        <v>2026</v>
      </c>
      <c r="C3818" s="80">
        <v>3</v>
      </c>
      <c r="D3818" s="30" t="s">
        <v>41</v>
      </c>
      <c r="E3818" s="30" t="s">
        <v>66</v>
      </c>
      <c r="F3818" s="30" t="s">
        <v>51</v>
      </c>
      <c r="G3818" s="33">
        <v>0.42</v>
      </c>
      <c r="H3818" s="83" t="s">
        <v>89</v>
      </c>
    </row>
    <row r="3819" spans="1:8" ht="16.5" customHeight="1" x14ac:dyDescent="0.25">
      <c r="A3819" s="27">
        <v>46105</v>
      </c>
      <c r="B3819" s="80">
        <v>2026</v>
      </c>
      <c r="C3819" s="80">
        <v>3</v>
      </c>
      <c r="D3819" s="30" t="s">
        <v>41</v>
      </c>
      <c r="E3819" s="30" t="s">
        <v>75</v>
      </c>
      <c r="F3819" s="30" t="s">
        <v>43</v>
      </c>
      <c r="G3819" s="33">
        <v>12.852600000000001</v>
      </c>
      <c r="H3819" s="83" t="s">
        <v>48</v>
      </c>
    </row>
    <row r="3820" spans="1:8" ht="16.5" customHeight="1" x14ac:dyDescent="0.25">
      <c r="A3820" s="27">
        <v>46105</v>
      </c>
      <c r="B3820" s="80">
        <v>2026</v>
      </c>
      <c r="C3820" s="80">
        <v>3</v>
      </c>
      <c r="D3820" s="30" t="s">
        <v>41</v>
      </c>
      <c r="E3820" s="30" t="s">
        <v>76</v>
      </c>
      <c r="F3820" s="30" t="s">
        <v>39</v>
      </c>
      <c r="G3820" s="33">
        <v>58.738349999999997</v>
      </c>
      <c r="H3820" s="83" t="s">
        <v>48</v>
      </c>
    </row>
    <row r="3821" spans="1:8" ht="16.5" customHeight="1" x14ac:dyDescent="0.25">
      <c r="A3821" s="27">
        <v>46106</v>
      </c>
      <c r="B3821" s="80">
        <v>2026</v>
      </c>
      <c r="C3821" s="80">
        <v>3</v>
      </c>
      <c r="D3821" s="30" t="s">
        <v>41</v>
      </c>
      <c r="E3821" s="30" t="s">
        <v>42</v>
      </c>
      <c r="F3821" s="30" t="s">
        <v>43</v>
      </c>
      <c r="G3821" s="33">
        <v>17.632200000000001</v>
      </c>
      <c r="H3821" s="83" t="s">
        <v>88</v>
      </c>
    </row>
    <row r="3822" spans="1:8" ht="16.5" customHeight="1" x14ac:dyDescent="0.25">
      <c r="A3822" s="27">
        <v>46106</v>
      </c>
      <c r="B3822" s="80">
        <v>2026</v>
      </c>
      <c r="C3822" s="80">
        <v>3</v>
      </c>
      <c r="D3822" s="30" t="s">
        <v>41</v>
      </c>
      <c r="E3822" s="30" t="s">
        <v>50</v>
      </c>
      <c r="F3822" s="30" t="s">
        <v>43</v>
      </c>
      <c r="G3822" s="33">
        <v>11.6325047</v>
      </c>
      <c r="H3822" s="83" t="s">
        <v>88</v>
      </c>
    </row>
    <row r="3823" spans="1:8" ht="16.5" customHeight="1" x14ac:dyDescent="0.25">
      <c r="A3823" s="27">
        <v>46106</v>
      </c>
      <c r="B3823" s="80">
        <v>2026</v>
      </c>
      <c r="C3823" s="80">
        <v>3</v>
      </c>
      <c r="D3823" s="30" t="s">
        <v>41</v>
      </c>
      <c r="E3823" s="30" t="s">
        <v>50</v>
      </c>
      <c r="F3823" s="30" t="s">
        <v>47</v>
      </c>
      <c r="G3823" s="33">
        <v>1.4040999999999999</v>
      </c>
      <c r="H3823" s="83" t="s">
        <v>88</v>
      </c>
    </row>
    <row r="3824" spans="1:8" ht="16.5" customHeight="1" x14ac:dyDescent="0.25">
      <c r="A3824" s="27">
        <v>46106</v>
      </c>
      <c r="B3824" s="80">
        <v>2026</v>
      </c>
      <c r="C3824" s="80">
        <v>3</v>
      </c>
      <c r="D3824" s="30" t="s">
        <v>41</v>
      </c>
      <c r="E3824" s="30" t="s">
        <v>50</v>
      </c>
      <c r="F3824" s="30" t="s">
        <v>51</v>
      </c>
      <c r="G3824" s="33">
        <v>0.49299999999999999</v>
      </c>
      <c r="H3824" s="83" t="s">
        <v>88</v>
      </c>
    </row>
    <row r="3825" spans="1:8" ht="16.5" customHeight="1" x14ac:dyDescent="0.25">
      <c r="A3825" s="27">
        <v>46106</v>
      </c>
      <c r="B3825" s="80">
        <v>2026</v>
      </c>
      <c r="C3825" s="80">
        <v>3</v>
      </c>
      <c r="D3825" s="30" t="s">
        <v>41</v>
      </c>
      <c r="E3825" s="30" t="s">
        <v>50</v>
      </c>
      <c r="F3825" s="30" t="s">
        <v>55</v>
      </c>
      <c r="G3825" s="33">
        <v>16.297926400000001</v>
      </c>
      <c r="H3825" s="83" t="s">
        <v>88</v>
      </c>
    </row>
    <row r="3826" spans="1:8" ht="16.5" customHeight="1" x14ac:dyDescent="0.25">
      <c r="A3826" s="27">
        <v>46106</v>
      </c>
      <c r="B3826" s="80">
        <v>2026</v>
      </c>
      <c r="C3826" s="80">
        <v>3</v>
      </c>
      <c r="D3826" s="30" t="s">
        <v>41</v>
      </c>
      <c r="E3826" s="30" t="s">
        <v>50</v>
      </c>
      <c r="F3826" s="30" t="s">
        <v>58</v>
      </c>
      <c r="G3826" s="33">
        <v>63.508344557000001</v>
      </c>
      <c r="H3826" s="83" t="s">
        <v>88</v>
      </c>
    </row>
    <row r="3827" spans="1:8" ht="16.5" customHeight="1" x14ac:dyDescent="0.25">
      <c r="A3827" s="27">
        <v>46106</v>
      </c>
      <c r="B3827" s="80">
        <v>2026</v>
      </c>
      <c r="C3827" s="80">
        <v>3</v>
      </c>
      <c r="D3827" s="30" t="s">
        <v>41</v>
      </c>
      <c r="E3827" s="30" t="s">
        <v>54</v>
      </c>
      <c r="F3827" s="30" t="s">
        <v>43</v>
      </c>
      <c r="G3827" s="33">
        <v>7.14</v>
      </c>
      <c r="H3827" s="83" t="s">
        <v>88</v>
      </c>
    </row>
    <row r="3828" spans="1:8" ht="16.5" customHeight="1" x14ac:dyDescent="0.25">
      <c r="A3828" s="27">
        <v>46106</v>
      </c>
      <c r="B3828" s="80">
        <v>2026</v>
      </c>
      <c r="C3828" s="80">
        <v>3</v>
      </c>
      <c r="D3828" s="30" t="s">
        <v>41</v>
      </c>
      <c r="E3828" s="30" t="s">
        <v>61</v>
      </c>
      <c r="F3828" s="30" t="s">
        <v>43</v>
      </c>
      <c r="G3828" s="33">
        <v>2.67</v>
      </c>
      <c r="H3828" s="83" t="s">
        <v>89</v>
      </c>
    </row>
    <row r="3829" spans="1:8" ht="16.5" customHeight="1" x14ac:dyDescent="0.25">
      <c r="A3829" s="27">
        <v>46106</v>
      </c>
      <c r="B3829" s="80">
        <v>2026</v>
      </c>
      <c r="C3829" s="80">
        <v>3</v>
      </c>
      <c r="D3829" s="30" t="s">
        <v>41</v>
      </c>
      <c r="E3829" s="30" t="s">
        <v>66</v>
      </c>
      <c r="F3829" s="30" t="s">
        <v>43</v>
      </c>
      <c r="G3829" s="33">
        <v>7.8552</v>
      </c>
      <c r="H3829" s="83" t="s">
        <v>89</v>
      </c>
    </row>
    <row r="3830" spans="1:8" ht="16.5" customHeight="1" x14ac:dyDescent="0.25">
      <c r="A3830" s="27">
        <v>46106</v>
      </c>
      <c r="B3830" s="80">
        <v>2026</v>
      </c>
      <c r="C3830" s="80">
        <v>3</v>
      </c>
      <c r="D3830" s="30" t="s">
        <v>41</v>
      </c>
      <c r="E3830" s="30" t="s">
        <v>66</v>
      </c>
      <c r="F3830" s="30" t="s">
        <v>55</v>
      </c>
      <c r="G3830" s="33">
        <v>1.38</v>
      </c>
      <c r="H3830" s="83" t="s">
        <v>89</v>
      </c>
    </row>
    <row r="3831" spans="1:8" ht="16.5" customHeight="1" x14ac:dyDescent="0.25">
      <c r="A3831" s="27">
        <v>46106</v>
      </c>
      <c r="B3831" s="80">
        <v>2026</v>
      </c>
      <c r="C3831" s="80">
        <v>3</v>
      </c>
      <c r="D3831" s="30" t="s">
        <v>41</v>
      </c>
      <c r="E3831" s="30" t="s">
        <v>68</v>
      </c>
      <c r="F3831" s="30" t="s">
        <v>43</v>
      </c>
      <c r="G3831" s="33">
        <v>3.28</v>
      </c>
      <c r="H3831" s="83" t="s">
        <v>89</v>
      </c>
    </row>
    <row r="3832" spans="1:8" ht="16.5" customHeight="1" x14ac:dyDescent="0.25">
      <c r="A3832" s="27">
        <v>46106</v>
      </c>
      <c r="B3832" s="80">
        <v>2026</v>
      </c>
      <c r="C3832" s="80">
        <v>3</v>
      </c>
      <c r="D3832" s="30" t="s">
        <v>41</v>
      </c>
      <c r="E3832" s="30" t="s">
        <v>71</v>
      </c>
      <c r="F3832" s="30" t="s">
        <v>43</v>
      </c>
      <c r="G3832" s="33">
        <v>15.736750000000001</v>
      </c>
      <c r="H3832" s="83" t="s">
        <v>89</v>
      </c>
    </row>
    <row r="3833" spans="1:8" ht="16.5" customHeight="1" x14ac:dyDescent="0.25">
      <c r="A3833" s="27">
        <v>46106</v>
      </c>
      <c r="B3833" s="80">
        <v>2026</v>
      </c>
      <c r="C3833" s="80">
        <v>3</v>
      </c>
      <c r="D3833" s="30" t="s">
        <v>41</v>
      </c>
      <c r="E3833" s="30" t="s">
        <v>76</v>
      </c>
      <c r="F3833" s="30" t="s">
        <v>39</v>
      </c>
      <c r="G3833" s="33">
        <v>67.4696</v>
      </c>
      <c r="H3833" s="83" t="s">
        <v>48</v>
      </c>
    </row>
    <row r="3834" spans="1:8" ht="16.5" customHeight="1" x14ac:dyDescent="0.25">
      <c r="A3834" s="27">
        <v>46107</v>
      </c>
      <c r="B3834" s="80">
        <v>2026</v>
      </c>
      <c r="C3834" s="80">
        <v>3</v>
      </c>
      <c r="D3834" s="30" t="s">
        <v>41</v>
      </c>
      <c r="E3834" s="30" t="s">
        <v>38</v>
      </c>
      <c r="F3834" s="30" t="s">
        <v>43</v>
      </c>
      <c r="G3834" s="33">
        <v>6.4770000000000003</v>
      </c>
      <c r="H3834" s="83" t="s">
        <v>88</v>
      </c>
    </row>
    <row r="3835" spans="1:8" ht="16.5" customHeight="1" x14ac:dyDescent="0.25">
      <c r="A3835" s="27">
        <v>46107</v>
      </c>
      <c r="B3835" s="80">
        <v>2026</v>
      </c>
      <c r="C3835" s="80">
        <v>3</v>
      </c>
      <c r="D3835" s="30" t="s">
        <v>41</v>
      </c>
      <c r="E3835" s="30" t="s">
        <v>42</v>
      </c>
      <c r="F3835" s="30" t="s">
        <v>43</v>
      </c>
      <c r="G3835" s="33">
        <v>6.28</v>
      </c>
      <c r="H3835" s="83" t="s">
        <v>88</v>
      </c>
    </row>
    <row r="3836" spans="1:8" ht="16.5" customHeight="1" x14ac:dyDescent="0.25">
      <c r="A3836" s="27">
        <v>46107</v>
      </c>
      <c r="B3836" s="80">
        <v>2026</v>
      </c>
      <c r="C3836" s="80">
        <v>3</v>
      </c>
      <c r="D3836" s="30" t="s">
        <v>41</v>
      </c>
      <c r="E3836" s="30" t="s">
        <v>50</v>
      </c>
      <c r="F3836" s="30" t="s">
        <v>43</v>
      </c>
      <c r="G3836" s="33">
        <v>10.27141385</v>
      </c>
      <c r="H3836" s="83" t="s">
        <v>88</v>
      </c>
    </row>
    <row r="3837" spans="1:8" ht="16.5" customHeight="1" x14ac:dyDescent="0.25">
      <c r="A3837" s="27">
        <v>46107</v>
      </c>
      <c r="B3837" s="80">
        <v>2026</v>
      </c>
      <c r="C3837" s="80">
        <v>3</v>
      </c>
      <c r="D3837" s="30" t="s">
        <v>41</v>
      </c>
      <c r="E3837" s="30" t="s">
        <v>50</v>
      </c>
      <c r="F3837" s="30" t="s">
        <v>47</v>
      </c>
      <c r="G3837" s="33">
        <v>0.97019999999999995</v>
      </c>
      <c r="H3837" s="83" t="s">
        <v>88</v>
      </c>
    </row>
    <row r="3838" spans="1:8" ht="16.5" customHeight="1" x14ac:dyDescent="0.25">
      <c r="A3838" s="27">
        <v>46107</v>
      </c>
      <c r="B3838" s="80">
        <v>2026</v>
      </c>
      <c r="C3838" s="80">
        <v>3</v>
      </c>
      <c r="D3838" s="30" t="s">
        <v>41</v>
      </c>
      <c r="E3838" s="30" t="s">
        <v>54</v>
      </c>
      <c r="F3838" s="30" t="s">
        <v>43</v>
      </c>
      <c r="G3838" s="33">
        <v>2.4220000000000002</v>
      </c>
      <c r="H3838" s="83" t="s">
        <v>88</v>
      </c>
    </row>
    <row r="3839" spans="1:8" ht="16.5" customHeight="1" x14ac:dyDescent="0.25">
      <c r="A3839" s="27">
        <v>46107</v>
      </c>
      <c r="B3839" s="80">
        <v>2026</v>
      </c>
      <c r="C3839" s="80">
        <v>3</v>
      </c>
      <c r="D3839" s="30" t="s">
        <v>41</v>
      </c>
      <c r="E3839" s="30" t="s">
        <v>64</v>
      </c>
      <c r="F3839" s="30" t="s">
        <v>43</v>
      </c>
      <c r="G3839" s="33">
        <v>4.2358399999999996</v>
      </c>
      <c r="H3839" s="83" t="s">
        <v>89</v>
      </c>
    </row>
    <row r="3840" spans="1:8" ht="16.5" customHeight="1" x14ac:dyDescent="0.25">
      <c r="A3840" s="27">
        <v>46107</v>
      </c>
      <c r="B3840" s="80">
        <v>2026</v>
      </c>
      <c r="C3840" s="80">
        <v>3</v>
      </c>
      <c r="D3840" s="30" t="s">
        <v>41</v>
      </c>
      <c r="E3840" s="30" t="s">
        <v>66</v>
      </c>
      <c r="F3840" s="30" t="s">
        <v>43</v>
      </c>
      <c r="G3840" s="33">
        <v>7.64</v>
      </c>
      <c r="H3840" s="83" t="s">
        <v>89</v>
      </c>
    </row>
    <row r="3841" spans="1:8" ht="16.5" customHeight="1" x14ac:dyDescent="0.25">
      <c r="A3841" s="27">
        <v>46107</v>
      </c>
      <c r="B3841" s="80">
        <v>2026</v>
      </c>
      <c r="C3841" s="80">
        <v>3</v>
      </c>
      <c r="D3841" s="30" t="s">
        <v>41</v>
      </c>
      <c r="E3841" s="30" t="s">
        <v>71</v>
      </c>
      <c r="F3841" s="30" t="s">
        <v>43</v>
      </c>
      <c r="G3841" s="33">
        <v>32.11</v>
      </c>
      <c r="H3841" s="83" t="s">
        <v>89</v>
      </c>
    </row>
    <row r="3842" spans="1:8" ht="16.5" customHeight="1" x14ac:dyDescent="0.25">
      <c r="A3842" s="27">
        <v>46107</v>
      </c>
      <c r="B3842" s="80">
        <v>2026</v>
      </c>
      <c r="C3842" s="80">
        <v>3</v>
      </c>
      <c r="D3842" s="30" t="s">
        <v>41</v>
      </c>
      <c r="E3842" s="30" t="s">
        <v>73</v>
      </c>
      <c r="F3842" s="30" t="s">
        <v>39</v>
      </c>
      <c r="G3842" s="33">
        <v>38.838799999999999</v>
      </c>
      <c r="H3842" s="83" t="s">
        <v>89</v>
      </c>
    </row>
    <row r="3843" spans="1:8" ht="16.5" customHeight="1" x14ac:dyDescent="0.25">
      <c r="A3843" s="27">
        <v>46107</v>
      </c>
      <c r="B3843" s="80">
        <v>2026</v>
      </c>
      <c r="C3843" s="80">
        <v>3</v>
      </c>
      <c r="D3843" s="30" t="s">
        <v>41</v>
      </c>
      <c r="E3843" s="30" t="s">
        <v>75</v>
      </c>
      <c r="F3843" s="30" t="s">
        <v>43</v>
      </c>
      <c r="G3843" s="33">
        <v>8.7295999999999996</v>
      </c>
      <c r="H3843" s="83" t="s">
        <v>48</v>
      </c>
    </row>
    <row r="3844" spans="1:8" ht="16.5" customHeight="1" x14ac:dyDescent="0.25">
      <c r="A3844" s="27">
        <v>46108</v>
      </c>
      <c r="B3844" s="80">
        <v>2026</v>
      </c>
      <c r="C3844" s="80">
        <v>3</v>
      </c>
      <c r="D3844" s="30" t="s">
        <v>41</v>
      </c>
      <c r="E3844" s="30" t="s">
        <v>38</v>
      </c>
      <c r="F3844" s="30" t="s">
        <v>43</v>
      </c>
      <c r="G3844" s="33">
        <v>59.899500000000003</v>
      </c>
      <c r="H3844" s="83" t="s">
        <v>88</v>
      </c>
    </row>
    <row r="3845" spans="1:8" ht="16.5" customHeight="1" x14ac:dyDescent="0.25">
      <c r="A3845" s="27">
        <v>46108</v>
      </c>
      <c r="B3845" s="80">
        <v>2026</v>
      </c>
      <c r="C3845" s="80">
        <v>3</v>
      </c>
      <c r="D3845" s="30" t="s">
        <v>41</v>
      </c>
      <c r="E3845" s="30" t="s">
        <v>42</v>
      </c>
      <c r="F3845" s="30" t="s">
        <v>43</v>
      </c>
      <c r="G3845" s="33">
        <v>30.033999999999999</v>
      </c>
      <c r="H3845" s="83" t="s">
        <v>88</v>
      </c>
    </row>
    <row r="3846" spans="1:8" ht="16.5" customHeight="1" x14ac:dyDescent="0.25">
      <c r="A3846" s="27">
        <v>46108</v>
      </c>
      <c r="B3846" s="80">
        <v>2026</v>
      </c>
      <c r="C3846" s="80">
        <v>3</v>
      </c>
      <c r="D3846" s="30" t="s">
        <v>41</v>
      </c>
      <c r="E3846" s="30" t="s">
        <v>42</v>
      </c>
      <c r="F3846" s="30" t="s">
        <v>47</v>
      </c>
      <c r="G3846" s="33">
        <v>1.4319999999999999</v>
      </c>
      <c r="H3846" s="83" t="s">
        <v>88</v>
      </c>
    </row>
    <row r="3847" spans="1:8" ht="16.5" customHeight="1" x14ac:dyDescent="0.25">
      <c r="A3847" s="27">
        <v>46108</v>
      </c>
      <c r="B3847" s="80">
        <v>2026</v>
      </c>
      <c r="C3847" s="80">
        <v>3</v>
      </c>
      <c r="D3847" s="30" t="s">
        <v>41</v>
      </c>
      <c r="E3847" s="30" t="s">
        <v>50</v>
      </c>
      <c r="F3847" s="30" t="s">
        <v>43</v>
      </c>
      <c r="G3847" s="33">
        <v>18.717976650000001</v>
      </c>
      <c r="H3847" s="83" t="s">
        <v>88</v>
      </c>
    </row>
    <row r="3848" spans="1:8" ht="16.5" customHeight="1" x14ac:dyDescent="0.25">
      <c r="A3848" s="27">
        <v>46108</v>
      </c>
      <c r="B3848" s="80">
        <v>2026</v>
      </c>
      <c r="C3848" s="80">
        <v>3</v>
      </c>
      <c r="D3848" s="30" t="s">
        <v>41</v>
      </c>
      <c r="E3848" s="30" t="s">
        <v>50</v>
      </c>
      <c r="F3848" s="30" t="s">
        <v>47</v>
      </c>
      <c r="G3848" s="33">
        <v>0.33150000000000002</v>
      </c>
      <c r="H3848" s="83" t="s">
        <v>88</v>
      </c>
    </row>
    <row r="3849" spans="1:8" ht="16.5" customHeight="1" x14ac:dyDescent="0.25">
      <c r="A3849" s="27">
        <v>46108</v>
      </c>
      <c r="B3849" s="80">
        <v>2026</v>
      </c>
      <c r="C3849" s="80">
        <v>3</v>
      </c>
      <c r="D3849" s="30" t="s">
        <v>41</v>
      </c>
      <c r="E3849" s="30" t="s">
        <v>50</v>
      </c>
      <c r="F3849" s="30" t="s">
        <v>51</v>
      </c>
      <c r="G3849" s="33">
        <v>0.37357499999999999</v>
      </c>
      <c r="H3849" s="83" t="s">
        <v>88</v>
      </c>
    </row>
    <row r="3850" spans="1:8" ht="16.5" customHeight="1" x14ac:dyDescent="0.25">
      <c r="A3850" s="27">
        <v>46108</v>
      </c>
      <c r="B3850" s="80">
        <v>2026</v>
      </c>
      <c r="C3850" s="80">
        <v>3</v>
      </c>
      <c r="D3850" s="30" t="s">
        <v>41</v>
      </c>
      <c r="E3850" s="30" t="s">
        <v>50</v>
      </c>
      <c r="F3850" s="30" t="s">
        <v>55</v>
      </c>
      <c r="G3850" s="33">
        <v>0.96257999999999999</v>
      </c>
      <c r="H3850" s="83" t="s">
        <v>88</v>
      </c>
    </row>
    <row r="3851" spans="1:8" ht="16.5" customHeight="1" x14ac:dyDescent="0.25">
      <c r="A3851" s="27">
        <v>46108</v>
      </c>
      <c r="B3851" s="80">
        <v>2026</v>
      </c>
      <c r="C3851" s="80">
        <v>3</v>
      </c>
      <c r="D3851" s="30" t="s">
        <v>41</v>
      </c>
      <c r="E3851" s="30" t="s">
        <v>50</v>
      </c>
      <c r="F3851" s="30" t="s">
        <v>58</v>
      </c>
      <c r="G3851" s="33">
        <v>2.9749999999999999E-2</v>
      </c>
      <c r="H3851" s="83" t="s">
        <v>88</v>
      </c>
    </row>
    <row r="3852" spans="1:8" ht="16.5" customHeight="1" x14ac:dyDescent="0.25">
      <c r="A3852" s="27">
        <v>46108</v>
      </c>
      <c r="B3852" s="80">
        <v>2026</v>
      </c>
      <c r="C3852" s="80">
        <v>3</v>
      </c>
      <c r="D3852" s="30" t="s">
        <v>41</v>
      </c>
      <c r="E3852" s="30" t="s">
        <v>54</v>
      </c>
      <c r="F3852" s="30" t="s">
        <v>43</v>
      </c>
      <c r="G3852" s="33">
        <v>11.0334</v>
      </c>
      <c r="H3852" s="83" t="s">
        <v>88</v>
      </c>
    </row>
    <row r="3853" spans="1:8" ht="16.5" customHeight="1" x14ac:dyDescent="0.25">
      <c r="A3853" s="27">
        <v>46108</v>
      </c>
      <c r="B3853" s="80">
        <v>2026</v>
      </c>
      <c r="C3853" s="80">
        <v>3</v>
      </c>
      <c r="D3853" s="30" t="s">
        <v>41</v>
      </c>
      <c r="E3853" s="30" t="s">
        <v>66</v>
      </c>
      <c r="F3853" s="30" t="s">
        <v>43</v>
      </c>
      <c r="G3853" s="33">
        <v>4.9749999999999996</v>
      </c>
      <c r="H3853" s="83" t="s">
        <v>89</v>
      </c>
    </row>
    <row r="3854" spans="1:8" ht="16.5" customHeight="1" x14ac:dyDescent="0.25">
      <c r="A3854" s="27">
        <v>46108</v>
      </c>
      <c r="B3854" s="80">
        <v>2026</v>
      </c>
      <c r="C3854" s="80">
        <v>3</v>
      </c>
      <c r="D3854" s="30" t="s">
        <v>41</v>
      </c>
      <c r="E3854" s="30" t="s">
        <v>66</v>
      </c>
      <c r="F3854" s="30" t="s">
        <v>47</v>
      </c>
      <c r="G3854" s="33">
        <v>12.78825</v>
      </c>
      <c r="H3854" s="83" t="s">
        <v>89</v>
      </c>
    </row>
    <row r="3855" spans="1:8" ht="16.5" customHeight="1" x14ac:dyDescent="0.25">
      <c r="A3855" s="27">
        <v>46108</v>
      </c>
      <c r="B3855" s="80">
        <v>2026</v>
      </c>
      <c r="C3855" s="80">
        <v>3</v>
      </c>
      <c r="D3855" s="30" t="s">
        <v>41</v>
      </c>
      <c r="E3855" s="30" t="s">
        <v>68</v>
      </c>
      <c r="F3855" s="30" t="s">
        <v>43</v>
      </c>
      <c r="G3855" s="33">
        <v>6.2009999999999996</v>
      </c>
      <c r="H3855" s="83" t="s">
        <v>89</v>
      </c>
    </row>
    <row r="3856" spans="1:8" ht="16.5" customHeight="1" x14ac:dyDescent="0.25">
      <c r="A3856" s="27">
        <v>46108</v>
      </c>
      <c r="B3856" s="80">
        <v>2026</v>
      </c>
      <c r="C3856" s="80">
        <v>3</v>
      </c>
      <c r="D3856" s="30" t="s">
        <v>41</v>
      </c>
      <c r="E3856" s="30" t="s">
        <v>73</v>
      </c>
      <c r="F3856" s="30" t="s">
        <v>43</v>
      </c>
      <c r="G3856" s="33">
        <v>13.182</v>
      </c>
      <c r="H3856" s="83" t="s">
        <v>89</v>
      </c>
    </row>
    <row r="3857" spans="1:8" ht="16.5" customHeight="1" x14ac:dyDescent="0.25">
      <c r="A3857" s="27">
        <v>46109</v>
      </c>
      <c r="B3857" s="80">
        <v>2026</v>
      </c>
      <c r="C3857" s="80">
        <v>3</v>
      </c>
      <c r="D3857" s="30" t="s">
        <v>41</v>
      </c>
      <c r="E3857" s="30" t="s">
        <v>50</v>
      </c>
      <c r="F3857" s="30" t="s">
        <v>47</v>
      </c>
      <c r="G3857" s="33">
        <v>0.47175</v>
      </c>
      <c r="H3857" s="83" t="s">
        <v>88</v>
      </c>
    </row>
    <row r="3858" spans="1:8" ht="16.5" customHeight="1" x14ac:dyDescent="0.25">
      <c r="A3858" s="27">
        <v>46109</v>
      </c>
      <c r="B3858" s="80">
        <v>2026</v>
      </c>
      <c r="C3858" s="80">
        <v>3</v>
      </c>
      <c r="D3858" s="30" t="s">
        <v>41</v>
      </c>
      <c r="E3858" s="30" t="s">
        <v>50</v>
      </c>
      <c r="F3858" s="30" t="s">
        <v>51</v>
      </c>
      <c r="G3858" s="33">
        <v>0.86487499999999995</v>
      </c>
      <c r="H3858" s="83" t="s">
        <v>88</v>
      </c>
    </row>
    <row r="3859" spans="1:8" ht="16.5" customHeight="1" x14ac:dyDescent="0.25">
      <c r="A3859" s="27">
        <v>46109</v>
      </c>
      <c r="B3859" s="80">
        <v>2026</v>
      </c>
      <c r="C3859" s="80">
        <v>3</v>
      </c>
      <c r="D3859" s="30" t="s">
        <v>41</v>
      </c>
      <c r="E3859" s="30" t="s">
        <v>50</v>
      </c>
      <c r="F3859" s="30" t="s">
        <v>55</v>
      </c>
      <c r="G3859" s="33">
        <v>0.17849999999999999</v>
      </c>
      <c r="H3859" s="83" t="s">
        <v>88</v>
      </c>
    </row>
    <row r="3860" spans="1:8" ht="16.5" customHeight="1" x14ac:dyDescent="0.25">
      <c r="A3860" s="27">
        <v>46111</v>
      </c>
      <c r="B3860" s="80">
        <v>2026</v>
      </c>
      <c r="C3860" s="80">
        <v>3</v>
      </c>
      <c r="D3860" s="30" t="s">
        <v>41</v>
      </c>
      <c r="E3860" s="30" t="s">
        <v>38</v>
      </c>
      <c r="F3860" s="30" t="s">
        <v>43</v>
      </c>
      <c r="G3860" s="33">
        <v>5.44</v>
      </c>
      <c r="H3860" s="83" t="s">
        <v>88</v>
      </c>
    </row>
    <row r="3861" spans="1:8" ht="16.5" customHeight="1" x14ac:dyDescent="0.25">
      <c r="A3861" s="27">
        <v>46111</v>
      </c>
      <c r="B3861" s="80">
        <v>2026</v>
      </c>
      <c r="C3861" s="80">
        <v>3</v>
      </c>
      <c r="D3861" s="30" t="s">
        <v>41</v>
      </c>
      <c r="E3861" s="30" t="s">
        <v>42</v>
      </c>
      <c r="F3861" s="30" t="s">
        <v>43</v>
      </c>
      <c r="G3861" s="33">
        <v>9.7682000000000002</v>
      </c>
      <c r="H3861" s="83" t="s">
        <v>88</v>
      </c>
    </row>
    <row r="3862" spans="1:8" ht="16.5" customHeight="1" x14ac:dyDescent="0.25">
      <c r="A3862" s="27">
        <v>46111</v>
      </c>
      <c r="B3862" s="80">
        <v>2026</v>
      </c>
      <c r="C3862" s="80">
        <v>3</v>
      </c>
      <c r="D3862" s="30" t="s">
        <v>41</v>
      </c>
      <c r="E3862" s="30" t="s">
        <v>46</v>
      </c>
      <c r="F3862" s="30" t="s">
        <v>43</v>
      </c>
      <c r="G3862" s="33">
        <v>0.46517439999999999</v>
      </c>
      <c r="H3862" s="83" t="s">
        <v>88</v>
      </c>
    </row>
    <row r="3863" spans="1:8" ht="16.5" customHeight="1" x14ac:dyDescent="0.25">
      <c r="A3863" s="27">
        <v>46111</v>
      </c>
      <c r="B3863" s="80">
        <v>2026</v>
      </c>
      <c r="C3863" s="80">
        <v>3</v>
      </c>
      <c r="D3863" s="30" t="s">
        <v>41</v>
      </c>
      <c r="E3863" s="30" t="s">
        <v>50</v>
      </c>
      <c r="F3863" s="30" t="s">
        <v>43</v>
      </c>
      <c r="G3863" s="33">
        <v>2.2005042499999998</v>
      </c>
      <c r="H3863" s="83" t="s">
        <v>88</v>
      </c>
    </row>
    <row r="3864" spans="1:8" ht="16.5" customHeight="1" x14ac:dyDescent="0.25">
      <c r="A3864" s="27">
        <v>46111</v>
      </c>
      <c r="B3864" s="80">
        <v>2026</v>
      </c>
      <c r="C3864" s="80">
        <v>3</v>
      </c>
      <c r="D3864" s="30" t="s">
        <v>41</v>
      </c>
      <c r="E3864" s="30" t="s">
        <v>50</v>
      </c>
      <c r="F3864" s="30" t="s">
        <v>47</v>
      </c>
      <c r="G3864" s="33">
        <v>1.827874</v>
      </c>
      <c r="H3864" s="83" t="s">
        <v>88</v>
      </c>
    </row>
    <row r="3865" spans="1:8" ht="16.5" customHeight="1" x14ac:dyDescent="0.25">
      <c r="A3865" s="27">
        <v>46111</v>
      </c>
      <c r="B3865" s="80">
        <v>2026</v>
      </c>
      <c r="C3865" s="80">
        <v>3</v>
      </c>
      <c r="D3865" s="30" t="s">
        <v>41</v>
      </c>
      <c r="E3865" s="30" t="s">
        <v>50</v>
      </c>
      <c r="F3865" s="30" t="s">
        <v>51</v>
      </c>
      <c r="G3865" s="33">
        <v>2.5929250000000001</v>
      </c>
      <c r="H3865" s="83" t="s">
        <v>88</v>
      </c>
    </row>
    <row r="3866" spans="1:8" ht="16.5" customHeight="1" x14ac:dyDescent="0.25">
      <c r="A3866" s="27">
        <v>46111</v>
      </c>
      <c r="B3866" s="80">
        <v>2026</v>
      </c>
      <c r="C3866" s="80">
        <v>3</v>
      </c>
      <c r="D3866" s="30" t="s">
        <v>41</v>
      </c>
      <c r="E3866" s="30" t="s">
        <v>50</v>
      </c>
      <c r="F3866" s="30" t="s">
        <v>55</v>
      </c>
      <c r="G3866" s="33">
        <v>1.2495000000000001</v>
      </c>
      <c r="H3866" s="83" t="s">
        <v>88</v>
      </c>
    </row>
    <row r="3867" spans="1:8" ht="16.5" customHeight="1" x14ac:dyDescent="0.25">
      <c r="A3867" s="27">
        <v>46111</v>
      </c>
      <c r="B3867" s="80">
        <v>2026</v>
      </c>
      <c r="C3867" s="80">
        <v>3</v>
      </c>
      <c r="D3867" s="30" t="s">
        <v>41</v>
      </c>
      <c r="E3867" s="30" t="s">
        <v>50</v>
      </c>
      <c r="F3867" s="30" t="s">
        <v>58</v>
      </c>
      <c r="G3867" s="33">
        <v>0.81119622999999996</v>
      </c>
      <c r="H3867" s="83" t="s">
        <v>88</v>
      </c>
    </row>
    <row r="3868" spans="1:8" ht="16.5" customHeight="1" x14ac:dyDescent="0.25">
      <c r="A3868" s="27">
        <v>46111</v>
      </c>
      <c r="B3868" s="80">
        <v>2026</v>
      </c>
      <c r="C3868" s="80">
        <v>3</v>
      </c>
      <c r="D3868" s="30" t="s">
        <v>41</v>
      </c>
      <c r="E3868" s="30" t="s">
        <v>54</v>
      </c>
      <c r="F3868" s="30" t="s">
        <v>43</v>
      </c>
      <c r="G3868" s="33">
        <v>12.7607</v>
      </c>
      <c r="H3868" s="83" t="s">
        <v>88</v>
      </c>
    </row>
    <row r="3869" spans="1:8" ht="16.5" customHeight="1" x14ac:dyDescent="0.25">
      <c r="A3869" s="27">
        <v>46111</v>
      </c>
      <c r="B3869" s="80">
        <v>2026</v>
      </c>
      <c r="C3869" s="80">
        <v>3</v>
      </c>
      <c r="D3869" s="30" t="s">
        <v>41</v>
      </c>
      <c r="E3869" s="30" t="s">
        <v>61</v>
      </c>
      <c r="F3869" s="30" t="s">
        <v>39</v>
      </c>
      <c r="G3869" s="33">
        <v>3.65</v>
      </c>
      <c r="H3869" s="83" t="s">
        <v>89</v>
      </c>
    </row>
    <row r="3870" spans="1:8" ht="16.5" customHeight="1" x14ac:dyDescent="0.25">
      <c r="A3870" s="27">
        <v>46111</v>
      </c>
      <c r="B3870" s="80">
        <v>2026</v>
      </c>
      <c r="C3870" s="80">
        <v>3</v>
      </c>
      <c r="D3870" s="30" t="s">
        <v>41</v>
      </c>
      <c r="E3870" s="30" t="s">
        <v>61</v>
      </c>
      <c r="F3870" s="30" t="s">
        <v>43</v>
      </c>
      <c r="G3870" s="33">
        <v>5.0114999999999998</v>
      </c>
      <c r="H3870" s="83" t="s">
        <v>89</v>
      </c>
    </row>
    <row r="3871" spans="1:8" ht="16.5" customHeight="1" x14ac:dyDescent="0.25">
      <c r="A3871" s="27">
        <v>46111</v>
      </c>
      <c r="B3871" s="80">
        <v>2026</v>
      </c>
      <c r="C3871" s="80">
        <v>3</v>
      </c>
      <c r="D3871" s="30" t="s">
        <v>41</v>
      </c>
      <c r="E3871" s="30" t="s">
        <v>61</v>
      </c>
      <c r="F3871" s="30" t="s">
        <v>47</v>
      </c>
      <c r="G3871" s="33">
        <v>-0.4446</v>
      </c>
      <c r="H3871" s="83" t="s">
        <v>89</v>
      </c>
    </row>
    <row r="3872" spans="1:8" ht="16.5" customHeight="1" x14ac:dyDescent="0.25">
      <c r="A3872" s="27">
        <v>46111</v>
      </c>
      <c r="B3872" s="80">
        <v>2026</v>
      </c>
      <c r="C3872" s="80">
        <v>3</v>
      </c>
      <c r="D3872" s="30" t="s">
        <v>41</v>
      </c>
      <c r="E3872" s="30" t="s">
        <v>71</v>
      </c>
      <c r="F3872" s="30" t="s">
        <v>43</v>
      </c>
      <c r="G3872" s="33">
        <v>32.706870000000002</v>
      </c>
      <c r="H3872" s="83" t="s">
        <v>89</v>
      </c>
    </row>
    <row r="3873" spans="1:8" ht="16.5" customHeight="1" x14ac:dyDescent="0.25">
      <c r="A3873" s="27">
        <v>46111</v>
      </c>
      <c r="B3873" s="80">
        <v>2026</v>
      </c>
      <c r="C3873" s="80">
        <v>3</v>
      </c>
      <c r="D3873" s="30" t="s">
        <v>41</v>
      </c>
      <c r="E3873" s="30" t="s">
        <v>74</v>
      </c>
      <c r="F3873" s="30" t="s">
        <v>43</v>
      </c>
      <c r="G3873" s="33">
        <v>7.9181999999999997</v>
      </c>
      <c r="H3873" s="83" t="s">
        <v>89</v>
      </c>
    </row>
    <row r="3874" spans="1:8" ht="16.5" customHeight="1" x14ac:dyDescent="0.25">
      <c r="A3874" s="27">
        <v>46111</v>
      </c>
      <c r="B3874" s="80">
        <v>2026</v>
      </c>
      <c r="C3874" s="80">
        <v>3</v>
      </c>
      <c r="D3874" s="30" t="s">
        <v>41</v>
      </c>
      <c r="E3874" s="30" t="s">
        <v>75</v>
      </c>
      <c r="F3874" s="30" t="s">
        <v>43</v>
      </c>
      <c r="G3874" s="33">
        <v>146.53800000000001</v>
      </c>
      <c r="H3874" s="83" t="s">
        <v>48</v>
      </c>
    </row>
    <row r="3875" spans="1:8" ht="16.5" customHeight="1" x14ac:dyDescent="0.25">
      <c r="A3875" s="27">
        <v>46112</v>
      </c>
      <c r="B3875" s="80">
        <v>2026</v>
      </c>
      <c r="C3875" s="80">
        <v>3</v>
      </c>
      <c r="D3875" s="30" t="s">
        <v>41</v>
      </c>
      <c r="E3875" s="30" t="s">
        <v>38</v>
      </c>
      <c r="F3875" s="30" t="s">
        <v>43</v>
      </c>
      <c r="G3875" s="33">
        <v>8.1202279999999991</v>
      </c>
      <c r="H3875" s="83" t="s">
        <v>88</v>
      </c>
    </row>
    <row r="3876" spans="1:8" ht="16.5" customHeight="1" x14ac:dyDescent="0.25">
      <c r="A3876" s="27">
        <v>46112</v>
      </c>
      <c r="B3876" s="80">
        <v>2026</v>
      </c>
      <c r="C3876" s="80">
        <v>3</v>
      </c>
      <c r="D3876" s="30" t="s">
        <v>41</v>
      </c>
      <c r="E3876" s="30" t="s">
        <v>42</v>
      </c>
      <c r="F3876" s="30" t="s">
        <v>43</v>
      </c>
      <c r="G3876" s="33">
        <v>5.1680000000000001</v>
      </c>
      <c r="H3876" s="83" t="s">
        <v>88</v>
      </c>
    </row>
    <row r="3877" spans="1:8" ht="16.5" customHeight="1" x14ac:dyDescent="0.25">
      <c r="A3877" s="27">
        <v>46112</v>
      </c>
      <c r="B3877" s="80">
        <v>2026</v>
      </c>
      <c r="C3877" s="80">
        <v>3</v>
      </c>
      <c r="D3877" s="30" t="s">
        <v>41</v>
      </c>
      <c r="E3877" s="30" t="s">
        <v>46</v>
      </c>
      <c r="F3877" s="30" t="s">
        <v>43</v>
      </c>
      <c r="G3877" s="33">
        <v>1.1601900000000001</v>
      </c>
      <c r="H3877" s="83" t="s">
        <v>88</v>
      </c>
    </row>
    <row r="3878" spans="1:8" ht="16.5" customHeight="1" x14ac:dyDescent="0.25">
      <c r="A3878" s="27">
        <v>46112</v>
      </c>
      <c r="B3878" s="80">
        <v>2026</v>
      </c>
      <c r="C3878" s="80">
        <v>3</v>
      </c>
      <c r="D3878" s="30" t="s">
        <v>41</v>
      </c>
      <c r="E3878" s="30" t="s">
        <v>46</v>
      </c>
      <c r="F3878" s="30" t="s">
        <v>58</v>
      </c>
      <c r="G3878" s="33">
        <v>0.29705167999999998</v>
      </c>
      <c r="H3878" s="83" t="s">
        <v>88</v>
      </c>
    </row>
    <row r="3879" spans="1:8" ht="16.5" customHeight="1" x14ac:dyDescent="0.25">
      <c r="A3879" s="27">
        <v>46112</v>
      </c>
      <c r="B3879" s="80">
        <v>2026</v>
      </c>
      <c r="C3879" s="80">
        <v>3</v>
      </c>
      <c r="D3879" s="30" t="s">
        <v>41</v>
      </c>
      <c r="E3879" s="30" t="s">
        <v>50</v>
      </c>
      <c r="F3879" s="30" t="s">
        <v>43</v>
      </c>
      <c r="G3879" s="33">
        <v>13.8580311</v>
      </c>
      <c r="H3879" s="83" t="s">
        <v>88</v>
      </c>
    </row>
    <row r="3880" spans="1:8" ht="16.5" customHeight="1" x14ac:dyDescent="0.25">
      <c r="A3880" s="27">
        <v>46112</v>
      </c>
      <c r="B3880" s="80">
        <v>2026</v>
      </c>
      <c r="C3880" s="80">
        <v>3</v>
      </c>
      <c r="D3880" s="30" t="s">
        <v>41</v>
      </c>
      <c r="E3880" s="30" t="s">
        <v>50</v>
      </c>
      <c r="F3880" s="30" t="s">
        <v>47</v>
      </c>
      <c r="G3880" s="33">
        <v>0.64680000000000004</v>
      </c>
      <c r="H3880" s="83" t="s">
        <v>88</v>
      </c>
    </row>
    <row r="3881" spans="1:8" ht="16.5" customHeight="1" x14ac:dyDescent="0.25">
      <c r="A3881" s="27">
        <v>46112</v>
      </c>
      <c r="B3881" s="80">
        <v>2026</v>
      </c>
      <c r="C3881" s="80">
        <v>3</v>
      </c>
      <c r="D3881" s="30" t="s">
        <v>41</v>
      </c>
      <c r="E3881" s="30" t="s">
        <v>50</v>
      </c>
      <c r="F3881" s="30" t="s">
        <v>51</v>
      </c>
      <c r="G3881" s="33">
        <v>0.73567499999999997</v>
      </c>
      <c r="H3881" s="83" t="s">
        <v>88</v>
      </c>
    </row>
    <row r="3882" spans="1:8" ht="16.5" customHeight="1" x14ac:dyDescent="0.25">
      <c r="A3882" s="27">
        <v>46112</v>
      </c>
      <c r="B3882" s="80">
        <v>2026</v>
      </c>
      <c r="C3882" s="80">
        <v>3</v>
      </c>
      <c r="D3882" s="30" t="s">
        <v>41</v>
      </c>
      <c r="E3882" s="30" t="s">
        <v>54</v>
      </c>
      <c r="F3882" s="30" t="s">
        <v>43</v>
      </c>
      <c r="G3882" s="33">
        <v>11.099</v>
      </c>
      <c r="H3882" s="83" t="s">
        <v>88</v>
      </c>
    </row>
    <row r="3883" spans="1:8" ht="16.5" customHeight="1" x14ac:dyDescent="0.25">
      <c r="A3883" s="27">
        <v>46112</v>
      </c>
      <c r="B3883" s="80">
        <v>2026</v>
      </c>
      <c r="C3883" s="80">
        <v>3</v>
      </c>
      <c r="D3883" s="30" t="s">
        <v>41</v>
      </c>
      <c r="E3883" s="30" t="s">
        <v>61</v>
      </c>
      <c r="F3883" s="30" t="s">
        <v>43</v>
      </c>
      <c r="G3883" s="33">
        <v>7.68</v>
      </c>
      <c r="H3883" s="83" t="s">
        <v>89</v>
      </c>
    </row>
    <row r="3884" spans="1:8" ht="16.5" customHeight="1" x14ac:dyDescent="0.25">
      <c r="A3884" s="27">
        <v>46112</v>
      </c>
      <c r="B3884" s="80">
        <v>2026</v>
      </c>
      <c r="C3884" s="80">
        <v>3</v>
      </c>
      <c r="D3884" s="30" t="s">
        <v>41</v>
      </c>
      <c r="E3884" s="30" t="s">
        <v>64</v>
      </c>
      <c r="F3884" s="30" t="s">
        <v>55</v>
      </c>
      <c r="G3884" s="33">
        <v>1.7</v>
      </c>
      <c r="H3884" s="83" t="s">
        <v>89</v>
      </c>
    </row>
    <row r="3885" spans="1:8" ht="16.5" customHeight="1" x14ac:dyDescent="0.25">
      <c r="A3885" s="27">
        <v>46112</v>
      </c>
      <c r="B3885" s="80">
        <v>2026</v>
      </c>
      <c r="C3885" s="80">
        <v>3</v>
      </c>
      <c r="D3885" s="30" t="s">
        <v>41</v>
      </c>
      <c r="E3885" s="30" t="s">
        <v>66</v>
      </c>
      <c r="F3885" s="30" t="s">
        <v>43</v>
      </c>
      <c r="G3885" s="33">
        <v>2.3226</v>
      </c>
      <c r="H3885" s="83" t="s">
        <v>89</v>
      </c>
    </row>
    <row r="3886" spans="1:8" ht="16.5" customHeight="1" x14ac:dyDescent="0.25">
      <c r="A3886" s="27">
        <v>46112</v>
      </c>
      <c r="B3886" s="80">
        <v>2026</v>
      </c>
      <c r="C3886" s="80">
        <v>3</v>
      </c>
      <c r="D3886" s="30" t="s">
        <v>41</v>
      </c>
      <c r="E3886" s="30" t="s">
        <v>68</v>
      </c>
      <c r="F3886" s="30" t="s">
        <v>43</v>
      </c>
      <c r="G3886" s="33">
        <v>0.51749999999999996</v>
      </c>
      <c r="H3886" s="83" t="s">
        <v>89</v>
      </c>
    </row>
    <row r="3887" spans="1:8" ht="16.5" customHeight="1" x14ac:dyDescent="0.25">
      <c r="A3887" s="27">
        <v>46112</v>
      </c>
      <c r="B3887" s="80">
        <v>2026</v>
      </c>
      <c r="C3887" s="80">
        <v>3</v>
      </c>
      <c r="D3887" s="30" t="s">
        <v>41</v>
      </c>
      <c r="E3887" s="30" t="s">
        <v>71</v>
      </c>
      <c r="F3887" s="30" t="s">
        <v>55</v>
      </c>
      <c r="G3887" s="33">
        <v>1.3299000000000001</v>
      </c>
      <c r="H3887" s="83" t="s">
        <v>89</v>
      </c>
    </row>
    <row r="3888" spans="1:8" ht="16.5" customHeight="1" x14ac:dyDescent="0.25">
      <c r="A3888" s="27">
        <v>46113</v>
      </c>
      <c r="B3888" s="80">
        <v>2026</v>
      </c>
      <c r="C3888" s="80">
        <v>4</v>
      </c>
      <c r="D3888" s="30" t="s">
        <v>45</v>
      </c>
      <c r="E3888" s="30" t="s">
        <v>38</v>
      </c>
      <c r="F3888" s="30" t="s">
        <v>43</v>
      </c>
      <c r="G3888" s="33">
        <v>1.1625000000000001</v>
      </c>
      <c r="H3888" s="83" t="s">
        <v>88</v>
      </c>
    </row>
    <row r="3889" spans="1:8" ht="16.5" customHeight="1" x14ac:dyDescent="0.25">
      <c r="A3889" s="27">
        <v>46113</v>
      </c>
      <c r="B3889" s="80">
        <v>2026</v>
      </c>
      <c r="C3889" s="80">
        <v>4</v>
      </c>
      <c r="D3889" s="30" t="s">
        <v>45</v>
      </c>
      <c r="E3889" s="30" t="s">
        <v>42</v>
      </c>
      <c r="F3889" s="30" t="s">
        <v>43</v>
      </c>
      <c r="G3889" s="33">
        <v>4.8075000000000001</v>
      </c>
      <c r="H3889" s="83" t="s">
        <v>88</v>
      </c>
    </row>
    <row r="3890" spans="1:8" ht="16.5" customHeight="1" x14ac:dyDescent="0.25">
      <c r="A3890" s="27">
        <v>46113</v>
      </c>
      <c r="B3890" s="80">
        <v>2026</v>
      </c>
      <c r="C3890" s="80">
        <v>4</v>
      </c>
      <c r="D3890" s="30" t="s">
        <v>45</v>
      </c>
      <c r="E3890" s="30" t="s">
        <v>42</v>
      </c>
      <c r="F3890" s="30" t="s">
        <v>47</v>
      </c>
      <c r="G3890" s="33">
        <v>0.56999999999999995</v>
      </c>
      <c r="H3890" s="83" t="s">
        <v>88</v>
      </c>
    </row>
    <row r="3891" spans="1:8" ht="16.5" customHeight="1" x14ac:dyDescent="0.25">
      <c r="A3891" s="27">
        <v>46113</v>
      </c>
      <c r="B3891" s="80">
        <v>2026</v>
      </c>
      <c r="C3891" s="80">
        <v>4</v>
      </c>
      <c r="D3891" s="30" t="s">
        <v>45</v>
      </c>
      <c r="E3891" s="30" t="s">
        <v>42</v>
      </c>
      <c r="F3891" s="30" t="s">
        <v>55</v>
      </c>
      <c r="G3891" s="33">
        <v>7.4</v>
      </c>
      <c r="H3891" s="83" t="s">
        <v>88</v>
      </c>
    </row>
    <row r="3892" spans="1:8" ht="16.5" customHeight="1" x14ac:dyDescent="0.25">
      <c r="A3892" s="27">
        <v>46113</v>
      </c>
      <c r="B3892" s="80">
        <v>2026</v>
      </c>
      <c r="C3892" s="80">
        <v>4</v>
      </c>
      <c r="D3892" s="30" t="s">
        <v>45</v>
      </c>
      <c r="E3892" s="30" t="s">
        <v>46</v>
      </c>
      <c r="F3892" s="30" t="s">
        <v>55</v>
      </c>
      <c r="G3892" s="33">
        <v>0.74</v>
      </c>
      <c r="H3892" s="83" t="s">
        <v>88</v>
      </c>
    </row>
    <row r="3893" spans="1:8" ht="16.5" customHeight="1" x14ac:dyDescent="0.25">
      <c r="A3893" s="27">
        <v>46113</v>
      </c>
      <c r="B3893" s="80">
        <v>2026</v>
      </c>
      <c r="C3893" s="80">
        <v>4</v>
      </c>
      <c r="D3893" s="30" t="s">
        <v>45</v>
      </c>
      <c r="E3893" s="30" t="s">
        <v>50</v>
      </c>
      <c r="F3893" s="30" t="s">
        <v>43</v>
      </c>
      <c r="G3893" s="33">
        <v>4.0270085</v>
      </c>
      <c r="H3893" s="83" t="s">
        <v>88</v>
      </c>
    </row>
    <row r="3894" spans="1:8" ht="16.5" customHeight="1" x14ac:dyDescent="0.25">
      <c r="A3894" s="27">
        <v>46113</v>
      </c>
      <c r="B3894" s="80">
        <v>2026</v>
      </c>
      <c r="C3894" s="80">
        <v>4</v>
      </c>
      <c r="D3894" s="30" t="s">
        <v>45</v>
      </c>
      <c r="E3894" s="30" t="s">
        <v>50</v>
      </c>
      <c r="F3894" s="30" t="s">
        <v>47</v>
      </c>
      <c r="G3894" s="33">
        <v>0.14025000000000001</v>
      </c>
      <c r="H3894" s="83" t="s">
        <v>88</v>
      </c>
    </row>
    <row r="3895" spans="1:8" ht="16.5" customHeight="1" x14ac:dyDescent="0.25">
      <c r="A3895" s="27">
        <v>46113</v>
      </c>
      <c r="B3895" s="80">
        <v>2026</v>
      </c>
      <c r="C3895" s="80">
        <v>4</v>
      </c>
      <c r="D3895" s="30" t="s">
        <v>45</v>
      </c>
      <c r="E3895" s="30" t="s">
        <v>50</v>
      </c>
      <c r="F3895" s="30" t="s">
        <v>51</v>
      </c>
      <c r="G3895" s="33">
        <v>1.3781049999999999</v>
      </c>
      <c r="H3895" s="83" t="s">
        <v>88</v>
      </c>
    </row>
    <row r="3896" spans="1:8" ht="16.5" customHeight="1" x14ac:dyDescent="0.25">
      <c r="A3896" s="27">
        <v>46113</v>
      </c>
      <c r="B3896" s="80">
        <v>2026</v>
      </c>
      <c r="C3896" s="80">
        <v>4</v>
      </c>
      <c r="D3896" s="30" t="s">
        <v>45</v>
      </c>
      <c r="E3896" s="30" t="s">
        <v>50</v>
      </c>
      <c r="F3896" s="30" t="s">
        <v>58</v>
      </c>
      <c r="G3896" s="33">
        <v>1.5884400000000001</v>
      </c>
      <c r="H3896" s="83" t="s">
        <v>88</v>
      </c>
    </row>
    <row r="3897" spans="1:8" ht="16.5" customHeight="1" x14ac:dyDescent="0.25">
      <c r="A3897" s="27">
        <v>46113</v>
      </c>
      <c r="B3897" s="80">
        <v>2026</v>
      </c>
      <c r="C3897" s="80">
        <v>4</v>
      </c>
      <c r="D3897" s="30" t="s">
        <v>45</v>
      </c>
      <c r="E3897" s="30" t="s">
        <v>54</v>
      </c>
      <c r="F3897" s="30" t="s">
        <v>43</v>
      </c>
      <c r="G3897" s="33">
        <v>2.57925</v>
      </c>
      <c r="H3897" s="83" t="s">
        <v>88</v>
      </c>
    </row>
    <row r="3898" spans="1:8" ht="16.5" customHeight="1" x14ac:dyDescent="0.25">
      <c r="A3898" s="27">
        <v>46113</v>
      </c>
      <c r="B3898" s="80">
        <v>2026</v>
      </c>
      <c r="C3898" s="80">
        <v>4</v>
      </c>
      <c r="D3898" s="30" t="s">
        <v>45</v>
      </c>
      <c r="E3898" s="30" t="s">
        <v>54</v>
      </c>
      <c r="F3898" s="30" t="s">
        <v>47</v>
      </c>
      <c r="G3898" s="33">
        <v>0.16</v>
      </c>
      <c r="H3898" s="83" t="s">
        <v>88</v>
      </c>
    </row>
    <row r="3899" spans="1:8" ht="16.5" customHeight="1" x14ac:dyDescent="0.25">
      <c r="A3899" s="27">
        <v>46113</v>
      </c>
      <c r="B3899" s="80">
        <v>2026</v>
      </c>
      <c r="C3899" s="80">
        <v>4</v>
      </c>
      <c r="D3899" s="30" t="s">
        <v>45</v>
      </c>
      <c r="E3899" s="30" t="s">
        <v>64</v>
      </c>
      <c r="F3899" s="30" t="s">
        <v>51</v>
      </c>
      <c r="G3899" s="33">
        <v>8.2473299999999998</v>
      </c>
      <c r="H3899" s="83" t="s">
        <v>89</v>
      </c>
    </row>
    <row r="3900" spans="1:8" ht="16.5" customHeight="1" x14ac:dyDescent="0.25">
      <c r="A3900" s="27">
        <v>46113</v>
      </c>
      <c r="B3900" s="80">
        <v>2026</v>
      </c>
      <c r="C3900" s="80">
        <v>4</v>
      </c>
      <c r="D3900" s="30" t="s">
        <v>45</v>
      </c>
      <c r="E3900" s="30" t="s">
        <v>68</v>
      </c>
      <c r="F3900" s="30" t="s">
        <v>43</v>
      </c>
      <c r="G3900" s="33">
        <v>5.5500999999999996</v>
      </c>
      <c r="H3900" s="83" t="s">
        <v>89</v>
      </c>
    </row>
    <row r="3901" spans="1:8" ht="16.5" customHeight="1" x14ac:dyDescent="0.25">
      <c r="A3901" s="27">
        <v>46113</v>
      </c>
      <c r="B3901" s="80">
        <v>2026</v>
      </c>
      <c r="C3901" s="80">
        <v>4</v>
      </c>
      <c r="D3901" s="30" t="s">
        <v>45</v>
      </c>
      <c r="E3901" s="30" t="s">
        <v>71</v>
      </c>
      <c r="F3901" s="30" t="s">
        <v>39</v>
      </c>
      <c r="G3901" s="33">
        <v>2.671284</v>
      </c>
      <c r="H3901" s="83" t="s">
        <v>89</v>
      </c>
    </row>
    <row r="3902" spans="1:8" ht="16.5" customHeight="1" x14ac:dyDescent="0.25">
      <c r="A3902" s="27">
        <v>46113</v>
      </c>
      <c r="B3902" s="80">
        <v>2026</v>
      </c>
      <c r="C3902" s="80">
        <v>4</v>
      </c>
      <c r="D3902" s="30" t="s">
        <v>45</v>
      </c>
      <c r="E3902" s="30" t="s">
        <v>75</v>
      </c>
      <c r="F3902" s="30" t="s">
        <v>43</v>
      </c>
      <c r="G3902" s="33">
        <v>24.346640000000001</v>
      </c>
      <c r="H3902" s="83" t="s">
        <v>48</v>
      </c>
    </row>
    <row r="3903" spans="1:8" ht="16.5" customHeight="1" x14ac:dyDescent="0.25">
      <c r="A3903" s="27">
        <v>46114</v>
      </c>
      <c r="B3903" s="80">
        <v>2026</v>
      </c>
      <c r="C3903" s="80">
        <v>4</v>
      </c>
      <c r="D3903" s="30" t="s">
        <v>45</v>
      </c>
      <c r="E3903" s="30" t="s">
        <v>38</v>
      </c>
      <c r="F3903" s="30" t="s">
        <v>43</v>
      </c>
      <c r="G3903" s="33">
        <v>62.000818000000002</v>
      </c>
      <c r="H3903" s="83" t="s">
        <v>88</v>
      </c>
    </row>
    <row r="3904" spans="1:8" ht="16.5" customHeight="1" x14ac:dyDescent="0.25">
      <c r="A3904" s="27">
        <v>46114</v>
      </c>
      <c r="B3904" s="80">
        <v>2026</v>
      </c>
      <c r="C3904" s="80">
        <v>4</v>
      </c>
      <c r="D3904" s="30" t="s">
        <v>45</v>
      </c>
      <c r="E3904" s="30" t="s">
        <v>38</v>
      </c>
      <c r="F3904" s="30" t="s">
        <v>47</v>
      </c>
      <c r="G3904" s="33">
        <v>2.1062599999999998</v>
      </c>
      <c r="H3904" s="83" t="s">
        <v>88</v>
      </c>
    </row>
    <row r="3905" spans="1:8" ht="16.5" customHeight="1" x14ac:dyDescent="0.25">
      <c r="A3905" s="27">
        <v>46114</v>
      </c>
      <c r="B3905" s="80">
        <v>2026</v>
      </c>
      <c r="C3905" s="80">
        <v>4</v>
      </c>
      <c r="D3905" s="30" t="s">
        <v>45</v>
      </c>
      <c r="E3905" s="30" t="s">
        <v>38</v>
      </c>
      <c r="F3905" s="30" t="s">
        <v>58</v>
      </c>
      <c r="G3905" s="33">
        <v>0.41463800000000001</v>
      </c>
      <c r="H3905" s="83" t="s">
        <v>88</v>
      </c>
    </row>
    <row r="3906" spans="1:8" ht="16.5" customHeight="1" x14ac:dyDescent="0.25">
      <c r="A3906" s="27">
        <v>46114</v>
      </c>
      <c r="B3906" s="80">
        <v>2026</v>
      </c>
      <c r="C3906" s="80">
        <v>4</v>
      </c>
      <c r="D3906" s="30" t="s">
        <v>45</v>
      </c>
      <c r="E3906" s="30" t="s">
        <v>42</v>
      </c>
      <c r="F3906" s="30" t="s">
        <v>43</v>
      </c>
      <c r="G3906" s="33">
        <v>6.0491999999999999</v>
      </c>
      <c r="H3906" s="83" t="s">
        <v>88</v>
      </c>
    </row>
    <row r="3907" spans="1:8" ht="16.5" customHeight="1" x14ac:dyDescent="0.25">
      <c r="A3907" s="27">
        <v>46114</v>
      </c>
      <c r="B3907" s="80">
        <v>2026</v>
      </c>
      <c r="C3907" s="80">
        <v>4</v>
      </c>
      <c r="D3907" s="30" t="s">
        <v>45</v>
      </c>
      <c r="E3907" s="30" t="s">
        <v>46</v>
      </c>
      <c r="F3907" s="30" t="s">
        <v>43</v>
      </c>
      <c r="G3907" s="33">
        <v>0.46517439999999999</v>
      </c>
      <c r="H3907" s="83" t="s">
        <v>88</v>
      </c>
    </row>
    <row r="3908" spans="1:8" ht="16.5" customHeight="1" x14ac:dyDescent="0.25">
      <c r="A3908" s="27">
        <v>46114</v>
      </c>
      <c r="B3908" s="80">
        <v>2026</v>
      </c>
      <c r="C3908" s="80">
        <v>4</v>
      </c>
      <c r="D3908" s="30" t="s">
        <v>45</v>
      </c>
      <c r="E3908" s="30" t="s">
        <v>46</v>
      </c>
      <c r="F3908" s="30" t="s">
        <v>47</v>
      </c>
      <c r="G3908" s="33">
        <v>0.62774399999999997</v>
      </c>
      <c r="H3908" s="83" t="s">
        <v>88</v>
      </c>
    </row>
    <row r="3909" spans="1:8" ht="16.5" customHeight="1" x14ac:dyDescent="0.25">
      <c r="A3909" s="27">
        <v>46114</v>
      </c>
      <c r="B3909" s="80">
        <v>2026</v>
      </c>
      <c r="C3909" s="80">
        <v>4</v>
      </c>
      <c r="D3909" s="30" t="s">
        <v>45</v>
      </c>
      <c r="E3909" s="30" t="s">
        <v>50</v>
      </c>
      <c r="F3909" s="30" t="s">
        <v>43</v>
      </c>
      <c r="G3909" s="33">
        <v>4.006945</v>
      </c>
      <c r="H3909" s="83" t="s">
        <v>88</v>
      </c>
    </row>
    <row r="3910" spans="1:8" ht="16.5" customHeight="1" x14ac:dyDescent="0.25">
      <c r="A3910" s="27">
        <v>46114</v>
      </c>
      <c r="B3910" s="80">
        <v>2026</v>
      </c>
      <c r="C3910" s="80">
        <v>4</v>
      </c>
      <c r="D3910" s="30" t="s">
        <v>45</v>
      </c>
      <c r="E3910" s="30" t="s">
        <v>50</v>
      </c>
      <c r="F3910" s="30" t="s">
        <v>47</v>
      </c>
      <c r="G3910" s="33">
        <v>1.4338500000000001</v>
      </c>
      <c r="H3910" s="83" t="s">
        <v>88</v>
      </c>
    </row>
    <row r="3911" spans="1:8" ht="16.5" customHeight="1" x14ac:dyDescent="0.25">
      <c r="A3911" s="27">
        <v>46114</v>
      </c>
      <c r="B3911" s="80">
        <v>2026</v>
      </c>
      <c r="C3911" s="80">
        <v>4</v>
      </c>
      <c r="D3911" s="30" t="s">
        <v>45</v>
      </c>
      <c r="E3911" s="30" t="s">
        <v>54</v>
      </c>
      <c r="F3911" s="30" t="s">
        <v>43</v>
      </c>
      <c r="G3911" s="33">
        <v>5.0999999999999996</v>
      </c>
      <c r="H3911" s="83" t="s">
        <v>88</v>
      </c>
    </row>
    <row r="3912" spans="1:8" ht="16.5" customHeight="1" x14ac:dyDescent="0.25">
      <c r="A3912" s="27">
        <v>46114</v>
      </c>
      <c r="B3912" s="80">
        <v>2026</v>
      </c>
      <c r="C3912" s="80">
        <v>4</v>
      </c>
      <c r="D3912" s="30" t="s">
        <v>45</v>
      </c>
      <c r="E3912" s="30" t="s">
        <v>64</v>
      </c>
      <c r="F3912" s="30" t="s">
        <v>43</v>
      </c>
      <c r="G3912" s="33">
        <v>86.4</v>
      </c>
      <c r="H3912" s="83" t="s">
        <v>89</v>
      </c>
    </row>
    <row r="3913" spans="1:8" ht="16.5" customHeight="1" x14ac:dyDescent="0.25">
      <c r="A3913" s="27">
        <v>46114</v>
      </c>
      <c r="B3913" s="80">
        <v>2026</v>
      </c>
      <c r="C3913" s="80">
        <v>4</v>
      </c>
      <c r="D3913" s="30" t="s">
        <v>45</v>
      </c>
      <c r="E3913" s="30" t="s">
        <v>68</v>
      </c>
      <c r="F3913" s="30" t="s">
        <v>43</v>
      </c>
      <c r="G3913" s="33">
        <v>1.4017500000000001</v>
      </c>
      <c r="H3913" s="83" t="s">
        <v>89</v>
      </c>
    </row>
    <row r="3914" spans="1:8" ht="16.5" customHeight="1" x14ac:dyDescent="0.25">
      <c r="A3914" s="27">
        <v>46114</v>
      </c>
      <c r="B3914" s="80">
        <v>2026</v>
      </c>
      <c r="C3914" s="80">
        <v>4</v>
      </c>
      <c r="D3914" s="30" t="s">
        <v>45</v>
      </c>
      <c r="E3914" s="30" t="s">
        <v>71</v>
      </c>
      <c r="F3914" s="30" t="s">
        <v>39</v>
      </c>
      <c r="G3914" s="33">
        <v>31.089825000000001</v>
      </c>
      <c r="H3914" s="83" t="s">
        <v>89</v>
      </c>
    </row>
    <row r="3915" spans="1:8" ht="16.5" customHeight="1" x14ac:dyDescent="0.25">
      <c r="A3915" s="27">
        <v>46114</v>
      </c>
      <c r="B3915" s="80">
        <v>2026</v>
      </c>
      <c r="C3915" s="80">
        <v>4</v>
      </c>
      <c r="D3915" s="30" t="s">
        <v>45</v>
      </c>
      <c r="E3915" s="30" t="s">
        <v>71</v>
      </c>
      <c r="F3915" s="30" t="s">
        <v>43</v>
      </c>
      <c r="G3915" s="33">
        <v>39.675759999999997</v>
      </c>
      <c r="H3915" s="83" t="s">
        <v>89</v>
      </c>
    </row>
    <row r="3916" spans="1:8" ht="16.5" customHeight="1" x14ac:dyDescent="0.25">
      <c r="A3916" s="27">
        <v>46115</v>
      </c>
      <c r="B3916" s="80">
        <v>2026</v>
      </c>
      <c r="C3916" s="80">
        <v>4</v>
      </c>
      <c r="D3916" s="30" t="s">
        <v>45</v>
      </c>
      <c r="E3916" s="30" t="s">
        <v>38</v>
      </c>
      <c r="F3916" s="30" t="s">
        <v>43</v>
      </c>
      <c r="G3916" s="33">
        <v>5.2077280000000004</v>
      </c>
      <c r="H3916" s="83" t="s">
        <v>88</v>
      </c>
    </row>
    <row r="3917" spans="1:8" ht="16.5" customHeight="1" x14ac:dyDescent="0.25">
      <c r="A3917" s="27">
        <v>46115</v>
      </c>
      <c r="B3917" s="80">
        <v>2026</v>
      </c>
      <c r="C3917" s="80">
        <v>4</v>
      </c>
      <c r="D3917" s="30" t="s">
        <v>45</v>
      </c>
      <c r="E3917" s="30" t="s">
        <v>46</v>
      </c>
      <c r="F3917" s="30" t="s">
        <v>43</v>
      </c>
      <c r="G3917" s="33">
        <v>1.0212912000000001</v>
      </c>
      <c r="H3917" s="83" t="s">
        <v>88</v>
      </c>
    </row>
    <row r="3918" spans="1:8" ht="16.5" customHeight="1" x14ac:dyDescent="0.25">
      <c r="A3918" s="27">
        <v>46115</v>
      </c>
      <c r="B3918" s="80">
        <v>2026</v>
      </c>
      <c r="C3918" s="80">
        <v>4</v>
      </c>
      <c r="D3918" s="30" t="s">
        <v>45</v>
      </c>
      <c r="E3918" s="30" t="s">
        <v>46</v>
      </c>
      <c r="F3918" s="30" t="s">
        <v>51</v>
      </c>
      <c r="G3918" s="33">
        <v>0.78647999999999996</v>
      </c>
      <c r="H3918" s="83" t="s">
        <v>88</v>
      </c>
    </row>
    <row r="3919" spans="1:8" ht="16.5" customHeight="1" x14ac:dyDescent="0.25">
      <c r="A3919" s="27">
        <v>46115</v>
      </c>
      <c r="B3919" s="80">
        <v>2026</v>
      </c>
      <c r="C3919" s="80">
        <v>4</v>
      </c>
      <c r="D3919" s="30" t="s">
        <v>45</v>
      </c>
      <c r="E3919" s="30" t="s">
        <v>50</v>
      </c>
      <c r="F3919" s="30" t="s">
        <v>43</v>
      </c>
      <c r="G3919" s="33">
        <v>1.0613589999999999</v>
      </c>
      <c r="H3919" s="83" t="s">
        <v>88</v>
      </c>
    </row>
    <row r="3920" spans="1:8" ht="16.5" customHeight="1" x14ac:dyDescent="0.25">
      <c r="A3920" s="27">
        <v>46115</v>
      </c>
      <c r="B3920" s="80">
        <v>2026</v>
      </c>
      <c r="C3920" s="80">
        <v>4</v>
      </c>
      <c r="D3920" s="30" t="s">
        <v>45</v>
      </c>
      <c r="E3920" s="30" t="s">
        <v>50</v>
      </c>
      <c r="F3920" s="30" t="s">
        <v>47</v>
      </c>
      <c r="G3920" s="33">
        <v>0.64680000000000004</v>
      </c>
      <c r="H3920" s="83" t="s">
        <v>88</v>
      </c>
    </row>
    <row r="3921" spans="1:8" ht="16.5" customHeight="1" x14ac:dyDescent="0.25">
      <c r="A3921" s="27">
        <v>46115</v>
      </c>
      <c r="B3921" s="80">
        <v>2026</v>
      </c>
      <c r="C3921" s="80">
        <v>4</v>
      </c>
      <c r="D3921" s="30" t="s">
        <v>45</v>
      </c>
      <c r="E3921" s="30" t="s">
        <v>54</v>
      </c>
      <c r="F3921" s="30" t="s">
        <v>43</v>
      </c>
      <c r="G3921" s="33">
        <v>11.2235</v>
      </c>
      <c r="H3921" s="83" t="s">
        <v>88</v>
      </c>
    </row>
    <row r="3922" spans="1:8" ht="16.5" customHeight="1" x14ac:dyDescent="0.25">
      <c r="A3922" s="27">
        <v>46115</v>
      </c>
      <c r="B3922" s="80">
        <v>2026</v>
      </c>
      <c r="C3922" s="80">
        <v>4</v>
      </c>
      <c r="D3922" s="30" t="s">
        <v>45</v>
      </c>
      <c r="E3922" s="30" t="s">
        <v>64</v>
      </c>
      <c r="F3922" s="30" t="s">
        <v>43</v>
      </c>
      <c r="G3922" s="33">
        <v>1.3089999999999999</v>
      </c>
      <c r="H3922" s="83" t="s">
        <v>89</v>
      </c>
    </row>
    <row r="3923" spans="1:8" ht="16.5" customHeight="1" x14ac:dyDescent="0.25">
      <c r="A3923" s="27">
        <v>46115</v>
      </c>
      <c r="B3923" s="80">
        <v>2026</v>
      </c>
      <c r="C3923" s="80">
        <v>4</v>
      </c>
      <c r="D3923" s="30" t="s">
        <v>45</v>
      </c>
      <c r="E3923" s="30" t="s">
        <v>66</v>
      </c>
      <c r="F3923" s="30" t="s">
        <v>43</v>
      </c>
      <c r="G3923" s="33">
        <v>23.032499999999999</v>
      </c>
      <c r="H3923" s="83" t="s">
        <v>89</v>
      </c>
    </row>
    <row r="3924" spans="1:8" ht="16.5" customHeight="1" x14ac:dyDescent="0.25">
      <c r="A3924" s="27">
        <v>46115</v>
      </c>
      <c r="B3924" s="80">
        <v>2026</v>
      </c>
      <c r="C3924" s="80">
        <v>4</v>
      </c>
      <c r="D3924" s="30" t="s">
        <v>45</v>
      </c>
      <c r="E3924" s="30" t="s">
        <v>68</v>
      </c>
      <c r="F3924" s="30" t="s">
        <v>43</v>
      </c>
      <c r="G3924" s="33">
        <v>13.5665</v>
      </c>
      <c r="H3924" s="83" t="s">
        <v>89</v>
      </c>
    </row>
    <row r="3925" spans="1:8" ht="16.5" customHeight="1" x14ac:dyDescent="0.25">
      <c r="A3925" s="27">
        <v>46115</v>
      </c>
      <c r="B3925" s="80">
        <v>2026</v>
      </c>
      <c r="C3925" s="80">
        <v>4</v>
      </c>
      <c r="D3925" s="30" t="s">
        <v>45</v>
      </c>
      <c r="E3925" s="30" t="s">
        <v>71</v>
      </c>
      <c r="F3925" s="30" t="s">
        <v>39</v>
      </c>
      <c r="G3925" s="33">
        <v>22.160250000000001</v>
      </c>
      <c r="H3925" s="83" t="s">
        <v>89</v>
      </c>
    </row>
    <row r="3926" spans="1:8" ht="16.5" customHeight="1" x14ac:dyDescent="0.25">
      <c r="A3926" s="27">
        <v>46115</v>
      </c>
      <c r="B3926" s="80">
        <v>2026</v>
      </c>
      <c r="C3926" s="80">
        <v>4</v>
      </c>
      <c r="D3926" s="30" t="s">
        <v>45</v>
      </c>
      <c r="E3926" s="30" t="s">
        <v>73</v>
      </c>
      <c r="F3926" s="30" t="s">
        <v>43</v>
      </c>
      <c r="G3926" s="33">
        <v>4.875</v>
      </c>
      <c r="H3926" s="83" t="s">
        <v>89</v>
      </c>
    </row>
    <row r="3927" spans="1:8" ht="16.5" customHeight="1" x14ac:dyDescent="0.25">
      <c r="A3927" s="27">
        <v>46115</v>
      </c>
      <c r="B3927" s="80">
        <v>2026</v>
      </c>
      <c r="C3927" s="80">
        <v>4</v>
      </c>
      <c r="D3927" s="30" t="s">
        <v>45</v>
      </c>
      <c r="E3927" s="30" t="s">
        <v>75</v>
      </c>
      <c r="F3927" s="30" t="s">
        <v>43</v>
      </c>
      <c r="G3927" s="33">
        <v>22.437938750000001</v>
      </c>
      <c r="H3927" s="83" t="s">
        <v>48</v>
      </c>
    </row>
    <row r="3928" spans="1:8" ht="16.5" customHeight="1" x14ac:dyDescent="0.25">
      <c r="A3928" s="27">
        <v>46119</v>
      </c>
      <c r="B3928" s="80">
        <v>2026</v>
      </c>
      <c r="C3928" s="80">
        <v>4</v>
      </c>
      <c r="D3928" s="30" t="s">
        <v>45</v>
      </c>
      <c r="E3928" s="30" t="s">
        <v>38</v>
      </c>
      <c r="F3928" s="30" t="s">
        <v>43</v>
      </c>
      <c r="G3928" s="33">
        <v>9.2550000000000008</v>
      </c>
      <c r="H3928" s="83" t="s">
        <v>88</v>
      </c>
    </row>
    <row r="3929" spans="1:8" ht="16.5" customHeight="1" x14ac:dyDescent="0.25">
      <c r="A3929" s="27">
        <v>46119</v>
      </c>
      <c r="B3929" s="80">
        <v>2026</v>
      </c>
      <c r="C3929" s="80">
        <v>4</v>
      </c>
      <c r="D3929" s="30" t="s">
        <v>45</v>
      </c>
      <c r="E3929" s="30" t="s">
        <v>42</v>
      </c>
      <c r="F3929" s="30" t="s">
        <v>43</v>
      </c>
      <c r="G3929" s="33">
        <v>2.3119999999999998</v>
      </c>
      <c r="H3929" s="83" t="s">
        <v>88</v>
      </c>
    </row>
    <row r="3930" spans="1:8" ht="16.5" customHeight="1" x14ac:dyDescent="0.25">
      <c r="A3930" s="27">
        <v>46119</v>
      </c>
      <c r="B3930" s="80">
        <v>2026</v>
      </c>
      <c r="C3930" s="80">
        <v>4</v>
      </c>
      <c r="D3930" s="30" t="s">
        <v>45</v>
      </c>
      <c r="E3930" s="30" t="s">
        <v>42</v>
      </c>
      <c r="F3930" s="30" t="s">
        <v>55</v>
      </c>
      <c r="G3930" s="33">
        <v>0.89700000000000002</v>
      </c>
      <c r="H3930" s="83" t="s">
        <v>88</v>
      </c>
    </row>
    <row r="3931" spans="1:8" ht="16.5" customHeight="1" x14ac:dyDescent="0.25">
      <c r="A3931" s="27">
        <v>46119</v>
      </c>
      <c r="B3931" s="80">
        <v>2026</v>
      </c>
      <c r="C3931" s="80">
        <v>4</v>
      </c>
      <c r="D3931" s="30" t="s">
        <v>45</v>
      </c>
      <c r="E3931" s="30" t="s">
        <v>50</v>
      </c>
      <c r="F3931" s="30" t="s">
        <v>43</v>
      </c>
      <c r="G3931" s="33">
        <v>9.8930685999999994</v>
      </c>
      <c r="H3931" s="83" t="s">
        <v>88</v>
      </c>
    </row>
    <row r="3932" spans="1:8" ht="16.5" customHeight="1" x14ac:dyDescent="0.25">
      <c r="A3932" s="27">
        <v>46119</v>
      </c>
      <c r="B3932" s="80">
        <v>2026</v>
      </c>
      <c r="C3932" s="80">
        <v>4</v>
      </c>
      <c r="D3932" s="30" t="s">
        <v>45</v>
      </c>
      <c r="E3932" s="30" t="s">
        <v>50</v>
      </c>
      <c r="F3932" s="30" t="s">
        <v>47</v>
      </c>
      <c r="G3932" s="33">
        <v>1.33955</v>
      </c>
      <c r="H3932" s="83" t="s">
        <v>88</v>
      </c>
    </row>
    <row r="3933" spans="1:8" ht="16.5" customHeight="1" x14ac:dyDescent="0.25">
      <c r="A3933" s="27">
        <v>46119</v>
      </c>
      <c r="B3933" s="80">
        <v>2026</v>
      </c>
      <c r="C3933" s="80">
        <v>4</v>
      </c>
      <c r="D3933" s="30" t="s">
        <v>45</v>
      </c>
      <c r="E3933" s="30" t="s">
        <v>50</v>
      </c>
      <c r="F3933" s="30" t="s">
        <v>55</v>
      </c>
      <c r="G3933" s="33">
        <v>0.35699999999999998</v>
      </c>
      <c r="H3933" s="83" t="s">
        <v>88</v>
      </c>
    </row>
    <row r="3934" spans="1:8" ht="16.5" customHeight="1" x14ac:dyDescent="0.25">
      <c r="A3934" s="27">
        <v>46119</v>
      </c>
      <c r="B3934" s="80">
        <v>2026</v>
      </c>
      <c r="C3934" s="80">
        <v>4</v>
      </c>
      <c r="D3934" s="30" t="s">
        <v>45</v>
      </c>
      <c r="E3934" s="30" t="s">
        <v>50</v>
      </c>
      <c r="F3934" s="30" t="s">
        <v>58</v>
      </c>
      <c r="G3934" s="33">
        <v>2.5319318599999998</v>
      </c>
      <c r="H3934" s="83" t="s">
        <v>88</v>
      </c>
    </row>
    <row r="3935" spans="1:8" ht="16.5" customHeight="1" x14ac:dyDescent="0.25">
      <c r="A3935" s="27">
        <v>46119</v>
      </c>
      <c r="B3935" s="80">
        <v>2026</v>
      </c>
      <c r="C3935" s="80">
        <v>4</v>
      </c>
      <c r="D3935" s="30" t="s">
        <v>45</v>
      </c>
      <c r="E3935" s="30" t="s">
        <v>54</v>
      </c>
      <c r="F3935" s="30" t="s">
        <v>43</v>
      </c>
      <c r="G3935" s="33">
        <v>9.0067500000000003</v>
      </c>
      <c r="H3935" s="83" t="s">
        <v>88</v>
      </c>
    </row>
    <row r="3936" spans="1:8" ht="16.5" customHeight="1" x14ac:dyDescent="0.25">
      <c r="A3936" s="27">
        <v>46119</v>
      </c>
      <c r="B3936" s="80">
        <v>2026</v>
      </c>
      <c r="C3936" s="80">
        <v>4</v>
      </c>
      <c r="D3936" s="30" t="s">
        <v>45</v>
      </c>
      <c r="E3936" s="30" t="s">
        <v>57</v>
      </c>
      <c r="F3936" s="30" t="s">
        <v>43</v>
      </c>
      <c r="G3936" s="33">
        <v>26.370999999999999</v>
      </c>
      <c r="H3936" s="83" t="s">
        <v>89</v>
      </c>
    </row>
    <row r="3937" spans="1:8" ht="16.5" customHeight="1" x14ac:dyDescent="0.25">
      <c r="A3937" s="27">
        <v>46119</v>
      </c>
      <c r="B3937" s="80">
        <v>2026</v>
      </c>
      <c r="C3937" s="80">
        <v>4</v>
      </c>
      <c r="D3937" s="30" t="s">
        <v>45</v>
      </c>
      <c r="E3937" s="30" t="s">
        <v>64</v>
      </c>
      <c r="F3937" s="30" t="s">
        <v>43</v>
      </c>
      <c r="G3937" s="33">
        <v>13.936500000000001</v>
      </c>
      <c r="H3937" s="83" t="s">
        <v>89</v>
      </c>
    </row>
    <row r="3938" spans="1:8" ht="16.5" customHeight="1" x14ac:dyDescent="0.25">
      <c r="A3938" s="27">
        <v>46119</v>
      </c>
      <c r="B3938" s="80">
        <v>2026</v>
      </c>
      <c r="C3938" s="80">
        <v>4</v>
      </c>
      <c r="D3938" s="30" t="s">
        <v>45</v>
      </c>
      <c r="E3938" s="30" t="s">
        <v>66</v>
      </c>
      <c r="F3938" s="30" t="s">
        <v>43</v>
      </c>
      <c r="G3938" s="33">
        <v>10.499000000000001</v>
      </c>
      <c r="H3938" s="83" t="s">
        <v>89</v>
      </c>
    </row>
    <row r="3939" spans="1:8" ht="16.5" customHeight="1" x14ac:dyDescent="0.25">
      <c r="A3939" s="27">
        <v>46119</v>
      </c>
      <c r="B3939" s="80">
        <v>2026</v>
      </c>
      <c r="C3939" s="80">
        <v>4</v>
      </c>
      <c r="D3939" s="30" t="s">
        <v>45</v>
      </c>
      <c r="E3939" s="30" t="s">
        <v>68</v>
      </c>
      <c r="F3939" s="30" t="s">
        <v>43</v>
      </c>
      <c r="G3939" s="33">
        <v>2.2000000000000002</v>
      </c>
      <c r="H3939" s="83" t="s">
        <v>89</v>
      </c>
    </row>
    <row r="3940" spans="1:8" ht="16.5" customHeight="1" x14ac:dyDescent="0.25">
      <c r="A3940" s="27">
        <v>46119</v>
      </c>
      <c r="B3940" s="80">
        <v>2026</v>
      </c>
      <c r="C3940" s="80">
        <v>4</v>
      </c>
      <c r="D3940" s="30" t="s">
        <v>45</v>
      </c>
      <c r="E3940" s="30" t="s">
        <v>68</v>
      </c>
      <c r="F3940" s="30" t="s">
        <v>47</v>
      </c>
      <c r="G3940" s="33">
        <v>5.5</v>
      </c>
      <c r="H3940" s="83" t="s">
        <v>89</v>
      </c>
    </row>
    <row r="3941" spans="1:8" ht="16.5" customHeight="1" x14ac:dyDescent="0.25">
      <c r="A3941" s="27">
        <v>46119</v>
      </c>
      <c r="B3941" s="80">
        <v>2026</v>
      </c>
      <c r="C3941" s="80">
        <v>4</v>
      </c>
      <c r="D3941" s="30" t="s">
        <v>45</v>
      </c>
      <c r="E3941" s="30" t="s">
        <v>73</v>
      </c>
      <c r="F3941" s="30" t="s">
        <v>43</v>
      </c>
      <c r="G3941" s="33">
        <v>14.8125</v>
      </c>
      <c r="H3941" s="83" t="s">
        <v>89</v>
      </c>
    </row>
    <row r="3942" spans="1:8" ht="16.5" customHeight="1" x14ac:dyDescent="0.25">
      <c r="A3942" s="27">
        <v>46119</v>
      </c>
      <c r="B3942" s="80">
        <v>2026</v>
      </c>
      <c r="C3942" s="80">
        <v>4</v>
      </c>
      <c r="D3942" s="30" t="s">
        <v>45</v>
      </c>
      <c r="E3942" s="30" t="s">
        <v>75</v>
      </c>
      <c r="F3942" s="30" t="s">
        <v>43</v>
      </c>
      <c r="G3942" s="33">
        <v>45.807299999999998</v>
      </c>
      <c r="H3942" s="83" t="s">
        <v>48</v>
      </c>
    </row>
    <row r="3943" spans="1:8" ht="16.5" customHeight="1" x14ac:dyDescent="0.25">
      <c r="A3943" s="27">
        <v>46120</v>
      </c>
      <c r="B3943" s="80">
        <v>2026</v>
      </c>
      <c r="C3943" s="80">
        <v>4</v>
      </c>
      <c r="D3943" s="30" t="s">
        <v>45</v>
      </c>
      <c r="E3943" s="30" t="s">
        <v>38</v>
      </c>
      <c r="F3943" s="30" t="s">
        <v>43</v>
      </c>
      <c r="G3943" s="33">
        <v>2.3460000000000001</v>
      </c>
      <c r="H3943" s="83" t="s">
        <v>88</v>
      </c>
    </row>
    <row r="3944" spans="1:8" ht="16.5" customHeight="1" x14ac:dyDescent="0.25">
      <c r="A3944" s="27">
        <v>46120</v>
      </c>
      <c r="B3944" s="80">
        <v>2026</v>
      </c>
      <c r="C3944" s="80">
        <v>4</v>
      </c>
      <c r="D3944" s="30" t="s">
        <v>45</v>
      </c>
      <c r="E3944" s="30" t="s">
        <v>38</v>
      </c>
      <c r="F3944" s="30" t="s">
        <v>47</v>
      </c>
      <c r="G3944" s="33">
        <v>0.30599999999999999</v>
      </c>
      <c r="H3944" s="83" t="s">
        <v>88</v>
      </c>
    </row>
    <row r="3945" spans="1:8" ht="16.5" customHeight="1" x14ac:dyDescent="0.25">
      <c r="A3945" s="27">
        <v>46120</v>
      </c>
      <c r="B3945" s="80">
        <v>2026</v>
      </c>
      <c r="C3945" s="80">
        <v>4</v>
      </c>
      <c r="D3945" s="30" t="s">
        <v>45</v>
      </c>
      <c r="E3945" s="30" t="s">
        <v>38</v>
      </c>
      <c r="F3945" s="30" t="s">
        <v>58</v>
      </c>
      <c r="G3945" s="33">
        <v>3.0469599999999999</v>
      </c>
      <c r="H3945" s="83" t="s">
        <v>88</v>
      </c>
    </row>
    <row r="3946" spans="1:8" ht="16.5" customHeight="1" x14ac:dyDescent="0.25">
      <c r="A3946" s="27">
        <v>46120</v>
      </c>
      <c r="B3946" s="80">
        <v>2026</v>
      </c>
      <c r="C3946" s="80">
        <v>4</v>
      </c>
      <c r="D3946" s="30" t="s">
        <v>45</v>
      </c>
      <c r="E3946" s="30" t="s">
        <v>42</v>
      </c>
      <c r="F3946" s="30" t="s">
        <v>43</v>
      </c>
      <c r="G3946" s="33">
        <v>5.6108200000000004</v>
      </c>
      <c r="H3946" s="83" t="s">
        <v>88</v>
      </c>
    </row>
    <row r="3947" spans="1:8" ht="16.5" customHeight="1" x14ac:dyDescent="0.25">
      <c r="A3947" s="27">
        <v>46120</v>
      </c>
      <c r="B3947" s="80">
        <v>2026</v>
      </c>
      <c r="C3947" s="80">
        <v>4</v>
      </c>
      <c r="D3947" s="30" t="s">
        <v>45</v>
      </c>
      <c r="E3947" s="30" t="s">
        <v>42</v>
      </c>
      <c r="F3947" s="30" t="s">
        <v>58</v>
      </c>
      <c r="G3947" s="33">
        <v>1.2567299999999999</v>
      </c>
      <c r="H3947" s="83" t="s">
        <v>88</v>
      </c>
    </row>
    <row r="3948" spans="1:8" ht="16.5" customHeight="1" x14ac:dyDescent="0.25">
      <c r="A3948" s="27">
        <v>46120</v>
      </c>
      <c r="B3948" s="80">
        <v>2026</v>
      </c>
      <c r="C3948" s="80">
        <v>4</v>
      </c>
      <c r="D3948" s="30" t="s">
        <v>45</v>
      </c>
      <c r="E3948" s="30" t="s">
        <v>46</v>
      </c>
      <c r="F3948" s="30" t="s">
        <v>43</v>
      </c>
      <c r="G3948" s="33">
        <v>2.5177535999999998</v>
      </c>
      <c r="H3948" s="83" t="s">
        <v>88</v>
      </c>
    </row>
    <row r="3949" spans="1:8" ht="16.5" customHeight="1" x14ac:dyDescent="0.25">
      <c r="A3949" s="27">
        <v>46120</v>
      </c>
      <c r="B3949" s="80">
        <v>2026</v>
      </c>
      <c r="C3949" s="80">
        <v>4</v>
      </c>
      <c r="D3949" s="30" t="s">
        <v>45</v>
      </c>
      <c r="E3949" s="30" t="s">
        <v>46</v>
      </c>
      <c r="F3949" s="30" t="s">
        <v>51</v>
      </c>
      <c r="G3949" s="33">
        <v>0.87687999999999999</v>
      </c>
      <c r="H3949" s="83" t="s">
        <v>88</v>
      </c>
    </row>
    <row r="3950" spans="1:8" ht="16.5" customHeight="1" x14ac:dyDescent="0.25">
      <c r="A3950" s="27">
        <v>46120</v>
      </c>
      <c r="B3950" s="80">
        <v>2026</v>
      </c>
      <c r="C3950" s="80">
        <v>4</v>
      </c>
      <c r="D3950" s="30" t="s">
        <v>45</v>
      </c>
      <c r="E3950" s="30" t="s">
        <v>50</v>
      </c>
      <c r="F3950" s="30" t="s">
        <v>43</v>
      </c>
      <c r="G3950" s="33">
        <v>11.85192808</v>
      </c>
      <c r="H3950" s="83" t="s">
        <v>88</v>
      </c>
    </row>
    <row r="3951" spans="1:8" ht="16.5" customHeight="1" x14ac:dyDescent="0.25">
      <c r="A3951" s="27">
        <v>46120</v>
      </c>
      <c r="B3951" s="80">
        <v>2026</v>
      </c>
      <c r="C3951" s="80">
        <v>4</v>
      </c>
      <c r="D3951" s="30" t="s">
        <v>45</v>
      </c>
      <c r="E3951" s="30" t="s">
        <v>50</v>
      </c>
      <c r="F3951" s="30" t="s">
        <v>47</v>
      </c>
      <c r="G3951" s="33">
        <v>0.64680000000000004</v>
      </c>
      <c r="H3951" s="83" t="s">
        <v>88</v>
      </c>
    </row>
    <row r="3952" spans="1:8" ht="16.5" customHeight="1" x14ac:dyDescent="0.25">
      <c r="A3952" s="27">
        <v>46120</v>
      </c>
      <c r="B3952" s="80">
        <v>2026</v>
      </c>
      <c r="C3952" s="80">
        <v>4</v>
      </c>
      <c r="D3952" s="30" t="s">
        <v>45</v>
      </c>
      <c r="E3952" s="30" t="s">
        <v>54</v>
      </c>
      <c r="F3952" s="30" t="s">
        <v>43</v>
      </c>
      <c r="G3952" s="33">
        <v>4.9412500000000001</v>
      </c>
      <c r="H3952" s="83" t="s">
        <v>88</v>
      </c>
    </row>
    <row r="3953" spans="1:8" ht="16.5" customHeight="1" x14ac:dyDescent="0.25">
      <c r="A3953" s="27">
        <v>46120</v>
      </c>
      <c r="B3953" s="80">
        <v>2026</v>
      </c>
      <c r="C3953" s="80">
        <v>4</v>
      </c>
      <c r="D3953" s="30" t="s">
        <v>45</v>
      </c>
      <c r="E3953" s="30" t="s">
        <v>57</v>
      </c>
      <c r="F3953" s="30" t="s">
        <v>43</v>
      </c>
      <c r="G3953" s="33">
        <v>3.38</v>
      </c>
      <c r="H3953" s="83" t="s">
        <v>89</v>
      </c>
    </row>
    <row r="3954" spans="1:8" ht="16.5" customHeight="1" x14ac:dyDescent="0.25">
      <c r="A3954" s="27">
        <v>46120</v>
      </c>
      <c r="B3954" s="80">
        <v>2026</v>
      </c>
      <c r="C3954" s="80">
        <v>4</v>
      </c>
      <c r="D3954" s="30" t="s">
        <v>45</v>
      </c>
      <c r="E3954" s="30" t="s">
        <v>61</v>
      </c>
      <c r="F3954" s="30" t="s">
        <v>43</v>
      </c>
      <c r="G3954" s="33">
        <v>3.06</v>
      </c>
      <c r="H3954" s="83" t="s">
        <v>89</v>
      </c>
    </row>
    <row r="3955" spans="1:8" ht="16.5" customHeight="1" x14ac:dyDescent="0.25">
      <c r="A3955" s="27">
        <v>46120</v>
      </c>
      <c r="B3955" s="80">
        <v>2026</v>
      </c>
      <c r="C3955" s="80">
        <v>4</v>
      </c>
      <c r="D3955" s="30" t="s">
        <v>45</v>
      </c>
      <c r="E3955" s="30" t="s">
        <v>66</v>
      </c>
      <c r="F3955" s="30" t="s">
        <v>43</v>
      </c>
      <c r="G3955" s="33">
        <v>15.0465</v>
      </c>
      <c r="H3955" s="83" t="s">
        <v>89</v>
      </c>
    </row>
    <row r="3956" spans="1:8" ht="16.5" customHeight="1" x14ac:dyDescent="0.25">
      <c r="A3956" s="27">
        <v>46120</v>
      </c>
      <c r="B3956" s="80">
        <v>2026</v>
      </c>
      <c r="C3956" s="80">
        <v>4</v>
      </c>
      <c r="D3956" s="30" t="s">
        <v>45</v>
      </c>
      <c r="E3956" s="30" t="s">
        <v>68</v>
      </c>
      <c r="F3956" s="30" t="s">
        <v>39</v>
      </c>
      <c r="G3956" s="33">
        <v>1.7517499999999999</v>
      </c>
      <c r="H3956" s="83" t="s">
        <v>89</v>
      </c>
    </row>
    <row r="3957" spans="1:8" ht="16.5" customHeight="1" x14ac:dyDescent="0.25">
      <c r="A3957" s="27">
        <v>46120</v>
      </c>
      <c r="B3957" s="80">
        <v>2026</v>
      </c>
      <c r="C3957" s="80">
        <v>4</v>
      </c>
      <c r="D3957" s="30" t="s">
        <v>45</v>
      </c>
      <c r="E3957" s="30" t="s">
        <v>68</v>
      </c>
      <c r="F3957" s="30" t="s">
        <v>43</v>
      </c>
      <c r="G3957" s="33">
        <v>5.3314599999999999</v>
      </c>
      <c r="H3957" s="83" t="s">
        <v>89</v>
      </c>
    </row>
    <row r="3958" spans="1:8" ht="16.5" customHeight="1" x14ac:dyDescent="0.25">
      <c r="A3958" s="27">
        <v>46120</v>
      </c>
      <c r="B3958" s="80">
        <v>2026</v>
      </c>
      <c r="C3958" s="80">
        <v>4</v>
      </c>
      <c r="D3958" s="30" t="s">
        <v>45</v>
      </c>
      <c r="E3958" s="30" t="s">
        <v>68</v>
      </c>
      <c r="F3958" s="30" t="s">
        <v>47</v>
      </c>
      <c r="G3958" s="33">
        <v>0.08</v>
      </c>
      <c r="H3958" s="83" t="s">
        <v>89</v>
      </c>
    </row>
    <row r="3959" spans="1:8" ht="16.5" customHeight="1" x14ac:dyDescent="0.25">
      <c r="A3959" s="27">
        <v>46120</v>
      </c>
      <c r="B3959" s="80">
        <v>2026</v>
      </c>
      <c r="C3959" s="80">
        <v>4</v>
      </c>
      <c r="D3959" s="30" t="s">
        <v>45</v>
      </c>
      <c r="E3959" s="30" t="s">
        <v>71</v>
      </c>
      <c r="F3959" s="30" t="s">
        <v>43</v>
      </c>
      <c r="G3959" s="33">
        <v>5.7824999999999998</v>
      </c>
      <c r="H3959" s="83" t="s">
        <v>89</v>
      </c>
    </row>
    <row r="3960" spans="1:8" ht="16.5" customHeight="1" x14ac:dyDescent="0.25">
      <c r="A3960" s="27">
        <v>46121</v>
      </c>
      <c r="B3960" s="80">
        <v>2026</v>
      </c>
      <c r="C3960" s="80">
        <v>4</v>
      </c>
      <c r="D3960" s="30" t="s">
        <v>45</v>
      </c>
      <c r="E3960" s="30" t="s">
        <v>38</v>
      </c>
      <c r="F3960" s="30" t="s">
        <v>43</v>
      </c>
      <c r="G3960" s="33">
        <v>17.24925</v>
      </c>
      <c r="H3960" s="83" t="s">
        <v>88</v>
      </c>
    </row>
    <row r="3961" spans="1:8" ht="16.5" customHeight="1" x14ac:dyDescent="0.25">
      <c r="A3961" s="27">
        <v>46121</v>
      </c>
      <c r="B3961" s="80">
        <v>2026</v>
      </c>
      <c r="C3961" s="80">
        <v>4</v>
      </c>
      <c r="D3961" s="30" t="s">
        <v>45</v>
      </c>
      <c r="E3961" s="30" t="s">
        <v>38</v>
      </c>
      <c r="F3961" s="30" t="s">
        <v>47</v>
      </c>
      <c r="G3961" s="33">
        <v>0.4</v>
      </c>
      <c r="H3961" s="83" t="s">
        <v>88</v>
      </c>
    </row>
    <row r="3962" spans="1:8" ht="16.5" customHeight="1" x14ac:dyDescent="0.25">
      <c r="A3962" s="27">
        <v>46121</v>
      </c>
      <c r="B3962" s="80">
        <v>2026</v>
      </c>
      <c r="C3962" s="80">
        <v>4</v>
      </c>
      <c r="D3962" s="30" t="s">
        <v>45</v>
      </c>
      <c r="E3962" s="30" t="s">
        <v>42</v>
      </c>
      <c r="F3962" s="30" t="s">
        <v>43</v>
      </c>
      <c r="G3962" s="33">
        <v>1.1559999999999999</v>
      </c>
      <c r="H3962" s="83" t="s">
        <v>88</v>
      </c>
    </row>
    <row r="3963" spans="1:8" ht="16.5" customHeight="1" x14ac:dyDescent="0.25">
      <c r="A3963" s="27">
        <v>46121</v>
      </c>
      <c r="B3963" s="80">
        <v>2026</v>
      </c>
      <c r="C3963" s="80">
        <v>4</v>
      </c>
      <c r="D3963" s="30" t="s">
        <v>45</v>
      </c>
      <c r="E3963" s="30" t="s">
        <v>46</v>
      </c>
      <c r="F3963" s="30" t="s">
        <v>43</v>
      </c>
      <c r="G3963" s="33">
        <v>0.38630399999999998</v>
      </c>
      <c r="H3963" s="83" t="s">
        <v>88</v>
      </c>
    </row>
    <row r="3964" spans="1:8" ht="16.5" customHeight="1" x14ac:dyDescent="0.25">
      <c r="A3964" s="27">
        <v>46121</v>
      </c>
      <c r="B3964" s="80">
        <v>2026</v>
      </c>
      <c r="C3964" s="80">
        <v>4</v>
      </c>
      <c r="D3964" s="30" t="s">
        <v>45</v>
      </c>
      <c r="E3964" s="30" t="s">
        <v>46</v>
      </c>
      <c r="F3964" s="30" t="s">
        <v>58</v>
      </c>
      <c r="G3964" s="33">
        <v>0.44263999999999998</v>
      </c>
      <c r="H3964" s="83" t="s">
        <v>88</v>
      </c>
    </row>
    <row r="3965" spans="1:8" ht="16.5" customHeight="1" x14ac:dyDescent="0.25">
      <c r="A3965" s="27">
        <v>46121</v>
      </c>
      <c r="B3965" s="80">
        <v>2026</v>
      </c>
      <c r="C3965" s="80">
        <v>4</v>
      </c>
      <c r="D3965" s="30" t="s">
        <v>45</v>
      </c>
      <c r="E3965" s="30" t="s">
        <v>50</v>
      </c>
      <c r="F3965" s="30" t="s">
        <v>43</v>
      </c>
      <c r="G3965" s="33">
        <v>244.93235189999999</v>
      </c>
      <c r="H3965" s="83" t="s">
        <v>88</v>
      </c>
    </row>
    <row r="3966" spans="1:8" ht="16.5" customHeight="1" x14ac:dyDescent="0.25">
      <c r="A3966" s="27">
        <v>46121</v>
      </c>
      <c r="B3966" s="80">
        <v>2026</v>
      </c>
      <c r="C3966" s="80">
        <v>4</v>
      </c>
      <c r="D3966" s="30" t="s">
        <v>45</v>
      </c>
      <c r="E3966" s="30" t="s">
        <v>50</v>
      </c>
      <c r="F3966" s="30" t="s">
        <v>47</v>
      </c>
      <c r="G3966" s="33">
        <v>4.9686000000000003</v>
      </c>
      <c r="H3966" s="83" t="s">
        <v>88</v>
      </c>
    </row>
    <row r="3967" spans="1:8" ht="16.5" customHeight="1" x14ac:dyDescent="0.25">
      <c r="A3967" s="27">
        <v>46121</v>
      </c>
      <c r="B3967" s="80">
        <v>2026</v>
      </c>
      <c r="C3967" s="80">
        <v>4</v>
      </c>
      <c r="D3967" s="30" t="s">
        <v>45</v>
      </c>
      <c r="E3967" s="30" t="s">
        <v>54</v>
      </c>
      <c r="F3967" s="30" t="s">
        <v>43</v>
      </c>
      <c r="G3967" s="33">
        <v>7.3787500000000001</v>
      </c>
      <c r="H3967" s="83" t="s">
        <v>88</v>
      </c>
    </row>
    <row r="3968" spans="1:8" ht="16.5" customHeight="1" x14ac:dyDescent="0.25">
      <c r="A3968" s="27">
        <v>46121</v>
      </c>
      <c r="B3968" s="80">
        <v>2026</v>
      </c>
      <c r="C3968" s="80">
        <v>4</v>
      </c>
      <c r="D3968" s="30" t="s">
        <v>45</v>
      </c>
      <c r="E3968" s="30" t="s">
        <v>54</v>
      </c>
      <c r="F3968" s="30" t="s">
        <v>47</v>
      </c>
      <c r="G3968" s="33">
        <v>-0.51</v>
      </c>
      <c r="H3968" s="83" t="s">
        <v>88</v>
      </c>
    </row>
    <row r="3969" spans="1:8" ht="16.5" customHeight="1" x14ac:dyDescent="0.25">
      <c r="A3969" s="27">
        <v>46121</v>
      </c>
      <c r="B3969" s="80">
        <v>2026</v>
      </c>
      <c r="C3969" s="80">
        <v>4</v>
      </c>
      <c r="D3969" s="30" t="s">
        <v>45</v>
      </c>
      <c r="E3969" s="30" t="s">
        <v>61</v>
      </c>
      <c r="F3969" s="30" t="s">
        <v>43</v>
      </c>
      <c r="G3969" s="33">
        <v>3.34</v>
      </c>
      <c r="H3969" s="83" t="s">
        <v>89</v>
      </c>
    </row>
    <row r="3970" spans="1:8" ht="16.5" customHeight="1" x14ac:dyDescent="0.25">
      <c r="A3970" s="27">
        <v>46121</v>
      </c>
      <c r="B3970" s="80">
        <v>2026</v>
      </c>
      <c r="C3970" s="80">
        <v>4</v>
      </c>
      <c r="D3970" s="30" t="s">
        <v>45</v>
      </c>
      <c r="E3970" s="30" t="s">
        <v>66</v>
      </c>
      <c r="F3970" s="30" t="s">
        <v>43</v>
      </c>
      <c r="G3970" s="33">
        <v>7.5425000000000004</v>
      </c>
      <c r="H3970" s="83" t="s">
        <v>89</v>
      </c>
    </row>
    <row r="3971" spans="1:8" ht="16.5" customHeight="1" x14ac:dyDescent="0.25">
      <c r="A3971" s="27">
        <v>46121</v>
      </c>
      <c r="B3971" s="80">
        <v>2026</v>
      </c>
      <c r="C3971" s="80">
        <v>4</v>
      </c>
      <c r="D3971" s="30" t="s">
        <v>45</v>
      </c>
      <c r="E3971" s="30" t="s">
        <v>68</v>
      </c>
      <c r="F3971" s="30" t="s">
        <v>43</v>
      </c>
      <c r="G3971" s="33">
        <v>0.42</v>
      </c>
      <c r="H3971" s="83" t="s">
        <v>89</v>
      </c>
    </row>
    <row r="3972" spans="1:8" ht="16.5" customHeight="1" x14ac:dyDescent="0.25">
      <c r="A3972" s="27">
        <v>46121</v>
      </c>
      <c r="B3972" s="80">
        <v>2026</v>
      </c>
      <c r="C3972" s="80">
        <v>4</v>
      </c>
      <c r="D3972" s="30" t="s">
        <v>45</v>
      </c>
      <c r="E3972" s="30" t="s">
        <v>68</v>
      </c>
      <c r="F3972" s="30" t="s">
        <v>51</v>
      </c>
      <c r="G3972" s="33">
        <v>2.3946000000000001</v>
      </c>
      <c r="H3972" s="83" t="s">
        <v>89</v>
      </c>
    </row>
    <row r="3973" spans="1:8" ht="16.5" customHeight="1" x14ac:dyDescent="0.25">
      <c r="A3973" s="27">
        <v>46121</v>
      </c>
      <c r="B3973" s="80">
        <v>2026</v>
      </c>
      <c r="C3973" s="80">
        <v>4</v>
      </c>
      <c r="D3973" s="30" t="s">
        <v>45</v>
      </c>
      <c r="E3973" s="30" t="s">
        <v>71</v>
      </c>
      <c r="F3973" s="30" t="s">
        <v>43</v>
      </c>
      <c r="G3973" s="33">
        <v>14.2149</v>
      </c>
      <c r="H3973" s="83" t="s">
        <v>89</v>
      </c>
    </row>
    <row r="3974" spans="1:8" ht="16.5" customHeight="1" x14ac:dyDescent="0.25">
      <c r="A3974" s="27">
        <v>46121</v>
      </c>
      <c r="B3974" s="80">
        <v>2026</v>
      </c>
      <c r="C3974" s="80">
        <v>4</v>
      </c>
      <c r="D3974" s="30" t="s">
        <v>45</v>
      </c>
      <c r="E3974" s="30" t="s">
        <v>75</v>
      </c>
      <c r="F3974" s="30" t="s">
        <v>43</v>
      </c>
      <c r="G3974" s="33">
        <v>8.2410999999999994</v>
      </c>
      <c r="H3974" s="83" t="s">
        <v>48</v>
      </c>
    </row>
    <row r="3975" spans="1:8" ht="16.5" customHeight="1" x14ac:dyDescent="0.25">
      <c r="A3975" s="27">
        <v>46122</v>
      </c>
      <c r="B3975" s="80">
        <v>2026</v>
      </c>
      <c r="C3975" s="80">
        <v>4</v>
      </c>
      <c r="D3975" s="30" t="s">
        <v>45</v>
      </c>
      <c r="E3975" s="30" t="s">
        <v>38</v>
      </c>
      <c r="F3975" s="30" t="s">
        <v>43</v>
      </c>
      <c r="G3975" s="33">
        <v>8.0522279999999995</v>
      </c>
      <c r="H3975" s="83" t="s">
        <v>88</v>
      </c>
    </row>
    <row r="3976" spans="1:8" ht="16.5" customHeight="1" x14ac:dyDescent="0.25">
      <c r="A3976" s="27">
        <v>46122</v>
      </c>
      <c r="B3976" s="80">
        <v>2026</v>
      </c>
      <c r="C3976" s="80">
        <v>4</v>
      </c>
      <c r="D3976" s="30" t="s">
        <v>45</v>
      </c>
      <c r="E3976" s="30" t="s">
        <v>38</v>
      </c>
      <c r="F3976" s="30" t="s">
        <v>47</v>
      </c>
      <c r="G3976" s="33">
        <v>0.15</v>
      </c>
      <c r="H3976" s="83" t="s">
        <v>88</v>
      </c>
    </row>
    <row r="3977" spans="1:8" ht="16.5" customHeight="1" x14ac:dyDescent="0.25">
      <c r="A3977" s="27">
        <v>46122</v>
      </c>
      <c r="B3977" s="80">
        <v>2026</v>
      </c>
      <c r="C3977" s="80">
        <v>4</v>
      </c>
      <c r="D3977" s="30" t="s">
        <v>45</v>
      </c>
      <c r="E3977" s="30" t="s">
        <v>38</v>
      </c>
      <c r="F3977" s="30" t="s">
        <v>58</v>
      </c>
      <c r="G3977" s="33">
        <v>0.33821760000000001</v>
      </c>
      <c r="H3977" s="83" t="s">
        <v>88</v>
      </c>
    </row>
    <row r="3978" spans="1:8" ht="16.5" customHeight="1" x14ac:dyDescent="0.25">
      <c r="A3978" s="27">
        <v>46122</v>
      </c>
      <c r="B3978" s="80">
        <v>2026</v>
      </c>
      <c r="C3978" s="80">
        <v>4</v>
      </c>
      <c r="D3978" s="30" t="s">
        <v>45</v>
      </c>
      <c r="E3978" s="30" t="s">
        <v>42</v>
      </c>
      <c r="F3978" s="30" t="s">
        <v>43</v>
      </c>
      <c r="G3978" s="33">
        <v>6.3039399999999999</v>
      </c>
      <c r="H3978" s="83" t="s">
        <v>88</v>
      </c>
    </row>
    <row r="3979" spans="1:8" ht="16.5" customHeight="1" x14ac:dyDescent="0.25">
      <c r="A3979" s="27">
        <v>46122</v>
      </c>
      <c r="B3979" s="80">
        <v>2026</v>
      </c>
      <c r="C3979" s="80">
        <v>4</v>
      </c>
      <c r="D3979" s="30" t="s">
        <v>45</v>
      </c>
      <c r="E3979" s="30" t="s">
        <v>46</v>
      </c>
      <c r="F3979" s="30" t="s">
        <v>43</v>
      </c>
      <c r="G3979" s="33">
        <v>2.4574543000000002</v>
      </c>
      <c r="H3979" s="83" t="s">
        <v>88</v>
      </c>
    </row>
    <row r="3980" spans="1:8" ht="16.5" customHeight="1" x14ac:dyDescent="0.25">
      <c r="A3980" s="27">
        <v>46122</v>
      </c>
      <c r="B3980" s="80">
        <v>2026</v>
      </c>
      <c r="C3980" s="80">
        <v>4</v>
      </c>
      <c r="D3980" s="30" t="s">
        <v>45</v>
      </c>
      <c r="E3980" s="30" t="s">
        <v>46</v>
      </c>
      <c r="F3980" s="30" t="s">
        <v>47</v>
      </c>
      <c r="G3980" s="33">
        <v>0.150395</v>
      </c>
      <c r="H3980" s="83" t="s">
        <v>88</v>
      </c>
    </row>
    <row r="3981" spans="1:8" ht="16.5" customHeight="1" x14ac:dyDescent="0.25">
      <c r="A3981" s="27">
        <v>46122</v>
      </c>
      <c r="B3981" s="80">
        <v>2026</v>
      </c>
      <c r="C3981" s="80">
        <v>4</v>
      </c>
      <c r="D3981" s="30" t="s">
        <v>45</v>
      </c>
      <c r="E3981" s="30" t="s">
        <v>50</v>
      </c>
      <c r="F3981" s="30" t="s">
        <v>47</v>
      </c>
      <c r="G3981" s="33">
        <v>0.53866800000000004</v>
      </c>
      <c r="H3981" s="83" t="s">
        <v>88</v>
      </c>
    </row>
    <row r="3982" spans="1:8" ht="16.5" customHeight="1" x14ac:dyDescent="0.25">
      <c r="A3982" s="27">
        <v>46122</v>
      </c>
      <c r="B3982" s="80">
        <v>2026</v>
      </c>
      <c r="C3982" s="80">
        <v>4</v>
      </c>
      <c r="D3982" s="30" t="s">
        <v>45</v>
      </c>
      <c r="E3982" s="30" t="s">
        <v>50</v>
      </c>
      <c r="F3982" s="30" t="s">
        <v>58</v>
      </c>
      <c r="G3982" s="33">
        <v>0.45772415</v>
      </c>
      <c r="H3982" s="83" t="s">
        <v>88</v>
      </c>
    </row>
    <row r="3983" spans="1:8" ht="16.5" customHeight="1" x14ac:dyDescent="0.25">
      <c r="A3983" s="27">
        <v>46122</v>
      </c>
      <c r="B3983" s="80">
        <v>2026</v>
      </c>
      <c r="C3983" s="80">
        <v>4</v>
      </c>
      <c r="D3983" s="30" t="s">
        <v>45</v>
      </c>
      <c r="E3983" s="30" t="s">
        <v>54</v>
      </c>
      <c r="F3983" s="30" t="s">
        <v>43</v>
      </c>
      <c r="G3983" s="33">
        <v>11.462149999999999</v>
      </c>
      <c r="H3983" s="83" t="s">
        <v>88</v>
      </c>
    </row>
    <row r="3984" spans="1:8" ht="16.5" customHeight="1" x14ac:dyDescent="0.25">
      <c r="A3984" s="27">
        <v>46122</v>
      </c>
      <c r="B3984" s="80">
        <v>2026</v>
      </c>
      <c r="C3984" s="80">
        <v>4</v>
      </c>
      <c r="D3984" s="30" t="s">
        <v>45</v>
      </c>
      <c r="E3984" s="30" t="s">
        <v>54</v>
      </c>
      <c r="F3984" s="30" t="s">
        <v>47</v>
      </c>
      <c r="G3984" s="33">
        <v>0.13536000000000001</v>
      </c>
      <c r="H3984" s="83" t="s">
        <v>88</v>
      </c>
    </row>
    <row r="3985" spans="1:8" ht="16.5" customHeight="1" x14ac:dyDescent="0.25">
      <c r="A3985" s="27">
        <v>46122</v>
      </c>
      <c r="B3985" s="80">
        <v>2026</v>
      </c>
      <c r="C3985" s="80">
        <v>4</v>
      </c>
      <c r="D3985" s="30" t="s">
        <v>45</v>
      </c>
      <c r="E3985" s="30" t="s">
        <v>54</v>
      </c>
      <c r="F3985" s="30" t="s">
        <v>55</v>
      </c>
      <c r="G3985" s="33">
        <v>0.33</v>
      </c>
      <c r="H3985" s="83" t="s">
        <v>88</v>
      </c>
    </row>
    <row r="3986" spans="1:8" ht="16.5" customHeight="1" x14ac:dyDescent="0.25">
      <c r="A3986" s="27">
        <v>46122</v>
      </c>
      <c r="B3986" s="80">
        <v>2026</v>
      </c>
      <c r="C3986" s="80">
        <v>4</v>
      </c>
      <c r="D3986" s="30" t="s">
        <v>45</v>
      </c>
      <c r="E3986" s="30" t="s">
        <v>57</v>
      </c>
      <c r="F3986" s="30" t="s">
        <v>43</v>
      </c>
      <c r="G3986" s="33">
        <v>22.2849</v>
      </c>
      <c r="H3986" s="83" t="s">
        <v>89</v>
      </c>
    </row>
    <row r="3987" spans="1:8" ht="16.5" customHeight="1" x14ac:dyDescent="0.25">
      <c r="A3987" s="27">
        <v>46122</v>
      </c>
      <c r="B3987" s="80">
        <v>2026</v>
      </c>
      <c r="C3987" s="80">
        <v>4</v>
      </c>
      <c r="D3987" s="30" t="s">
        <v>45</v>
      </c>
      <c r="E3987" s="30" t="s">
        <v>66</v>
      </c>
      <c r="F3987" s="30" t="s">
        <v>43</v>
      </c>
      <c r="G3987" s="33">
        <v>0.42</v>
      </c>
      <c r="H3987" s="83" t="s">
        <v>89</v>
      </c>
    </row>
    <row r="3988" spans="1:8" ht="16.5" customHeight="1" x14ac:dyDescent="0.25">
      <c r="A3988" s="27">
        <v>46122</v>
      </c>
      <c r="B3988" s="80">
        <v>2026</v>
      </c>
      <c r="C3988" s="80">
        <v>4</v>
      </c>
      <c r="D3988" s="30" t="s">
        <v>45</v>
      </c>
      <c r="E3988" s="30" t="s">
        <v>66</v>
      </c>
      <c r="F3988" s="30" t="s">
        <v>55</v>
      </c>
      <c r="G3988" s="33">
        <v>6.9726999999999997</v>
      </c>
      <c r="H3988" s="83" t="s">
        <v>89</v>
      </c>
    </row>
    <row r="3989" spans="1:8" ht="16.5" customHeight="1" x14ac:dyDescent="0.25">
      <c r="A3989" s="27">
        <v>46122</v>
      </c>
      <c r="B3989" s="80">
        <v>2026</v>
      </c>
      <c r="C3989" s="80">
        <v>4</v>
      </c>
      <c r="D3989" s="30" t="s">
        <v>45</v>
      </c>
      <c r="E3989" s="30" t="s">
        <v>75</v>
      </c>
      <c r="F3989" s="30" t="s">
        <v>43</v>
      </c>
      <c r="G3989" s="33">
        <v>1.1029949999999999</v>
      </c>
      <c r="H3989" s="83" t="s">
        <v>48</v>
      </c>
    </row>
    <row r="3990" spans="1:8" ht="16.5" customHeight="1" x14ac:dyDescent="0.25">
      <c r="A3990" s="27">
        <v>46122</v>
      </c>
      <c r="B3990" s="80">
        <v>2026</v>
      </c>
      <c r="C3990" s="80">
        <v>4</v>
      </c>
      <c r="D3990" s="30" t="s">
        <v>45</v>
      </c>
      <c r="E3990" s="30" t="s">
        <v>76</v>
      </c>
      <c r="F3990" s="30" t="s">
        <v>39</v>
      </c>
      <c r="G3990" s="33">
        <v>65.933999999999997</v>
      </c>
      <c r="H3990" s="83" t="s">
        <v>48</v>
      </c>
    </row>
    <row r="3991" spans="1:8" ht="16.5" customHeight="1" x14ac:dyDescent="0.25">
      <c r="A3991" s="27">
        <v>46125</v>
      </c>
      <c r="B3991" s="80">
        <v>2026</v>
      </c>
      <c r="C3991" s="80">
        <v>4</v>
      </c>
      <c r="D3991" s="30" t="s">
        <v>45</v>
      </c>
      <c r="E3991" s="30" t="s">
        <v>38</v>
      </c>
      <c r="F3991" s="30" t="s">
        <v>43</v>
      </c>
      <c r="G3991" s="33">
        <v>8.9024999999999999</v>
      </c>
      <c r="H3991" s="83" t="s">
        <v>88</v>
      </c>
    </row>
    <row r="3992" spans="1:8" ht="16.5" customHeight="1" x14ac:dyDescent="0.25">
      <c r="A3992" s="27">
        <v>46125</v>
      </c>
      <c r="B3992" s="80">
        <v>2026</v>
      </c>
      <c r="C3992" s="80">
        <v>4</v>
      </c>
      <c r="D3992" s="30" t="s">
        <v>45</v>
      </c>
      <c r="E3992" s="30" t="s">
        <v>46</v>
      </c>
      <c r="F3992" s="30" t="s">
        <v>43</v>
      </c>
      <c r="G3992" s="33">
        <v>1.213436</v>
      </c>
      <c r="H3992" s="83" t="s">
        <v>88</v>
      </c>
    </row>
    <row r="3993" spans="1:8" ht="16.5" customHeight="1" x14ac:dyDescent="0.25">
      <c r="A3993" s="27">
        <v>46125</v>
      </c>
      <c r="B3993" s="80">
        <v>2026</v>
      </c>
      <c r="C3993" s="80">
        <v>4</v>
      </c>
      <c r="D3993" s="30" t="s">
        <v>45</v>
      </c>
      <c r="E3993" s="30" t="s">
        <v>50</v>
      </c>
      <c r="F3993" s="30" t="s">
        <v>39</v>
      </c>
      <c r="G3993" s="33">
        <v>4.7403765</v>
      </c>
      <c r="H3993" s="83" t="s">
        <v>88</v>
      </c>
    </row>
    <row r="3994" spans="1:8" ht="16.5" customHeight="1" x14ac:dyDescent="0.25">
      <c r="A3994" s="27">
        <v>46125</v>
      </c>
      <c r="B3994" s="80">
        <v>2026</v>
      </c>
      <c r="C3994" s="80">
        <v>4</v>
      </c>
      <c r="D3994" s="30" t="s">
        <v>45</v>
      </c>
      <c r="E3994" s="30" t="s">
        <v>50</v>
      </c>
      <c r="F3994" s="30" t="s">
        <v>43</v>
      </c>
      <c r="G3994" s="33">
        <v>9.7496408999999993</v>
      </c>
      <c r="H3994" s="83" t="s">
        <v>88</v>
      </c>
    </row>
    <row r="3995" spans="1:8" ht="16.5" customHeight="1" x14ac:dyDescent="0.25">
      <c r="A3995" s="27">
        <v>46125</v>
      </c>
      <c r="B3995" s="80">
        <v>2026</v>
      </c>
      <c r="C3995" s="80">
        <v>4</v>
      </c>
      <c r="D3995" s="30" t="s">
        <v>45</v>
      </c>
      <c r="E3995" s="30" t="s">
        <v>50</v>
      </c>
      <c r="F3995" s="30" t="s">
        <v>47</v>
      </c>
      <c r="G3995" s="33">
        <v>0.26091599999999998</v>
      </c>
      <c r="H3995" s="83" t="s">
        <v>88</v>
      </c>
    </row>
    <row r="3996" spans="1:8" ht="16.5" customHeight="1" x14ac:dyDescent="0.25">
      <c r="A3996" s="27">
        <v>46125</v>
      </c>
      <c r="B3996" s="80">
        <v>2026</v>
      </c>
      <c r="C3996" s="80">
        <v>4</v>
      </c>
      <c r="D3996" s="30" t="s">
        <v>45</v>
      </c>
      <c r="E3996" s="30" t="s">
        <v>50</v>
      </c>
      <c r="F3996" s="30" t="s">
        <v>55</v>
      </c>
      <c r="G3996" s="33">
        <v>6.6459099999999998</v>
      </c>
      <c r="H3996" s="83" t="s">
        <v>88</v>
      </c>
    </row>
    <row r="3997" spans="1:8" ht="16.5" customHeight="1" x14ac:dyDescent="0.25">
      <c r="A3997" s="27">
        <v>46125</v>
      </c>
      <c r="B3997" s="80">
        <v>2026</v>
      </c>
      <c r="C3997" s="80">
        <v>4</v>
      </c>
      <c r="D3997" s="30" t="s">
        <v>45</v>
      </c>
      <c r="E3997" s="30" t="s">
        <v>50</v>
      </c>
      <c r="F3997" s="30" t="s">
        <v>58</v>
      </c>
      <c r="G3997" s="33">
        <v>4.4343918379999998</v>
      </c>
      <c r="H3997" s="83" t="s">
        <v>88</v>
      </c>
    </row>
    <row r="3998" spans="1:8" ht="16.5" customHeight="1" x14ac:dyDescent="0.25">
      <c r="A3998" s="27">
        <v>46125</v>
      </c>
      <c r="B3998" s="80">
        <v>2026</v>
      </c>
      <c r="C3998" s="80">
        <v>4</v>
      </c>
      <c r="D3998" s="30" t="s">
        <v>45</v>
      </c>
      <c r="E3998" s="30" t="s">
        <v>57</v>
      </c>
      <c r="F3998" s="30" t="s">
        <v>39</v>
      </c>
      <c r="G3998" s="33">
        <v>8.76</v>
      </c>
      <c r="H3998" s="83" t="s">
        <v>89</v>
      </c>
    </row>
    <row r="3999" spans="1:8" ht="16.5" customHeight="1" x14ac:dyDescent="0.25">
      <c r="A3999" s="27">
        <v>46125</v>
      </c>
      <c r="B3999" s="80">
        <v>2026</v>
      </c>
      <c r="C3999" s="80">
        <v>4</v>
      </c>
      <c r="D3999" s="30" t="s">
        <v>45</v>
      </c>
      <c r="E3999" s="30" t="s">
        <v>66</v>
      </c>
      <c r="F3999" s="30" t="s">
        <v>43</v>
      </c>
      <c r="G3999" s="33">
        <v>25.182500000000001</v>
      </c>
      <c r="H3999" s="83" t="s">
        <v>89</v>
      </c>
    </row>
    <row r="4000" spans="1:8" ht="16.5" customHeight="1" x14ac:dyDescent="0.25">
      <c r="A4000" s="27">
        <v>46125</v>
      </c>
      <c r="B4000" s="80">
        <v>2026</v>
      </c>
      <c r="C4000" s="80">
        <v>4</v>
      </c>
      <c r="D4000" s="30" t="s">
        <v>45</v>
      </c>
      <c r="E4000" s="30" t="s">
        <v>68</v>
      </c>
      <c r="F4000" s="30" t="s">
        <v>43</v>
      </c>
      <c r="G4000" s="33">
        <v>0.7</v>
      </c>
      <c r="H4000" s="83" t="s">
        <v>89</v>
      </c>
    </row>
    <row r="4001" spans="1:8" ht="16.5" customHeight="1" x14ac:dyDescent="0.25">
      <c r="A4001" s="27">
        <v>46125</v>
      </c>
      <c r="B4001" s="80">
        <v>2026</v>
      </c>
      <c r="C4001" s="80">
        <v>4</v>
      </c>
      <c r="D4001" s="30" t="s">
        <v>45</v>
      </c>
      <c r="E4001" s="30" t="s">
        <v>71</v>
      </c>
      <c r="F4001" s="30" t="s">
        <v>43</v>
      </c>
      <c r="G4001" s="33">
        <v>6.9779999999999998</v>
      </c>
      <c r="H4001" s="83" t="s">
        <v>89</v>
      </c>
    </row>
    <row r="4002" spans="1:8" ht="16.5" customHeight="1" x14ac:dyDescent="0.25">
      <c r="A4002" s="27">
        <v>46126</v>
      </c>
      <c r="B4002" s="80">
        <v>2026</v>
      </c>
      <c r="C4002" s="80">
        <v>4</v>
      </c>
      <c r="D4002" s="30" t="s">
        <v>45</v>
      </c>
      <c r="E4002" s="30" t="s">
        <v>38</v>
      </c>
      <c r="F4002" s="30" t="s">
        <v>43</v>
      </c>
      <c r="G4002" s="33">
        <v>6.6665000000000001</v>
      </c>
      <c r="H4002" s="83" t="s">
        <v>88</v>
      </c>
    </row>
    <row r="4003" spans="1:8" ht="16.5" customHeight="1" x14ac:dyDescent="0.25">
      <c r="A4003" s="27">
        <v>46126</v>
      </c>
      <c r="B4003" s="80">
        <v>2026</v>
      </c>
      <c r="C4003" s="80">
        <v>4</v>
      </c>
      <c r="D4003" s="30" t="s">
        <v>45</v>
      </c>
      <c r="E4003" s="30" t="s">
        <v>42</v>
      </c>
      <c r="F4003" s="30" t="s">
        <v>43</v>
      </c>
      <c r="G4003" s="33">
        <v>1.9696</v>
      </c>
      <c r="H4003" s="83" t="s">
        <v>88</v>
      </c>
    </row>
    <row r="4004" spans="1:8" ht="16.5" customHeight="1" x14ac:dyDescent="0.25">
      <c r="A4004" s="27">
        <v>46126</v>
      </c>
      <c r="B4004" s="80">
        <v>2026</v>
      </c>
      <c r="C4004" s="80">
        <v>4</v>
      </c>
      <c r="D4004" s="30" t="s">
        <v>45</v>
      </c>
      <c r="E4004" s="30" t="s">
        <v>46</v>
      </c>
      <c r="F4004" s="30" t="s">
        <v>43</v>
      </c>
      <c r="G4004" s="33">
        <v>1.4134981499999999</v>
      </c>
      <c r="H4004" s="83" t="s">
        <v>88</v>
      </c>
    </row>
    <row r="4005" spans="1:8" ht="16.5" customHeight="1" x14ac:dyDescent="0.25">
      <c r="A4005" s="27">
        <v>46126</v>
      </c>
      <c r="B4005" s="80">
        <v>2026</v>
      </c>
      <c r="C4005" s="80">
        <v>4</v>
      </c>
      <c r="D4005" s="30" t="s">
        <v>45</v>
      </c>
      <c r="E4005" s="30" t="s">
        <v>46</v>
      </c>
      <c r="F4005" s="30" t="s">
        <v>47</v>
      </c>
      <c r="G4005" s="33">
        <v>0.150395</v>
      </c>
      <c r="H4005" s="83" t="s">
        <v>88</v>
      </c>
    </row>
    <row r="4006" spans="1:8" ht="16.5" customHeight="1" x14ac:dyDescent="0.25">
      <c r="A4006" s="27">
        <v>46126</v>
      </c>
      <c r="B4006" s="80">
        <v>2026</v>
      </c>
      <c r="C4006" s="80">
        <v>4</v>
      </c>
      <c r="D4006" s="30" t="s">
        <v>45</v>
      </c>
      <c r="E4006" s="30" t="s">
        <v>46</v>
      </c>
      <c r="F4006" s="30" t="s">
        <v>58</v>
      </c>
      <c r="G4006" s="33">
        <v>0.333581552</v>
      </c>
      <c r="H4006" s="83" t="s">
        <v>88</v>
      </c>
    </row>
    <row r="4007" spans="1:8" ht="16.5" customHeight="1" x14ac:dyDescent="0.25">
      <c r="A4007" s="27">
        <v>46126</v>
      </c>
      <c r="B4007" s="80">
        <v>2026</v>
      </c>
      <c r="C4007" s="80">
        <v>4</v>
      </c>
      <c r="D4007" s="30" t="s">
        <v>45</v>
      </c>
      <c r="E4007" s="30" t="s">
        <v>50</v>
      </c>
      <c r="F4007" s="30" t="s">
        <v>43</v>
      </c>
      <c r="G4007" s="33">
        <v>178.70913340000001</v>
      </c>
      <c r="H4007" s="83" t="s">
        <v>88</v>
      </c>
    </row>
    <row r="4008" spans="1:8" ht="16.5" customHeight="1" x14ac:dyDescent="0.25">
      <c r="A4008" s="27">
        <v>46126</v>
      </c>
      <c r="B4008" s="80">
        <v>2026</v>
      </c>
      <c r="C4008" s="80">
        <v>4</v>
      </c>
      <c r="D4008" s="30" t="s">
        <v>45</v>
      </c>
      <c r="E4008" s="30" t="s">
        <v>50</v>
      </c>
      <c r="F4008" s="30" t="s">
        <v>47</v>
      </c>
      <c r="G4008" s="33">
        <v>7.9968000000000004</v>
      </c>
      <c r="H4008" s="83" t="s">
        <v>88</v>
      </c>
    </row>
    <row r="4009" spans="1:8" ht="16.5" customHeight="1" x14ac:dyDescent="0.25">
      <c r="A4009" s="27">
        <v>46126</v>
      </c>
      <c r="B4009" s="80">
        <v>2026</v>
      </c>
      <c r="C4009" s="80">
        <v>4</v>
      </c>
      <c r="D4009" s="30" t="s">
        <v>45</v>
      </c>
      <c r="E4009" s="30" t="s">
        <v>54</v>
      </c>
      <c r="F4009" s="30" t="s">
        <v>43</v>
      </c>
      <c r="G4009" s="33">
        <v>0.755</v>
      </c>
      <c r="H4009" s="83" t="s">
        <v>88</v>
      </c>
    </row>
    <row r="4010" spans="1:8" ht="16.5" customHeight="1" x14ac:dyDescent="0.25">
      <c r="A4010" s="27">
        <v>46126</v>
      </c>
      <c r="B4010" s="80">
        <v>2026</v>
      </c>
      <c r="C4010" s="80">
        <v>4</v>
      </c>
      <c r="D4010" s="30" t="s">
        <v>45</v>
      </c>
      <c r="E4010" s="30" t="s">
        <v>64</v>
      </c>
      <c r="F4010" s="30" t="s">
        <v>43</v>
      </c>
      <c r="G4010" s="33">
        <v>9.8307199999999995</v>
      </c>
      <c r="H4010" s="83" t="s">
        <v>89</v>
      </c>
    </row>
    <row r="4011" spans="1:8" ht="16.5" customHeight="1" x14ac:dyDescent="0.25">
      <c r="A4011" s="27">
        <v>46126</v>
      </c>
      <c r="B4011" s="80">
        <v>2026</v>
      </c>
      <c r="C4011" s="80">
        <v>4</v>
      </c>
      <c r="D4011" s="30" t="s">
        <v>45</v>
      </c>
      <c r="E4011" s="30" t="s">
        <v>66</v>
      </c>
      <c r="F4011" s="30" t="s">
        <v>43</v>
      </c>
      <c r="G4011" s="33">
        <v>8.4749999999999996</v>
      </c>
      <c r="H4011" s="83" t="s">
        <v>89</v>
      </c>
    </row>
    <row r="4012" spans="1:8" ht="16.5" customHeight="1" x14ac:dyDescent="0.25">
      <c r="A4012" s="27">
        <v>46126</v>
      </c>
      <c r="B4012" s="80">
        <v>2026</v>
      </c>
      <c r="C4012" s="80">
        <v>4</v>
      </c>
      <c r="D4012" s="30" t="s">
        <v>45</v>
      </c>
      <c r="E4012" s="30" t="s">
        <v>68</v>
      </c>
      <c r="F4012" s="30" t="s">
        <v>43</v>
      </c>
      <c r="G4012" s="33">
        <v>4.2714999999999996</v>
      </c>
      <c r="H4012" s="83" t="s">
        <v>89</v>
      </c>
    </row>
    <row r="4013" spans="1:8" ht="16.5" customHeight="1" x14ac:dyDescent="0.25">
      <c r="A4013" s="27">
        <v>46126</v>
      </c>
      <c r="B4013" s="80">
        <v>2026</v>
      </c>
      <c r="C4013" s="80">
        <v>4</v>
      </c>
      <c r="D4013" s="30" t="s">
        <v>45</v>
      </c>
      <c r="E4013" s="30" t="s">
        <v>71</v>
      </c>
      <c r="F4013" s="30" t="s">
        <v>43</v>
      </c>
      <c r="G4013" s="33">
        <v>1.66</v>
      </c>
      <c r="H4013" s="83" t="s">
        <v>89</v>
      </c>
    </row>
    <row r="4014" spans="1:8" ht="16.5" customHeight="1" x14ac:dyDescent="0.25">
      <c r="A4014" s="27">
        <v>46127</v>
      </c>
      <c r="B4014" s="80">
        <v>2026</v>
      </c>
      <c r="C4014" s="80">
        <v>4</v>
      </c>
      <c r="D4014" s="30" t="s">
        <v>45</v>
      </c>
      <c r="E4014" s="30" t="s">
        <v>42</v>
      </c>
      <c r="F4014" s="30" t="s">
        <v>43</v>
      </c>
      <c r="G4014" s="33">
        <v>6.7596499999999997</v>
      </c>
      <c r="H4014" s="83" t="s">
        <v>88</v>
      </c>
    </row>
    <row r="4015" spans="1:8" ht="16.5" customHeight="1" x14ac:dyDescent="0.25">
      <c r="A4015" s="27">
        <v>46127</v>
      </c>
      <c r="B4015" s="80">
        <v>2026</v>
      </c>
      <c r="C4015" s="80">
        <v>4</v>
      </c>
      <c r="D4015" s="30" t="s">
        <v>45</v>
      </c>
      <c r="E4015" s="30" t="s">
        <v>46</v>
      </c>
      <c r="F4015" s="30" t="s">
        <v>43</v>
      </c>
      <c r="G4015" s="33">
        <v>2.6415524000000001</v>
      </c>
      <c r="H4015" s="83" t="s">
        <v>88</v>
      </c>
    </row>
    <row r="4016" spans="1:8" ht="16.5" customHeight="1" x14ac:dyDescent="0.25">
      <c r="A4016" s="27">
        <v>46127</v>
      </c>
      <c r="B4016" s="80">
        <v>2026</v>
      </c>
      <c r="C4016" s="80">
        <v>4</v>
      </c>
      <c r="D4016" s="30" t="s">
        <v>45</v>
      </c>
      <c r="E4016" s="30" t="s">
        <v>46</v>
      </c>
      <c r="F4016" s="30" t="s">
        <v>55</v>
      </c>
      <c r="G4016" s="33">
        <v>0.76056900000000005</v>
      </c>
      <c r="H4016" s="83" t="s">
        <v>88</v>
      </c>
    </row>
    <row r="4017" spans="1:8" ht="16.5" customHeight="1" x14ac:dyDescent="0.25">
      <c r="A4017" s="27">
        <v>46127</v>
      </c>
      <c r="B4017" s="80">
        <v>2026</v>
      </c>
      <c r="C4017" s="80">
        <v>4</v>
      </c>
      <c r="D4017" s="30" t="s">
        <v>45</v>
      </c>
      <c r="E4017" s="30" t="s">
        <v>50</v>
      </c>
      <c r="F4017" s="30" t="s">
        <v>43</v>
      </c>
      <c r="G4017" s="33">
        <v>368.91609717</v>
      </c>
      <c r="H4017" s="83" t="s">
        <v>88</v>
      </c>
    </row>
    <row r="4018" spans="1:8" ht="16.5" customHeight="1" x14ac:dyDescent="0.25">
      <c r="A4018" s="27">
        <v>46127</v>
      </c>
      <c r="B4018" s="80">
        <v>2026</v>
      </c>
      <c r="C4018" s="80">
        <v>4</v>
      </c>
      <c r="D4018" s="30" t="s">
        <v>45</v>
      </c>
      <c r="E4018" s="30" t="s">
        <v>50</v>
      </c>
      <c r="F4018" s="30" t="s">
        <v>47</v>
      </c>
      <c r="G4018" s="33">
        <v>0.64680000000000004</v>
      </c>
      <c r="H4018" s="83" t="s">
        <v>88</v>
      </c>
    </row>
    <row r="4019" spans="1:8" ht="16.5" customHeight="1" x14ac:dyDescent="0.25">
      <c r="A4019" s="27">
        <v>46127</v>
      </c>
      <c r="B4019" s="80">
        <v>2026</v>
      </c>
      <c r="C4019" s="80">
        <v>4</v>
      </c>
      <c r="D4019" s="30" t="s">
        <v>45</v>
      </c>
      <c r="E4019" s="30" t="s">
        <v>54</v>
      </c>
      <c r="F4019" s="30" t="s">
        <v>43</v>
      </c>
      <c r="G4019" s="33">
        <v>5.4935</v>
      </c>
      <c r="H4019" s="83" t="s">
        <v>88</v>
      </c>
    </row>
    <row r="4020" spans="1:8" ht="16.5" customHeight="1" x14ac:dyDescent="0.25">
      <c r="A4020" s="27">
        <v>46127</v>
      </c>
      <c r="B4020" s="80">
        <v>2026</v>
      </c>
      <c r="C4020" s="80">
        <v>4</v>
      </c>
      <c r="D4020" s="30" t="s">
        <v>45</v>
      </c>
      <c r="E4020" s="30" t="s">
        <v>54</v>
      </c>
      <c r="F4020" s="30" t="s">
        <v>47</v>
      </c>
      <c r="G4020" s="33">
        <v>0.15</v>
      </c>
      <c r="H4020" s="83" t="s">
        <v>88</v>
      </c>
    </row>
    <row r="4021" spans="1:8" ht="16.5" customHeight="1" x14ac:dyDescent="0.25">
      <c r="A4021" s="27">
        <v>46127</v>
      </c>
      <c r="B4021" s="80">
        <v>2026</v>
      </c>
      <c r="C4021" s="80">
        <v>4</v>
      </c>
      <c r="D4021" s="30" t="s">
        <v>45</v>
      </c>
      <c r="E4021" s="30" t="s">
        <v>66</v>
      </c>
      <c r="F4021" s="30" t="s">
        <v>43</v>
      </c>
      <c r="G4021" s="33">
        <v>4.4029999999999996</v>
      </c>
      <c r="H4021" s="83" t="s">
        <v>89</v>
      </c>
    </row>
    <row r="4022" spans="1:8" ht="16.5" customHeight="1" x14ac:dyDescent="0.25">
      <c r="A4022" s="27">
        <v>46127</v>
      </c>
      <c r="B4022" s="80">
        <v>2026</v>
      </c>
      <c r="C4022" s="80">
        <v>4</v>
      </c>
      <c r="D4022" s="30" t="s">
        <v>45</v>
      </c>
      <c r="E4022" s="30" t="s">
        <v>68</v>
      </c>
      <c r="F4022" s="30" t="s">
        <v>43</v>
      </c>
      <c r="G4022" s="33">
        <v>2.12</v>
      </c>
      <c r="H4022" s="83" t="s">
        <v>89</v>
      </c>
    </row>
    <row r="4023" spans="1:8" ht="16.5" customHeight="1" x14ac:dyDescent="0.25">
      <c r="A4023" s="27">
        <v>46127</v>
      </c>
      <c r="B4023" s="80">
        <v>2026</v>
      </c>
      <c r="C4023" s="80">
        <v>4</v>
      </c>
      <c r="D4023" s="30" t="s">
        <v>45</v>
      </c>
      <c r="E4023" s="30" t="s">
        <v>68</v>
      </c>
      <c r="F4023" s="30" t="s">
        <v>51</v>
      </c>
      <c r="G4023" s="33">
        <v>0.76</v>
      </c>
      <c r="H4023" s="83" t="s">
        <v>89</v>
      </c>
    </row>
    <row r="4024" spans="1:8" ht="16.5" customHeight="1" x14ac:dyDescent="0.25">
      <c r="A4024" s="27">
        <v>46127</v>
      </c>
      <c r="B4024" s="80">
        <v>2026</v>
      </c>
      <c r="C4024" s="80">
        <v>4</v>
      </c>
      <c r="D4024" s="30" t="s">
        <v>45</v>
      </c>
      <c r="E4024" s="30" t="s">
        <v>75</v>
      </c>
      <c r="F4024" s="30" t="s">
        <v>43</v>
      </c>
      <c r="G4024" s="33">
        <v>20.934034499999999</v>
      </c>
      <c r="H4024" s="83" t="s">
        <v>48</v>
      </c>
    </row>
    <row r="4025" spans="1:8" ht="16.5" customHeight="1" x14ac:dyDescent="0.25">
      <c r="A4025" s="27">
        <v>46128</v>
      </c>
      <c r="B4025" s="80">
        <v>2026</v>
      </c>
      <c r="C4025" s="80">
        <v>4</v>
      </c>
      <c r="D4025" s="30" t="s">
        <v>45</v>
      </c>
      <c r="E4025" s="30" t="s">
        <v>38</v>
      </c>
      <c r="F4025" s="30" t="s">
        <v>43</v>
      </c>
      <c r="G4025" s="33">
        <v>7.3097799999999999</v>
      </c>
      <c r="H4025" s="83" t="s">
        <v>88</v>
      </c>
    </row>
    <row r="4026" spans="1:8" ht="16.5" customHeight="1" x14ac:dyDescent="0.25">
      <c r="A4026" s="27">
        <v>46128</v>
      </c>
      <c r="B4026" s="80">
        <v>2026</v>
      </c>
      <c r="C4026" s="80">
        <v>4</v>
      </c>
      <c r="D4026" s="30" t="s">
        <v>45</v>
      </c>
      <c r="E4026" s="30" t="s">
        <v>38</v>
      </c>
      <c r="F4026" s="30" t="s">
        <v>58</v>
      </c>
      <c r="G4026" s="33">
        <v>0.3916</v>
      </c>
      <c r="H4026" s="83" t="s">
        <v>88</v>
      </c>
    </row>
    <row r="4027" spans="1:8" ht="16.5" customHeight="1" x14ac:dyDescent="0.25">
      <c r="A4027" s="27">
        <v>46128</v>
      </c>
      <c r="B4027" s="80">
        <v>2026</v>
      </c>
      <c r="C4027" s="80">
        <v>4</v>
      </c>
      <c r="D4027" s="30" t="s">
        <v>45</v>
      </c>
      <c r="E4027" s="30" t="s">
        <v>42</v>
      </c>
      <c r="F4027" s="30" t="s">
        <v>43</v>
      </c>
      <c r="G4027" s="33">
        <v>1.1594</v>
      </c>
      <c r="H4027" s="83" t="s">
        <v>88</v>
      </c>
    </row>
    <row r="4028" spans="1:8" ht="16.5" customHeight="1" x14ac:dyDescent="0.25">
      <c r="A4028" s="27">
        <v>46128</v>
      </c>
      <c r="B4028" s="80">
        <v>2026</v>
      </c>
      <c r="C4028" s="80">
        <v>4</v>
      </c>
      <c r="D4028" s="30" t="s">
        <v>45</v>
      </c>
      <c r="E4028" s="30" t="s">
        <v>50</v>
      </c>
      <c r="F4028" s="30" t="s">
        <v>43</v>
      </c>
      <c r="G4028" s="33">
        <v>24.398781249999999</v>
      </c>
      <c r="H4028" s="83" t="s">
        <v>88</v>
      </c>
    </row>
    <row r="4029" spans="1:8" ht="16.5" customHeight="1" x14ac:dyDescent="0.25">
      <c r="A4029" s="27">
        <v>46128</v>
      </c>
      <c r="B4029" s="80">
        <v>2026</v>
      </c>
      <c r="C4029" s="80">
        <v>4</v>
      </c>
      <c r="D4029" s="30" t="s">
        <v>45</v>
      </c>
      <c r="E4029" s="30" t="s">
        <v>50</v>
      </c>
      <c r="F4029" s="30" t="s">
        <v>47</v>
      </c>
      <c r="G4029" s="33">
        <v>0.64680000000000004</v>
      </c>
      <c r="H4029" s="83" t="s">
        <v>88</v>
      </c>
    </row>
    <row r="4030" spans="1:8" ht="16.5" customHeight="1" x14ac:dyDescent="0.25">
      <c r="A4030" s="27">
        <v>46128</v>
      </c>
      <c r="B4030" s="80">
        <v>2026</v>
      </c>
      <c r="C4030" s="80">
        <v>4</v>
      </c>
      <c r="D4030" s="30" t="s">
        <v>45</v>
      </c>
      <c r="E4030" s="30" t="s">
        <v>50</v>
      </c>
      <c r="F4030" s="30" t="s">
        <v>55</v>
      </c>
      <c r="G4030" s="33">
        <v>0.78408</v>
      </c>
      <c r="H4030" s="83" t="s">
        <v>88</v>
      </c>
    </row>
    <row r="4031" spans="1:8" ht="16.5" customHeight="1" x14ac:dyDescent="0.25">
      <c r="A4031" s="27">
        <v>46128</v>
      </c>
      <c r="B4031" s="80">
        <v>2026</v>
      </c>
      <c r="C4031" s="80">
        <v>4</v>
      </c>
      <c r="D4031" s="30" t="s">
        <v>45</v>
      </c>
      <c r="E4031" s="30" t="s">
        <v>66</v>
      </c>
      <c r="F4031" s="30" t="s">
        <v>43</v>
      </c>
      <c r="G4031" s="33">
        <v>2.37</v>
      </c>
      <c r="H4031" s="83" t="s">
        <v>89</v>
      </c>
    </row>
    <row r="4032" spans="1:8" ht="16.5" customHeight="1" x14ac:dyDescent="0.25">
      <c r="A4032" s="27">
        <v>46128</v>
      </c>
      <c r="B4032" s="80">
        <v>2026</v>
      </c>
      <c r="C4032" s="80">
        <v>4</v>
      </c>
      <c r="D4032" s="30" t="s">
        <v>45</v>
      </c>
      <c r="E4032" s="30" t="s">
        <v>66</v>
      </c>
      <c r="F4032" s="30" t="s">
        <v>55</v>
      </c>
      <c r="G4032" s="33">
        <v>4.8</v>
      </c>
      <c r="H4032" s="83" t="s">
        <v>89</v>
      </c>
    </row>
    <row r="4033" spans="1:8" ht="16.5" customHeight="1" x14ac:dyDescent="0.25">
      <c r="A4033" s="27">
        <v>46128</v>
      </c>
      <c r="B4033" s="80">
        <v>2026</v>
      </c>
      <c r="C4033" s="80">
        <v>4</v>
      </c>
      <c r="D4033" s="30" t="s">
        <v>45</v>
      </c>
      <c r="E4033" s="30" t="s">
        <v>68</v>
      </c>
      <c r="F4033" s="30" t="s">
        <v>43</v>
      </c>
      <c r="G4033" s="33">
        <v>3.3</v>
      </c>
      <c r="H4033" s="83" t="s">
        <v>89</v>
      </c>
    </row>
    <row r="4034" spans="1:8" ht="16.5" customHeight="1" x14ac:dyDescent="0.25">
      <c r="A4034" s="27">
        <v>46128</v>
      </c>
      <c r="B4034" s="80">
        <v>2026</v>
      </c>
      <c r="C4034" s="80">
        <v>4</v>
      </c>
      <c r="D4034" s="30" t="s">
        <v>45</v>
      </c>
      <c r="E4034" s="30" t="s">
        <v>71</v>
      </c>
      <c r="F4034" s="30" t="s">
        <v>43</v>
      </c>
      <c r="G4034" s="33">
        <v>11.952</v>
      </c>
      <c r="H4034" s="83" t="s">
        <v>89</v>
      </c>
    </row>
    <row r="4035" spans="1:8" ht="16.5" customHeight="1" x14ac:dyDescent="0.25">
      <c r="A4035" s="27">
        <v>46128</v>
      </c>
      <c r="B4035" s="80">
        <v>2026</v>
      </c>
      <c r="C4035" s="80">
        <v>4</v>
      </c>
      <c r="D4035" s="30" t="s">
        <v>45</v>
      </c>
      <c r="E4035" s="30" t="s">
        <v>75</v>
      </c>
      <c r="F4035" s="30" t="s">
        <v>43</v>
      </c>
      <c r="G4035" s="33">
        <v>50.239199999999997</v>
      </c>
      <c r="H4035" s="83" t="s">
        <v>48</v>
      </c>
    </row>
    <row r="4036" spans="1:8" ht="16.5" customHeight="1" x14ac:dyDescent="0.25">
      <c r="A4036" s="27">
        <v>46129</v>
      </c>
      <c r="B4036" s="80">
        <v>2026</v>
      </c>
      <c r="C4036" s="80">
        <v>4</v>
      </c>
      <c r="D4036" s="30" t="s">
        <v>45</v>
      </c>
      <c r="E4036" s="30" t="s">
        <v>38</v>
      </c>
      <c r="F4036" s="30" t="s">
        <v>43</v>
      </c>
      <c r="G4036" s="33">
        <v>19.381699999999999</v>
      </c>
      <c r="H4036" s="83" t="s">
        <v>88</v>
      </c>
    </row>
    <row r="4037" spans="1:8" ht="16.5" customHeight="1" x14ac:dyDescent="0.25">
      <c r="A4037" s="27">
        <v>46129</v>
      </c>
      <c r="B4037" s="80">
        <v>2026</v>
      </c>
      <c r="C4037" s="80">
        <v>4</v>
      </c>
      <c r="D4037" s="30" t="s">
        <v>45</v>
      </c>
      <c r="E4037" s="30" t="s">
        <v>42</v>
      </c>
      <c r="F4037" s="30" t="s">
        <v>43</v>
      </c>
      <c r="G4037" s="33">
        <v>2.85</v>
      </c>
      <c r="H4037" s="83" t="s">
        <v>88</v>
      </c>
    </row>
    <row r="4038" spans="1:8" ht="16.5" customHeight="1" x14ac:dyDescent="0.25">
      <c r="A4038" s="27">
        <v>46129</v>
      </c>
      <c r="B4038" s="80">
        <v>2026</v>
      </c>
      <c r="C4038" s="80">
        <v>4</v>
      </c>
      <c r="D4038" s="30" t="s">
        <v>45</v>
      </c>
      <c r="E4038" s="30" t="s">
        <v>46</v>
      </c>
      <c r="F4038" s="30" t="s">
        <v>58</v>
      </c>
      <c r="G4038" s="33">
        <v>0.44557752</v>
      </c>
      <c r="H4038" s="83" t="s">
        <v>88</v>
      </c>
    </row>
    <row r="4039" spans="1:8" ht="16.5" customHeight="1" x14ac:dyDescent="0.25">
      <c r="A4039" s="27">
        <v>46129</v>
      </c>
      <c r="B4039" s="80">
        <v>2026</v>
      </c>
      <c r="C4039" s="80">
        <v>4</v>
      </c>
      <c r="D4039" s="30" t="s">
        <v>45</v>
      </c>
      <c r="E4039" s="30" t="s">
        <v>50</v>
      </c>
      <c r="F4039" s="30" t="s">
        <v>43</v>
      </c>
      <c r="G4039" s="33">
        <v>2.2350409999999998</v>
      </c>
      <c r="H4039" s="83" t="s">
        <v>88</v>
      </c>
    </row>
    <row r="4040" spans="1:8" ht="16.5" customHeight="1" x14ac:dyDescent="0.25">
      <c r="A4040" s="27">
        <v>46129</v>
      </c>
      <c r="B4040" s="80">
        <v>2026</v>
      </c>
      <c r="C4040" s="80">
        <v>4</v>
      </c>
      <c r="D4040" s="30" t="s">
        <v>45</v>
      </c>
      <c r="E4040" s="30" t="s">
        <v>50</v>
      </c>
      <c r="F4040" s="30" t="s">
        <v>47</v>
      </c>
      <c r="G4040" s="33">
        <v>0.97019999999999995</v>
      </c>
      <c r="H4040" s="83" t="s">
        <v>88</v>
      </c>
    </row>
    <row r="4041" spans="1:8" ht="16.5" customHeight="1" x14ac:dyDescent="0.25">
      <c r="A4041" s="27">
        <v>46129</v>
      </c>
      <c r="B4041" s="80">
        <v>2026</v>
      </c>
      <c r="C4041" s="80">
        <v>4</v>
      </c>
      <c r="D4041" s="30" t="s">
        <v>45</v>
      </c>
      <c r="E4041" s="30" t="s">
        <v>54</v>
      </c>
      <c r="F4041" s="30" t="s">
        <v>43</v>
      </c>
      <c r="G4041" s="33">
        <v>4.4457500000000003</v>
      </c>
      <c r="H4041" s="83" t="s">
        <v>88</v>
      </c>
    </row>
    <row r="4042" spans="1:8" ht="16.5" customHeight="1" x14ac:dyDescent="0.25">
      <c r="A4042" s="27">
        <v>46129</v>
      </c>
      <c r="B4042" s="80">
        <v>2026</v>
      </c>
      <c r="C4042" s="80">
        <v>4</v>
      </c>
      <c r="D4042" s="30" t="s">
        <v>45</v>
      </c>
      <c r="E4042" s="30" t="s">
        <v>54</v>
      </c>
      <c r="F4042" s="30" t="s">
        <v>47</v>
      </c>
      <c r="G4042" s="33">
        <v>1.6325000000000001</v>
      </c>
      <c r="H4042" s="83" t="s">
        <v>88</v>
      </c>
    </row>
    <row r="4043" spans="1:8" ht="16.5" customHeight="1" x14ac:dyDescent="0.25">
      <c r="A4043" s="27">
        <v>46129</v>
      </c>
      <c r="B4043" s="80">
        <v>2026</v>
      </c>
      <c r="C4043" s="80">
        <v>4</v>
      </c>
      <c r="D4043" s="30" t="s">
        <v>45</v>
      </c>
      <c r="E4043" s="30" t="s">
        <v>66</v>
      </c>
      <c r="F4043" s="30" t="s">
        <v>43</v>
      </c>
      <c r="G4043" s="33">
        <v>9.6389999999999993</v>
      </c>
      <c r="H4043" s="83" t="s">
        <v>89</v>
      </c>
    </row>
    <row r="4044" spans="1:8" ht="16.5" customHeight="1" x14ac:dyDescent="0.25">
      <c r="A4044" s="27">
        <v>46129</v>
      </c>
      <c r="B4044" s="80">
        <v>2026</v>
      </c>
      <c r="C4044" s="80">
        <v>4</v>
      </c>
      <c r="D4044" s="30" t="s">
        <v>45</v>
      </c>
      <c r="E4044" s="30" t="s">
        <v>73</v>
      </c>
      <c r="F4044" s="30" t="s">
        <v>43</v>
      </c>
      <c r="G4044" s="33">
        <v>4.875</v>
      </c>
      <c r="H4044" s="83" t="s">
        <v>89</v>
      </c>
    </row>
    <row r="4045" spans="1:8" ht="16.5" customHeight="1" x14ac:dyDescent="0.25">
      <c r="A4045" s="27">
        <v>46130</v>
      </c>
      <c r="B4045" s="80">
        <v>2026</v>
      </c>
      <c r="C4045" s="80">
        <v>4</v>
      </c>
      <c r="D4045" s="30" t="s">
        <v>45</v>
      </c>
      <c r="E4045" s="30" t="s">
        <v>50</v>
      </c>
      <c r="F4045" s="30" t="s">
        <v>55</v>
      </c>
      <c r="G4045" s="33">
        <v>0.53549999999999998</v>
      </c>
      <c r="H4045" s="83" t="s">
        <v>88</v>
      </c>
    </row>
    <row r="4046" spans="1:8" ht="16.5" customHeight="1" x14ac:dyDescent="0.25">
      <c r="A4046" s="27">
        <v>46132</v>
      </c>
      <c r="B4046" s="80">
        <v>2026</v>
      </c>
      <c r="C4046" s="80">
        <v>4</v>
      </c>
      <c r="D4046" s="30" t="s">
        <v>45</v>
      </c>
      <c r="E4046" s="30" t="s">
        <v>38</v>
      </c>
      <c r="F4046" s="30" t="s">
        <v>43</v>
      </c>
      <c r="G4046" s="33">
        <v>2.2440000000000002</v>
      </c>
      <c r="H4046" s="83" t="s">
        <v>88</v>
      </c>
    </row>
    <row r="4047" spans="1:8" ht="16.5" customHeight="1" x14ac:dyDescent="0.25">
      <c r="A4047" s="27">
        <v>46132</v>
      </c>
      <c r="B4047" s="80">
        <v>2026</v>
      </c>
      <c r="C4047" s="80">
        <v>4</v>
      </c>
      <c r="D4047" s="30" t="s">
        <v>45</v>
      </c>
      <c r="E4047" s="30" t="s">
        <v>42</v>
      </c>
      <c r="F4047" s="30" t="s">
        <v>43</v>
      </c>
      <c r="G4047" s="33">
        <v>6.7809999999999997</v>
      </c>
      <c r="H4047" s="83" t="s">
        <v>88</v>
      </c>
    </row>
    <row r="4048" spans="1:8" ht="16.5" customHeight="1" x14ac:dyDescent="0.25">
      <c r="A4048" s="27">
        <v>46132</v>
      </c>
      <c r="B4048" s="80">
        <v>2026</v>
      </c>
      <c r="C4048" s="80">
        <v>4</v>
      </c>
      <c r="D4048" s="30" t="s">
        <v>45</v>
      </c>
      <c r="E4048" s="30" t="s">
        <v>42</v>
      </c>
      <c r="F4048" s="30" t="s">
        <v>47</v>
      </c>
      <c r="G4048" s="33">
        <v>1.30175</v>
      </c>
      <c r="H4048" s="83" t="s">
        <v>88</v>
      </c>
    </row>
    <row r="4049" spans="1:8" ht="16.5" customHeight="1" x14ac:dyDescent="0.25">
      <c r="A4049" s="27">
        <v>46132</v>
      </c>
      <c r="B4049" s="80">
        <v>2026</v>
      </c>
      <c r="C4049" s="80">
        <v>4</v>
      </c>
      <c r="D4049" s="30" t="s">
        <v>45</v>
      </c>
      <c r="E4049" s="30" t="s">
        <v>46</v>
      </c>
      <c r="F4049" s="30" t="s">
        <v>43</v>
      </c>
      <c r="G4049" s="33">
        <v>2.2772008000000001</v>
      </c>
      <c r="H4049" s="83" t="s">
        <v>88</v>
      </c>
    </row>
    <row r="4050" spans="1:8" ht="16.5" customHeight="1" x14ac:dyDescent="0.25">
      <c r="A4050" s="27">
        <v>46132</v>
      </c>
      <c r="B4050" s="80">
        <v>2026</v>
      </c>
      <c r="C4050" s="80">
        <v>4</v>
      </c>
      <c r="D4050" s="30" t="s">
        <v>45</v>
      </c>
      <c r="E4050" s="30" t="s">
        <v>46</v>
      </c>
      <c r="F4050" s="30" t="s">
        <v>51</v>
      </c>
      <c r="G4050" s="33">
        <v>0.39323999999999998</v>
      </c>
      <c r="H4050" s="83" t="s">
        <v>88</v>
      </c>
    </row>
    <row r="4051" spans="1:8" ht="16.5" customHeight="1" x14ac:dyDescent="0.25">
      <c r="A4051" s="27">
        <v>46132</v>
      </c>
      <c r="B4051" s="80">
        <v>2026</v>
      </c>
      <c r="C4051" s="80">
        <v>4</v>
      </c>
      <c r="D4051" s="30" t="s">
        <v>45</v>
      </c>
      <c r="E4051" s="30" t="s">
        <v>50</v>
      </c>
      <c r="F4051" s="30" t="s">
        <v>47</v>
      </c>
      <c r="G4051" s="33">
        <v>0.64680000000000004</v>
      </c>
      <c r="H4051" s="83" t="s">
        <v>88</v>
      </c>
    </row>
    <row r="4052" spans="1:8" ht="16.5" customHeight="1" x14ac:dyDescent="0.25">
      <c r="A4052" s="27">
        <v>46132</v>
      </c>
      <c r="B4052" s="80">
        <v>2026</v>
      </c>
      <c r="C4052" s="80">
        <v>4</v>
      </c>
      <c r="D4052" s="30" t="s">
        <v>45</v>
      </c>
      <c r="E4052" s="30" t="s">
        <v>50</v>
      </c>
      <c r="F4052" s="30" t="s">
        <v>58</v>
      </c>
      <c r="G4052" s="33">
        <v>3.70002188</v>
      </c>
      <c r="H4052" s="83" t="s">
        <v>88</v>
      </c>
    </row>
    <row r="4053" spans="1:8" ht="16.5" customHeight="1" x14ac:dyDescent="0.25">
      <c r="A4053" s="27">
        <v>46132</v>
      </c>
      <c r="B4053" s="80">
        <v>2026</v>
      </c>
      <c r="C4053" s="80">
        <v>4</v>
      </c>
      <c r="D4053" s="30" t="s">
        <v>45</v>
      </c>
      <c r="E4053" s="30" t="s">
        <v>54</v>
      </c>
      <c r="F4053" s="30" t="s">
        <v>43</v>
      </c>
      <c r="G4053" s="33">
        <v>1.4750000000000001</v>
      </c>
      <c r="H4053" s="83" t="s">
        <v>88</v>
      </c>
    </row>
    <row r="4054" spans="1:8" ht="16.5" customHeight="1" x14ac:dyDescent="0.25">
      <c r="A4054" s="27">
        <v>46132</v>
      </c>
      <c r="B4054" s="80">
        <v>2026</v>
      </c>
      <c r="C4054" s="80">
        <v>4</v>
      </c>
      <c r="D4054" s="30" t="s">
        <v>45</v>
      </c>
      <c r="E4054" s="30" t="s">
        <v>57</v>
      </c>
      <c r="F4054" s="30" t="s">
        <v>39</v>
      </c>
      <c r="G4054" s="33">
        <v>72.688000000000002</v>
      </c>
      <c r="H4054" s="83" t="s">
        <v>89</v>
      </c>
    </row>
    <row r="4055" spans="1:8" ht="16.5" customHeight="1" x14ac:dyDescent="0.25">
      <c r="A4055" s="27">
        <v>46132</v>
      </c>
      <c r="B4055" s="80">
        <v>2026</v>
      </c>
      <c r="C4055" s="80">
        <v>4</v>
      </c>
      <c r="D4055" s="30" t="s">
        <v>45</v>
      </c>
      <c r="E4055" s="30" t="s">
        <v>71</v>
      </c>
      <c r="F4055" s="30" t="s">
        <v>43</v>
      </c>
      <c r="G4055" s="33">
        <v>8.0519999999999996</v>
      </c>
      <c r="H4055" s="83" t="s">
        <v>89</v>
      </c>
    </row>
    <row r="4056" spans="1:8" ht="16.5" customHeight="1" x14ac:dyDescent="0.25">
      <c r="A4056" s="27">
        <v>46132</v>
      </c>
      <c r="B4056" s="80">
        <v>2026</v>
      </c>
      <c r="C4056" s="80">
        <v>4</v>
      </c>
      <c r="D4056" s="30" t="s">
        <v>45</v>
      </c>
      <c r="E4056" s="30" t="s">
        <v>74</v>
      </c>
      <c r="F4056" s="30" t="s">
        <v>43</v>
      </c>
      <c r="G4056" s="33">
        <v>4.5136000000000003</v>
      </c>
      <c r="H4056" s="83" t="s">
        <v>89</v>
      </c>
    </row>
    <row r="4057" spans="1:8" ht="16.5" customHeight="1" x14ac:dyDescent="0.25">
      <c r="A4057" s="27">
        <v>46133</v>
      </c>
      <c r="B4057" s="80">
        <v>2026</v>
      </c>
      <c r="C4057" s="80">
        <v>4</v>
      </c>
      <c r="D4057" s="30" t="s">
        <v>45</v>
      </c>
      <c r="E4057" s="30" t="s">
        <v>38</v>
      </c>
      <c r="F4057" s="30" t="s">
        <v>43</v>
      </c>
      <c r="G4057" s="33">
        <v>1.1499999999999999</v>
      </c>
      <c r="H4057" s="83" t="s">
        <v>88</v>
      </c>
    </row>
    <row r="4058" spans="1:8" ht="16.5" customHeight="1" x14ac:dyDescent="0.25">
      <c r="A4058" s="27">
        <v>46133</v>
      </c>
      <c r="B4058" s="80">
        <v>2026</v>
      </c>
      <c r="C4058" s="80">
        <v>4</v>
      </c>
      <c r="D4058" s="30" t="s">
        <v>45</v>
      </c>
      <c r="E4058" s="30" t="s">
        <v>38</v>
      </c>
      <c r="F4058" s="30" t="s">
        <v>58</v>
      </c>
      <c r="G4058" s="33">
        <v>1.8728682000000001</v>
      </c>
      <c r="H4058" s="83" t="s">
        <v>88</v>
      </c>
    </row>
    <row r="4059" spans="1:8" ht="16.5" customHeight="1" x14ac:dyDescent="0.25">
      <c r="A4059" s="27">
        <v>46133</v>
      </c>
      <c r="B4059" s="80">
        <v>2026</v>
      </c>
      <c r="C4059" s="80">
        <v>4</v>
      </c>
      <c r="D4059" s="30" t="s">
        <v>45</v>
      </c>
      <c r="E4059" s="30" t="s">
        <v>42</v>
      </c>
      <c r="F4059" s="30" t="s">
        <v>43</v>
      </c>
      <c r="G4059" s="33">
        <v>17.058285999999999</v>
      </c>
      <c r="H4059" s="83" t="s">
        <v>88</v>
      </c>
    </row>
    <row r="4060" spans="1:8" ht="16.5" customHeight="1" x14ac:dyDescent="0.25">
      <c r="A4060" s="27">
        <v>46133</v>
      </c>
      <c r="B4060" s="80">
        <v>2026</v>
      </c>
      <c r="C4060" s="80">
        <v>4</v>
      </c>
      <c r="D4060" s="30" t="s">
        <v>45</v>
      </c>
      <c r="E4060" s="30" t="s">
        <v>42</v>
      </c>
      <c r="F4060" s="30" t="s">
        <v>47</v>
      </c>
      <c r="G4060" s="33">
        <v>0.153</v>
      </c>
      <c r="H4060" s="83" t="s">
        <v>88</v>
      </c>
    </row>
    <row r="4061" spans="1:8" ht="16.5" customHeight="1" x14ac:dyDescent="0.25">
      <c r="A4061" s="27">
        <v>46133</v>
      </c>
      <c r="B4061" s="80">
        <v>2026</v>
      </c>
      <c r="C4061" s="80">
        <v>4</v>
      </c>
      <c r="D4061" s="30" t="s">
        <v>45</v>
      </c>
      <c r="E4061" s="30" t="s">
        <v>42</v>
      </c>
      <c r="F4061" s="30" t="s">
        <v>55</v>
      </c>
      <c r="G4061" s="33">
        <v>2.15</v>
      </c>
      <c r="H4061" s="83" t="s">
        <v>88</v>
      </c>
    </row>
    <row r="4062" spans="1:8" ht="16.5" customHeight="1" x14ac:dyDescent="0.25">
      <c r="A4062" s="27">
        <v>46133</v>
      </c>
      <c r="B4062" s="80">
        <v>2026</v>
      </c>
      <c r="C4062" s="80">
        <v>4</v>
      </c>
      <c r="D4062" s="30" t="s">
        <v>45</v>
      </c>
      <c r="E4062" s="30" t="s">
        <v>46</v>
      </c>
      <c r="F4062" s="30" t="s">
        <v>43</v>
      </c>
      <c r="G4062" s="33">
        <v>3.0171000000000001</v>
      </c>
      <c r="H4062" s="83" t="s">
        <v>88</v>
      </c>
    </row>
    <row r="4063" spans="1:8" ht="16.5" customHeight="1" x14ac:dyDescent="0.25">
      <c r="A4063" s="27">
        <v>46133</v>
      </c>
      <c r="B4063" s="80">
        <v>2026</v>
      </c>
      <c r="C4063" s="80">
        <v>4</v>
      </c>
      <c r="D4063" s="30" t="s">
        <v>45</v>
      </c>
      <c r="E4063" s="30" t="s">
        <v>46</v>
      </c>
      <c r="F4063" s="30" t="s">
        <v>51</v>
      </c>
      <c r="G4063" s="33">
        <v>1.1164400000000001</v>
      </c>
      <c r="H4063" s="83" t="s">
        <v>88</v>
      </c>
    </row>
    <row r="4064" spans="1:8" ht="16.5" customHeight="1" x14ac:dyDescent="0.25">
      <c r="A4064" s="27">
        <v>46133</v>
      </c>
      <c r="B4064" s="80">
        <v>2026</v>
      </c>
      <c r="C4064" s="80">
        <v>4</v>
      </c>
      <c r="D4064" s="30" t="s">
        <v>45</v>
      </c>
      <c r="E4064" s="30" t="s">
        <v>46</v>
      </c>
      <c r="F4064" s="30" t="s">
        <v>55</v>
      </c>
      <c r="G4064" s="33">
        <v>1.154244</v>
      </c>
      <c r="H4064" s="83" t="s">
        <v>88</v>
      </c>
    </row>
    <row r="4065" spans="1:8" ht="16.5" customHeight="1" x14ac:dyDescent="0.25">
      <c r="A4065" s="27">
        <v>46133</v>
      </c>
      <c r="B4065" s="80">
        <v>2026</v>
      </c>
      <c r="C4065" s="80">
        <v>4</v>
      </c>
      <c r="D4065" s="30" t="s">
        <v>45</v>
      </c>
      <c r="E4065" s="30" t="s">
        <v>50</v>
      </c>
      <c r="F4065" s="30" t="s">
        <v>43</v>
      </c>
      <c r="G4065" s="33">
        <v>1.404386685</v>
      </c>
      <c r="H4065" s="83" t="s">
        <v>88</v>
      </c>
    </row>
    <row r="4066" spans="1:8" ht="16.5" customHeight="1" x14ac:dyDescent="0.25">
      <c r="A4066" s="27">
        <v>46133</v>
      </c>
      <c r="B4066" s="80">
        <v>2026</v>
      </c>
      <c r="C4066" s="80">
        <v>4</v>
      </c>
      <c r="D4066" s="30" t="s">
        <v>45</v>
      </c>
      <c r="E4066" s="30" t="s">
        <v>50</v>
      </c>
      <c r="F4066" s="30" t="s">
        <v>58</v>
      </c>
      <c r="G4066" s="33">
        <v>1.347577182</v>
      </c>
      <c r="H4066" s="83" t="s">
        <v>88</v>
      </c>
    </row>
    <row r="4067" spans="1:8" ht="16.5" customHeight="1" x14ac:dyDescent="0.25">
      <c r="A4067" s="27">
        <v>46133</v>
      </c>
      <c r="B4067" s="80">
        <v>2026</v>
      </c>
      <c r="C4067" s="80">
        <v>4</v>
      </c>
      <c r="D4067" s="30" t="s">
        <v>45</v>
      </c>
      <c r="E4067" s="30" t="s">
        <v>54</v>
      </c>
      <c r="F4067" s="30" t="s">
        <v>43</v>
      </c>
      <c r="G4067" s="33">
        <v>9.3405000000000005</v>
      </c>
      <c r="H4067" s="83" t="s">
        <v>88</v>
      </c>
    </row>
    <row r="4068" spans="1:8" ht="16.5" customHeight="1" x14ac:dyDescent="0.25">
      <c r="A4068" s="27">
        <v>46133</v>
      </c>
      <c r="B4068" s="80">
        <v>2026</v>
      </c>
      <c r="C4068" s="80">
        <v>4</v>
      </c>
      <c r="D4068" s="30" t="s">
        <v>45</v>
      </c>
      <c r="E4068" s="30" t="s">
        <v>61</v>
      </c>
      <c r="F4068" s="30" t="s">
        <v>43</v>
      </c>
      <c r="G4068" s="33">
        <v>8.8710000000000004</v>
      </c>
      <c r="H4068" s="83" t="s">
        <v>89</v>
      </c>
    </row>
    <row r="4069" spans="1:8" ht="16.5" customHeight="1" x14ac:dyDescent="0.25">
      <c r="A4069" s="27">
        <v>46133</v>
      </c>
      <c r="B4069" s="80">
        <v>2026</v>
      </c>
      <c r="C4069" s="80">
        <v>4</v>
      </c>
      <c r="D4069" s="30" t="s">
        <v>45</v>
      </c>
      <c r="E4069" s="30" t="s">
        <v>68</v>
      </c>
      <c r="F4069" s="30" t="s">
        <v>43</v>
      </c>
      <c r="G4069" s="33">
        <v>7.4035000000000002</v>
      </c>
      <c r="H4069" s="83" t="s">
        <v>89</v>
      </c>
    </row>
    <row r="4070" spans="1:8" ht="16.5" customHeight="1" x14ac:dyDescent="0.25">
      <c r="A4070" s="27">
        <v>46133</v>
      </c>
      <c r="B4070" s="80">
        <v>2026</v>
      </c>
      <c r="C4070" s="80">
        <v>4</v>
      </c>
      <c r="D4070" s="30" t="s">
        <v>45</v>
      </c>
      <c r="E4070" s="30" t="s">
        <v>68</v>
      </c>
      <c r="F4070" s="30" t="s">
        <v>55</v>
      </c>
      <c r="G4070" s="33">
        <v>0.96</v>
      </c>
      <c r="H4070" s="83" t="s">
        <v>89</v>
      </c>
    </row>
    <row r="4071" spans="1:8" ht="16.5" customHeight="1" x14ac:dyDescent="0.25">
      <c r="A4071" s="27">
        <v>46134</v>
      </c>
      <c r="B4071" s="80">
        <v>2026</v>
      </c>
      <c r="C4071" s="80">
        <v>4</v>
      </c>
      <c r="D4071" s="30" t="s">
        <v>45</v>
      </c>
      <c r="E4071" s="30" t="s">
        <v>38</v>
      </c>
      <c r="F4071" s="30" t="s">
        <v>43</v>
      </c>
      <c r="G4071" s="33">
        <v>1.096228</v>
      </c>
      <c r="H4071" s="83" t="s">
        <v>88</v>
      </c>
    </row>
    <row r="4072" spans="1:8" ht="16.5" customHeight="1" x14ac:dyDescent="0.25">
      <c r="A4072" s="27">
        <v>46134</v>
      </c>
      <c r="B4072" s="80">
        <v>2026</v>
      </c>
      <c r="C4072" s="80">
        <v>4</v>
      </c>
      <c r="D4072" s="30" t="s">
        <v>45</v>
      </c>
      <c r="E4072" s="30" t="s">
        <v>42</v>
      </c>
      <c r="F4072" s="30" t="s">
        <v>43</v>
      </c>
      <c r="G4072" s="33">
        <v>2.3494000000000002</v>
      </c>
      <c r="H4072" s="83" t="s">
        <v>88</v>
      </c>
    </row>
    <row r="4073" spans="1:8" ht="16.5" customHeight="1" x14ac:dyDescent="0.25">
      <c r="A4073" s="27">
        <v>46134</v>
      </c>
      <c r="B4073" s="80">
        <v>2026</v>
      </c>
      <c r="C4073" s="80">
        <v>4</v>
      </c>
      <c r="D4073" s="30" t="s">
        <v>45</v>
      </c>
      <c r="E4073" s="30" t="s">
        <v>46</v>
      </c>
      <c r="F4073" s="30" t="s">
        <v>43</v>
      </c>
      <c r="G4073" s="33">
        <v>3.0464000000000002</v>
      </c>
      <c r="H4073" s="83" t="s">
        <v>88</v>
      </c>
    </row>
    <row r="4074" spans="1:8" ht="16.5" customHeight="1" x14ac:dyDescent="0.25">
      <c r="A4074" s="27">
        <v>46134</v>
      </c>
      <c r="B4074" s="80">
        <v>2026</v>
      </c>
      <c r="C4074" s="80">
        <v>4</v>
      </c>
      <c r="D4074" s="30" t="s">
        <v>45</v>
      </c>
      <c r="E4074" s="30" t="s">
        <v>50</v>
      </c>
      <c r="F4074" s="30" t="s">
        <v>43</v>
      </c>
      <c r="G4074" s="33">
        <v>3.4156982500000002</v>
      </c>
      <c r="H4074" s="83" t="s">
        <v>88</v>
      </c>
    </row>
    <row r="4075" spans="1:8" ht="16.5" customHeight="1" x14ac:dyDescent="0.25">
      <c r="A4075" s="27">
        <v>46134</v>
      </c>
      <c r="B4075" s="80">
        <v>2026</v>
      </c>
      <c r="C4075" s="80">
        <v>4</v>
      </c>
      <c r="D4075" s="30" t="s">
        <v>45</v>
      </c>
      <c r="E4075" s="30" t="s">
        <v>50</v>
      </c>
      <c r="F4075" s="30" t="s">
        <v>47</v>
      </c>
      <c r="G4075" s="33">
        <v>0.73907400000000001</v>
      </c>
      <c r="H4075" s="83" t="s">
        <v>88</v>
      </c>
    </row>
    <row r="4076" spans="1:8" ht="16.5" customHeight="1" x14ac:dyDescent="0.25">
      <c r="A4076" s="27">
        <v>46134</v>
      </c>
      <c r="B4076" s="80">
        <v>2026</v>
      </c>
      <c r="C4076" s="80">
        <v>4</v>
      </c>
      <c r="D4076" s="30" t="s">
        <v>45</v>
      </c>
      <c r="E4076" s="30" t="s">
        <v>50</v>
      </c>
      <c r="F4076" s="30" t="s">
        <v>58</v>
      </c>
      <c r="G4076" s="33">
        <v>1.299869637</v>
      </c>
      <c r="H4076" s="83" t="s">
        <v>88</v>
      </c>
    </row>
    <row r="4077" spans="1:8" ht="16.5" customHeight="1" x14ac:dyDescent="0.25">
      <c r="A4077" s="27">
        <v>46134</v>
      </c>
      <c r="B4077" s="80">
        <v>2026</v>
      </c>
      <c r="C4077" s="80">
        <v>4</v>
      </c>
      <c r="D4077" s="30" t="s">
        <v>45</v>
      </c>
      <c r="E4077" s="30" t="s">
        <v>54</v>
      </c>
      <c r="F4077" s="30" t="s">
        <v>43</v>
      </c>
      <c r="G4077" s="33">
        <v>6.6871</v>
      </c>
      <c r="H4077" s="83" t="s">
        <v>88</v>
      </c>
    </row>
    <row r="4078" spans="1:8" ht="16.5" customHeight="1" x14ac:dyDescent="0.25">
      <c r="A4078" s="27">
        <v>46134</v>
      </c>
      <c r="B4078" s="80">
        <v>2026</v>
      </c>
      <c r="C4078" s="80">
        <v>4</v>
      </c>
      <c r="D4078" s="30" t="s">
        <v>45</v>
      </c>
      <c r="E4078" s="30" t="s">
        <v>66</v>
      </c>
      <c r="F4078" s="30" t="s">
        <v>43</v>
      </c>
      <c r="G4078" s="33">
        <v>2.07375</v>
      </c>
      <c r="H4078" s="83" t="s">
        <v>89</v>
      </c>
    </row>
    <row r="4079" spans="1:8" ht="16.5" customHeight="1" x14ac:dyDescent="0.25">
      <c r="A4079" s="27">
        <v>46134</v>
      </c>
      <c r="B4079" s="80">
        <v>2026</v>
      </c>
      <c r="C4079" s="80">
        <v>4</v>
      </c>
      <c r="D4079" s="30" t="s">
        <v>45</v>
      </c>
      <c r="E4079" s="30" t="s">
        <v>68</v>
      </c>
      <c r="F4079" s="30" t="s">
        <v>43</v>
      </c>
      <c r="G4079" s="33">
        <v>1.56</v>
      </c>
      <c r="H4079" s="83" t="s">
        <v>89</v>
      </c>
    </row>
    <row r="4080" spans="1:8" ht="16.5" customHeight="1" x14ac:dyDescent="0.25">
      <c r="A4080" s="27">
        <v>46134</v>
      </c>
      <c r="B4080" s="80">
        <v>2026</v>
      </c>
      <c r="C4080" s="80">
        <v>4</v>
      </c>
      <c r="D4080" s="30" t="s">
        <v>45</v>
      </c>
      <c r="E4080" s="30" t="s">
        <v>76</v>
      </c>
      <c r="F4080" s="30" t="s">
        <v>43</v>
      </c>
      <c r="G4080" s="33">
        <v>4.8220640000000001</v>
      </c>
      <c r="H4080" s="83" t="s">
        <v>48</v>
      </c>
    </row>
    <row r="4081" spans="1:8" ht="16.5" customHeight="1" x14ac:dyDescent="0.25">
      <c r="A4081" s="27">
        <v>46135</v>
      </c>
      <c r="B4081" s="80">
        <v>2026</v>
      </c>
      <c r="C4081" s="80">
        <v>4</v>
      </c>
      <c r="D4081" s="30" t="s">
        <v>45</v>
      </c>
      <c r="E4081" s="30" t="s">
        <v>38</v>
      </c>
      <c r="F4081" s="30" t="s">
        <v>43</v>
      </c>
      <c r="G4081" s="33">
        <v>1.65</v>
      </c>
      <c r="H4081" s="83" t="s">
        <v>88</v>
      </c>
    </row>
    <row r="4082" spans="1:8" ht="16.5" customHeight="1" x14ac:dyDescent="0.25">
      <c r="A4082" s="27">
        <v>46135</v>
      </c>
      <c r="B4082" s="80">
        <v>2026</v>
      </c>
      <c r="C4082" s="80">
        <v>4</v>
      </c>
      <c r="D4082" s="30" t="s">
        <v>45</v>
      </c>
      <c r="E4082" s="30" t="s">
        <v>38</v>
      </c>
      <c r="F4082" s="30" t="s">
        <v>58</v>
      </c>
      <c r="G4082" s="33">
        <v>0.59</v>
      </c>
      <c r="H4082" s="83" t="s">
        <v>88</v>
      </c>
    </row>
    <row r="4083" spans="1:8" ht="16.5" customHeight="1" x14ac:dyDescent="0.25">
      <c r="A4083" s="27">
        <v>46135</v>
      </c>
      <c r="B4083" s="80">
        <v>2026</v>
      </c>
      <c r="C4083" s="80">
        <v>4</v>
      </c>
      <c r="D4083" s="30" t="s">
        <v>45</v>
      </c>
      <c r="E4083" s="30" t="s">
        <v>42</v>
      </c>
      <c r="F4083" s="30" t="s">
        <v>43</v>
      </c>
      <c r="G4083" s="33">
        <v>11.288</v>
      </c>
      <c r="H4083" s="83" t="s">
        <v>88</v>
      </c>
    </row>
    <row r="4084" spans="1:8" ht="16.5" customHeight="1" x14ac:dyDescent="0.25">
      <c r="A4084" s="27">
        <v>46135</v>
      </c>
      <c r="B4084" s="80">
        <v>2026</v>
      </c>
      <c r="C4084" s="80">
        <v>4</v>
      </c>
      <c r="D4084" s="30" t="s">
        <v>45</v>
      </c>
      <c r="E4084" s="30" t="s">
        <v>46</v>
      </c>
      <c r="F4084" s="30" t="s">
        <v>43</v>
      </c>
      <c r="G4084" s="33">
        <v>0.62995719999999999</v>
      </c>
      <c r="H4084" s="83" t="s">
        <v>88</v>
      </c>
    </row>
    <row r="4085" spans="1:8" ht="16.5" customHeight="1" x14ac:dyDescent="0.25">
      <c r="A4085" s="27">
        <v>46135</v>
      </c>
      <c r="B4085" s="80">
        <v>2026</v>
      </c>
      <c r="C4085" s="80">
        <v>4</v>
      </c>
      <c r="D4085" s="30" t="s">
        <v>45</v>
      </c>
      <c r="E4085" s="30" t="s">
        <v>46</v>
      </c>
      <c r="F4085" s="30" t="s">
        <v>58</v>
      </c>
      <c r="G4085" s="33">
        <v>0.22486112</v>
      </c>
      <c r="H4085" s="83" t="s">
        <v>88</v>
      </c>
    </row>
    <row r="4086" spans="1:8" ht="16.5" customHeight="1" x14ac:dyDescent="0.25">
      <c r="A4086" s="27">
        <v>46135</v>
      </c>
      <c r="B4086" s="80">
        <v>2026</v>
      </c>
      <c r="C4086" s="80">
        <v>4</v>
      </c>
      <c r="D4086" s="30" t="s">
        <v>45</v>
      </c>
      <c r="E4086" s="30" t="s">
        <v>50</v>
      </c>
      <c r="F4086" s="30" t="s">
        <v>43</v>
      </c>
      <c r="G4086" s="33">
        <v>17.7482483</v>
      </c>
      <c r="H4086" s="83" t="s">
        <v>88</v>
      </c>
    </row>
    <row r="4087" spans="1:8" ht="16.5" customHeight="1" x14ac:dyDescent="0.25">
      <c r="A4087" s="27">
        <v>46135</v>
      </c>
      <c r="B4087" s="80">
        <v>2026</v>
      </c>
      <c r="C4087" s="80">
        <v>4</v>
      </c>
      <c r="D4087" s="30" t="s">
        <v>45</v>
      </c>
      <c r="E4087" s="30" t="s">
        <v>54</v>
      </c>
      <c r="F4087" s="30" t="s">
        <v>43</v>
      </c>
      <c r="G4087" s="33">
        <v>8.4904200000000003</v>
      </c>
      <c r="H4087" s="83" t="s">
        <v>88</v>
      </c>
    </row>
    <row r="4088" spans="1:8" ht="16.5" customHeight="1" x14ac:dyDescent="0.25">
      <c r="A4088" s="27">
        <v>46135</v>
      </c>
      <c r="B4088" s="80">
        <v>2026</v>
      </c>
      <c r="C4088" s="80">
        <v>4</v>
      </c>
      <c r="D4088" s="30" t="s">
        <v>45</v>
      </c>
      <c r="E4088" s="30" t="s">
        <v>66</v>
      </c>
      <c r="F4088" s="30" t="s">
        <v>43</v>
      </c>
      <c r="G4088" s="33">
        <v>4.1040000000000001</v>
      </c>
      <c r="H4088" s="83" t="s">
        <v>89</v>
      </c>
    </row>
    <row r="4089" spans="1:8" ht="16.5" customHeight="1" x14ac:dyDescent="0.25">
      <c r="A4089" s="27">
        <v>46136</v>
      </c>
      <c r="B4089" s="80">
        <v>2026</v>
      </c>
      <c r="C4089" s="80">
        <v>4</v>
      </c>
      <c r="D4089" s="30" t="s">
        <v>45</v>
      </c>
      <c r="E4089" s="30" t="s">
        <v>38</v>
      </c>
      <c r="F4089" s="30" t="s">
        <v>43</v>
      </c>
      <c r="G4089" s="33">
        <v>13.275</v>
      </c>
      <c r="H4089" s="83" t="s">
        <v>88</v>
      </c>
    </row>
    <row r="4090" spans="1:8" ht="16.5" customHeight="1" x14ac:dyDescent="0.25">
      <c r="A4090" s="27">
        <v>46136</v>
      </c>
      <c r="B4090" s="80">
        <v>2026</v>
      </c>
      <c r="C4090" s="80">
        <v>4</v>
      </c>
      <c r="D4090" s="30" t="s">
        <v>45</v>
      </c>
      <c r="E4090" s="30" t="s">
        <v>42</v>
      </c>
      <c r="F4090" s="30" t="s">
        <v>43</v>
      </c>
      <c r="G4090" s="33">
        <v>12.4955</v>
      </c>
      <c r="H4090" s="83" t="s">
        <v>88</v>
      </c>
    </row>
    <row r="4091" spans="1:8" ht="16.5" customHeight="1" x14ac:dyDescent="0.25">
      <c r="A4091" s="27">
        <v>46136</v>
      </c>
      <c r="B4091" s="80">
        <v>2026</v>
      </c>
      <c r="C4091" s="80">
        <v>4</v>
      </c>
      <c r="D4091" s="30" t="s">
        <v>45</v>
      </c>
      <c r="E4091" s="30" t="s">
        <v>46</v>
      </c>
      <c r="F4091" s="30" t="s">
        <v>43</v>
      </c>
      <c r="G4091" s="33">
        <v>5.7645647999999996</v>
      </c>
      <c r="H4091" s="83" t="s">
        <v>88</v>
      </c>
    </row>
    <row r="4092" spans="1:8" ht="16.5" customHeight="1" x14ac:dyDescent="0.25">
      <c r="A4092" s="27">
        <v>46136</v>
      </c>
      <c r="B4092" s="80">
        <v>2026</v>
      </c>
      <c r="C4092" s="80">
        <v>4</v>
      </c>
      <c r="D4092" s="30" t="s">
        <v>45</v>
      </c>
      <c r="E4092" s="30" t="s">
        <v>46</v>
      </c>
      <c r="F4092" s="30" t="s">
        <v>58</v>
      </c>
      <c r="G4092" s="33">
        <v>0.44400815999999999</v>
      </c>
      <c r="H4092" s="83" t="s">
        <v>88</v>
      </c>
    </row>
    <row r="4093" spans="1:8" ht="16.5" customHeight="1" x14ac:dyDescent="0.25">
      <c r="A4093" s="27">
        <v>46136</v>
      </c>
      <c r="B4093" s="80">
        <v>2026</v>
      </c>
      <c r="C4093" s="80">
        <v>4</v>
      </c>
      <c r="D4093" s="30" t="s">
        <v>45</v>
      </c>
      <c r="E4093" s="30" t="s">
        <v>50</v>
      </c>
      <c r="F4093" s="30" t="s">
        <v>43</v>
      </c>
      <c r="G4093" s="33">
        <v>15.255387499999999</v>
      </c>
      <c r="H4093" s="83" t="s">
        <v>88</v>
      </c>
    </row>
    <row r="4094" spans="1:8" ht="16.5" customHeight="1" x14ac:dyDescent="0.25">
      <c r="A4094" s="27">
        <v>46136</v>
      </c>
      <c r="B4094" s="80">
        <v>2026</v>
      </c>
      <c r="C4094" s="80">
        <v>4</v>
      </c>
      <c r="D4094" s="30" t="s">
        <v>45</v>
      </c>
      <c r="E4094" s="30" t="s">
        <v>50</v>
      </c>
      <c r="F4094" s="30" t="s">
        <v>47</v>
      </c>
      <c r="G4094" s="33">
        <v>1.2936000000000001</v>
      </c>
      <c r="H4094" s="83" t="s">
        <v>88</v>
      </c>
    </row>
    <row r="4095" spans="1:8" ht="16.5" customHeight="1" x14ac:dyDescent="0.25">
      <c r="A4095" s="27">
        <v>46136</v>
      </c>
      <c r="B4095" s="80">
        <v>2026</v>
      </c>
      <c r="C4095" s="80">
        <v>4</v>
      </c>
      <c r="D4095" s="30" t="s">
        <v>45</v>
      </c>
      <c r="E4095" s="30" t="s">
        <v>57</v>
      </c>
      <c r="F4095" s="30" t="s">
        <v>43</v>
      </c>
      <c r="G4095" s="33">
        <v>2.59</v>
      </c>
      <c r="H4095" s="83" t="s">
        <v>89</v>
      </c>
    </row>
    <row r="4096" spans="1:8" ht="16.5" customHeight="1" x14ac:dyDescent="0.25">
      <c r="A4096" s="27">
        <v>46136</v>
      </c>
      <c r="B4096" s="80">
        <v>2026</v>
      </c>
      <c r="C4096" s="80">
        <v>4</v>
      </c>
      <c r="D4096" s="30" t="s">
        <v>45</v>
      </c>
      <c r="E4096" s="30" t="s">
        <v>61</v>
      </c>
      <c r="F4096" s="30" t="s">
        <v>43</v>
      </c>
      <c r="G4096" s="33">
        <v>10.682499999999999</v>
      </c>
      <c r="H4096" s="83" t="s">
        <v>89</v>
      </c>
    </row>
    <row r="4097" spans="1:8" ht="16.5" customHeight="1" x14ac:dyDescent="0.25">
      <c r="A4097" s="27">
        <v>46136</v>
      </c>
      <c r="B4097" s="80">
        <v>2026</v>
      </c>
      <c r="C4097" s="80">
        <v>4</v>
      </c>
      <c r="D4097" s="30" t="s">
        <v>45</v>
      </c>
      <c r="E4097" s="30" t="s">
        <v>66</v>
      </c>
      <c r="F4097" s="30" t="s">
        <v>43</v>
      </c>
      <c r="G4097" s="33">
        <v>2.3519999999999999</v>
      </c>
      <c r="H4097" s="83" t="s">
        <v>89</v>
      </c>
    </row>
    <row r="4098" spans="1:8" ht="16.5" customHeight="1" x14ac:dyDescent="0.25">
      <c r="A4098" s="27">
        <v>46136</v>
      </c>
      <c r="B4098" s="80">
        <v>2026</v>
      </c>
      <c r="C4098" s="80">
        <v>4</v>
      </c>
      <c r="D4098" s="30" t="s">
        <v>45</v>
      </c>
      <c r="E4098" s="30" t="s">
        <v>68</v>
      </c>
      <c r="F4098" s="30" t="s">
        <v>51</v>
      </c>
      <c r="G4098" s="33">
        <v>1.9379999999999999</v>
      </c>
      <c r="H4098" s="83" t="s">
        <v>89</v>
      </c>
    </row>
    <row r="4099" spans="1:8" ht="16.5" customHeight="1" x14ac:dyDescent="0.25">
      <c r="A4099" s="27">
        <v>46136</v>
      </c>
      <c r="B4099" s="80">
        <v>2026</v>
      </c>
      <c r="C4099" s="80">
        <v>4</v>
      </c>
      <c r="D4099" s="30" t="s">
        <v>45</v>
      </c>
      <c r="E4099" s="30" t="s">
        <v>71</v>
      </c>
      <c r="F4099" s="30" t="s">
        <v>43</v>
      </c>
      <c r="G4099" s="33">
        <v>2.9987400000000002</v>
      </c>
      <c r="H4099" s="83" t="s">
        <v>89</v>
      </c>
    </row>
    <row r="4100" spans="1:8" ht="16.5" customHeight="1" x14ac:dyDescent="0.25">
      <c r="A4100" s="27">
        <v>46136</v>
      </c>
      <c r="B4100" s="80">
        <v>2026</v>
      </c>
      <c r="C4100" s="80">
        <v>4</v>
      </c>
      <c r="D4100" s="30" t="s">
        <v>45</v>
      </c>
      <c r="E4100" s="30" t="s">
        <v>73</v>
      </c>
      <c r="F4100" s="30" t="s">
        <v>43</v>
      </c>
      <c r="G4100" s="33">
        <v>1.5673999999999999</v>
      </c>
      <c r="H4100" s="83" t="s">
        <v>89</v>
      </c>
    </row>
    <row r="4101" spans="1:8" ht="16.5" customHeight="1" x14ac:dyDescent="0.25">
      <c r="A4101" s="27">
        <v>46136</v>
      </c>
      <c r="B4101" s="80">
        <v>2026</v>
      </c>
      <c r="C4101" s="80">
        <v>4</v>
      </c>
      <c r="D4101" s="30" t="s">
        <v>45</v>
      </c>
      <c r="E4101" s="30" t="s">
        <v>74</v>
      </c>
      <c r="F4101" s="30" t="s">
        <v>43</v>
      </c>
      <c r="G4101" s="33">
        <v>6.84</v>
      </c>
      <c r="H4101" s="83" t="s">
        <v>89</v>
      </c>
    </row>
    <row r="4102" spans="1:8" ht="16.5" customHeight="1" x14ac:dyDescent="0.25">
      <c r="A4102" s="27">
        <v>46136</v>
      </c>
      <c r="B4102" s="80">
        <v>2026</v>
      </c>
      <c r="C4102" s="80">
        <v>4</v>
      </c>
      <c r="D4102" s="30" t="s">
        <v>45</v>
      </c>
      <c r="E4102" s="30" t="s">
        <v>75</v>
      </c>
      <c r="F4102" s="30" t="s">
        <v>43</v>
      </c>
      <c r="G4102" s="33">
        <v>12.678941999999999</v>
      </c>
      <c r="H4102" s="83" t="s">
        <v>48</v>
      </c>
    </row>
    <row r="4103" spans="1:8" ht="16.5" customHeight="1" x14ac:dyDescent="0.25">
      <c r="A4103" s="27">
        <v>46139</v>
      </c>
      <c r="B4103" s="80">
        <v>2026</v>
      </c>
      <c r="C4103" s="80">
        <v>4</v>
      </c>
      <c r="D4103" s="30" t="s">
        <v>45</v>
      </c>
      <c r="E4103" s="30" t="s">
        <v>38</v>
      </c>
      <c r="F4103" s="30" t="s">
        <v>43</v>
      </c>
      <c r="G4103" s="33">
        <v>10.61125</v>
      </c>
      <c r="H4103" s="83" t="s">
        <v>88</v>
      </c>
    </row>
    <row r="4104" spans="1:8" ht="16.5" customHeight="1" x14ac:dyDescent="0.25">
      <c r="A4104" s="27">
        <v>46139</v>
      </c>
      <c r="B4104" s="80">
        <v>2026</v>
      </c>
      <c r="C4104" s="80">
        <v>4</v>
      </c>
      <c r="D4104" s="30" t="s">
        <v>45</v>
      </c>
      <c r="E4104" s="30" t="s">
        <v>42</v>
      </c>
      <c r="F4104" s="30" t="s">
        <v>43</v>
      </c>
      <c r="G4104" s="33">
        <v>3.2776000000000001</v>
      </c>
      <c r="H4104" s="83" t="s">
        <v>88</v>
      </c>
    </row>
    <row r="4105" spans="1:8" ht="16.5" customHeight="1" x14ac:dyDescent="0.25">
      <c r="A4105" s="27">
        <v>46139</v>
      </c>
      <c r="B4105" s="80">
        <v>2026</v>
      </c>
      <c r="C4105" s="80">
        <v>4</v>
      </c>
      <c r="D4105" s="30" t="s">
        <v>45</v>
      </c>
      <c r="E4105" s="30" t="s">
        <v>46</v>
      </c>
      <c r="F4105" s="30" t="s">
        <v>43</v>
      </c>
      <c r="G4105" s="33">
        <v>2.1275295999999999</v>
      </c>
      <c r="H4105" s="83" t="s">
        <v>88</v>
      </c>
    </row>
    <row r="4106" spans="1:8" ht="16.5" customHeight="1" x14ac:dyDescent="0.25">
      <c r="A4106" s="27">
        <v>46139</v>
      </c>
      <c r="B4106" s="80">
        <v>2026</v>
      </c>
      <c r="C4106" s="80">
        <v>4</v>
      </c>
      <c r="D4106" s="30" t="s">
        <v>45</v>
      </c>
      <c r="E4106" s="30" t="s">
        <v>46</v>
      </c>
      <c r="F4106" s="30" t="s">
        <v>47</v>
      </c>
      <c r="G4106" s="33">
        <v>0.31797799999999998</v>
      </c>
      <c r="H4106" s="83" t="s">
        <v>88</v>
      </c>
    </row>
    <row r="4107" spans="1:8" ht="16.5" customHeight="1" x14ac:dyDescent="0.25">
      <c r="A4107" s="27">
        <v>46139</v>
      </c>
      <c r="B4107" s="80">
        <v>2026</v>
      </c>
      <c r="C4107" s="80">
        <v>4</v>
      </c>
      <c r="D4107" s="30" t="s">
        <v>45</v>
      </c>
      <c r="E4107" s="30" t="s">
        <v>46</v>
      </c>
      <c r="F4107" s="30" t="s">
        <v>55</v>
      </c>
      <c r="G4107" s="33">
        <v>0.23203799999999999</v>
      </c>
      <c r="H4107" s="83" t="s">
        <v>88</v>
      </c>
    </row>
    <row r="4108" spans="1:8" ht="16.5" customHeight="1" x14ac:dyDescent="0.25">
      <c r="A4108" s="27">
        <v>46139</v>
      </c>
      <c r="B4108" s="80">
        <v>2026</v>
      </c>
      <c r="C4108" s="80">
        <v>4</v>
      </c>
      <c r="D4108" s="30" t="s">
        <v>45</v>
      </c>
      <c r="E4108" s="30" t="s">
        <v>46</v>
      </c>
      <c r="F4108" s="30" t="s">
        <v>58</v>
      </c>
      <c r="G4108" s="33">
        <v>0.40296375000000001</v>
      </c>
      <c r="H4108" s="83" t="s">
        <v>88</v>
      </c>
    </row>
    <row r="4109" spans="1:8" ht="16.5" customHeight="1" x14ac:dyDescent="0.25">
      <c r="A4109" s="27">
        <v>46139</v>
      </c>
      <c r="B4109" s="80">
        <v>2026</v>
      </c>
      <c r="C4109" s="80">
        <v>4</v>
      </c>
      <c r="D4109" s="30" t="s">
        <v>45</v>
      </c>
      <c r="E4109" s="30" t="s">
        <v>50</v>
      </c>
      <c r="F4109" s="30" t="s">
        <v>43</v>
      </c>
      <c r="G4109" s="33">
        <v>13.8442416</v>
      </c>
      <c r="H4109" s="83" t="s">
        <v>88</v>
      </c>
    </row>
    <row r="4110" spans="1:8" ht="16.5" customHeight="1" x14ac:dyDescent="0.25">
      <c r="A4110" s="27">
        <v>46139</v>
      </c>
      <c r="B4110" s="80">
        <v>2026</v>
      </c>
      <c r="C4110" s="80">
        <v>4</v>
      </c>
      <c r="D4110" s="30" t="s">
        <v>45</v>
      </c>
      <c r="E4110" s="30" t="s">
        <v>50</v>
      </c>
      <c r="F4110" s="30" t="s">
        <v>47</v>
      </c>
      <c r="G4110" s="33">
        <v>0.83299999999999996</v>
      </c>
      <c r="H4110" s="83" t="s">
        <v>88</v>
      </c>
    </row>
    <row r="4111" spans="1:8" ht="16.5" customHeight="1" x14ac:dyDescent="0.25">
      <c r="A4111" s="27">
        <v>46139</v>
      </c>
      <c r="B4111" s="80">
        <v>2026</v>
      </c>
      <c r="C4111" s="80">
        <v>4</v>
      </c>
      <c r="D4111" s="30" t="s">
        <v>45</v>
      </c>
      <c r="E4111" s="30" t="s">
        <v>50</v>
      </c>
      <c r="F4111" s="30" t="s">
        <v>51</v>
      </c>
      <c r="G4111" s="33">
        <v>0.1275</v>
      </c>
      <c r="H4111" s="83" t="s">
        <v>88</v>
      </c>
    </row>
    <row r="4112" spans="1:8" ht="16.5" customHeight="1" x14ac:dyDescent="0.25">
      <c r="A4112" s="27">
        <v>46139</v>
      </c>
      <c r="B4112" s="80">
        <v>2026</v>
      </c>
      <c r="C4112" s="80">
        <v>4</v>
      </c>
      <c r="D4112" s="30" t="s">
        <v>45</v>
      </c>
      <c r="E4112" s="30" t="s">
        <v>54</v>
      </c>
      <c r="F4112" s="30" t="s">
        <v>43</v>
      </c>
      <c r="G4112" s="33">
        <v>3.5994999999999999</v>
      </c>
      <c r="H4112" s="83" t="s">
        <v>88</v>
      </c>
    </row>
    <row r="4113" spans="1:8" ht="16.5" customHeight="1" x14ac:dyDescent="0.25">
      <c r="A4113" s="27">
        <v>46139</v>
      </c>
      <c r="B4113" s="80">
        <v>2026</v>
      </c>
      <c r="C4113" s="80">
        <v>4</v>
      </c>
      <c r="D4113" s="30" t="s">
        <v>45</v>
      </c>
      <c r="E4113" s="30" t="s">
        <v>61</v>
      </c>
      <c r="F4113" s="30" t="s">
        <v>43</v>
      </c>
      <c r="G4113" s="33">
        <v>1.11375</v>
      </c>
      <c r="H4113" s="83" t="s">
        <v>89</v>
      </c>
    </row>
    <row r="4114" spans="1:8" ht="16.5" customHeight="1" x14ac:dyDescent="0.25">
      <c r="A4114" s="27">
        <v>46139</v>
      </c>
      <c r="B4114" s="80">
        <v>2026</v>
      </c>
      <c r="C4114" s="80">
        <v>4</v>
      </c>
      <c r="D4114" s="30" t="s">
        <v>45</v>
      </c>
      <c r="E4114" s="30" t="s">
        <v>61</v>
      </c>
      <c r="F4114" s="30" t="s">
        <v>47</v>
      </c>
      <c r="G4114" s="33">
        <v>-0.4446</v>
      </c>
      <c r="H4114" s="83" t="s">
        <v>89</v>
      </c>
    </row>
    <row r="4115" spans="1:8" ht="16.5" customHeight="1" x14ac:dyDescent="0.25">
      <c r="A4115" s="27">
        <v>46139</v>
      </c>
      <c r="B4115" s="80">
        <v>2026</v>
      </c>
      <c r="C4115" s="80">
        <v>4</v>
      </c>
      <c r="D4115" s="30" t="s">
        <v>45</v>
      </c>
      <c r="E4115" s="30" t="s">
        <v>71</v>
      </c>
      <c r="F4115" s="30" t="s">
        <v>43</v>
      </c>
      <c r="G4115" s="33">
        <v>4.0960000000000001</v>
      </c>
      <c r="H4115" s="83" t="s">
        <v>89</v>
      </c>
    </row>
    <row r="4116" spans="1:8" ht="16.5" customHeight="1" x14ac:dyDescent="0.25">
      <c r="A4116" s="27">
        <v>46140</v>
      </c>
      <c r="B4116" s="80">
        <v>2026</v>
      </c>
      <c r="C4116" s="80">
        <v>4</v>
      </c>
      <c r="D4116" s="30" t="s">
        <v>45</v>
      </c>
      <c r="E4116" s="30" t="s">
        <v>38</v>
      </c>
      <c r="F4116" s="30" t="s">
        <v>43</v>
      </c>
      <c r="G4116" s="33">
        <v>13.433228</v>
      </c>
      <c r="H4116" s="83" t="s">
        <v>88</v>
      </c>
    </row>
    <row r="4117" spans="1:8" ht="16.5" customHeight="1" x14ac:dyDescent="0.25">
      <c r="A4117" s="27">
        <v>46140</v>
      </c>
      <c r="B4117" s="80">
        <v>2026</v>
      </c>
      <c r="C4117" s="80">
        <v>4</v>
      </c>
      <c r="D4117" s="30" t="s">
        <v>45</v>
      </c>
      <c r="E4117" s="30" t="s">
        <v>38</v>
      </c>
      <c r="F4117" s="30" t="s">
        <v>58</v>
      </c>
      <c r="G4117" s="33">
        <v>0.2487828</v>
      </c>
      <c r="H4117" s="83" t="s">
        <v>88</v>
      </c>
    </row>
    <row r="4118" spans="1:8" ht="16.5" customHeight="1" x14ac:dyDescent="0.25">
      <c r="A4118" s="27">
        <v>46140</v>
      </c>
      <c r="B4118" s="80">
        <v>2026</v>
      </c>
      <c r="C4118" s="80">
        <v>4</v>
      </c>
      <c r="D4118" s="30" t="s">
        <v>45</v>
      </c>
      <c r="E4118" s="30" t="s">
        <v>46</v>
      </c>
      <c r="F4118" s="30" t="s">
        <v>43</v>
      </c>
      <c r="G4118" s="33">
        <v>11.840692799999999</v>
      </c>
      <c r="H4118" s="83" t="s">
        <v>88</v>
      </c>
    </row>
    <row r="4119" spans="1:8" ht="16.5" customHeight="1" x14ac:dyDescent="0.25">
      <c r="A4119" s="27">
        <v>46140</v>
      </c>
      <c r="B4119" s="80">
        <v>2026</v>
      </c>
      <c r="C4119" s="80">
        <v>4</v>
      </c>
      <c r="D4119" s="30" t="s">
        <v>45</v>
      </c>
      <c r="E4119" s="30" t="s">
        <v>46</v>
      </c>
      <c r="F4119" s="30" t="s">
        <v>47</v>
      </c>
      <c r="G4119" s="33">
        <v>0.13108</v>
      </c>
      <c r="H4119" s="83" t="s">
        <v>88</v>
      </c>
    </row>
    <row r="4120" spans="1:8" ht="16.5" customHeight="1" x14ac:dyDescent="0.25">
      <c r="A4120" s="27">
        <v>46140</v>
      </c>
      <c r="B4120" s="80">
        <v>2026</v>
      </c>
      <c r="C4120" s="80">
        <v>4</v>
      </c>
      <c r="D4120" s="30" t="s">
        <v>45</v>
      </c>
      <c r="E4120" s="30" t="s">
        <v>46</v>
      </c>
      <c r="F4120" s="30" t="s">
        <v>51</v>
      </c>
      <c r="G4120" s="33">
        <v>0.46104000000000001</v>
      </c>
      <c r="H4120" s="83" t="s">
        <v>88</v>
      </c>
    </row>
    <row r="4121" spans="1:8" ht="16.5" customHeight="1" x14ac:dyDescent="0.25">
      <c r="A4121" s="27">
        <v>46140</v>
      </c>
      <c r="B4121" s="80">
        <v>2026</v>
      </c>
      <c r="C4121" s="80">
        <v>4</v>
      </c>
      <c r="D4121" s="30" t="s">
        <v>45</v>
      </c>
      <c r="E4121" s="30" t="s">
        <v>46</v>
      </c>
      <c r="F4121" s="30" t="s">
        <v>58</v>
      </c>
      <c r="G4121" s="33">
        <v>0.59410335999999997</v>
      </c>
      <c r="H4121" s="83" t="s">
        <v>88</v>
      </c>
    </row>
    <row r="4122" spans="1:8" ht="16.5" customHeight="1" x14ac:dyDescent="0.25">
      <c r="A4122" s="27">
        <v>46140</v>
      </c>
      <c r="B4122" s="80">
        <v>2026</v>
      </c>
      <c r="C4122" s="80">
        <v>4</v>
      </c>
      <c r="D4122" s="30" t="s">
        <v>45</v>
      </c>
      <c r="E4122" s="30" t="s">
        <v>50</v>
      </c>
      <c r="F4122" s="30" t="s">
        <v>43</v>
      </c>
      <c r="G4122" s="33">
        <v>7.4190965000000002</v>
      </c>
      <c r="H4122" s="83" t="s">
        <v>88</v>
      </c>
    </row>
    <row r="4123" spans="1:8" ht="16.5" customHeight="1" x14ac:dyDescent="0.25">
      <c r="A4123" s="27">
        <v>46140</v>
      </c>
      <c r="B4123" s="80">
        <v>2026</v>
      </c>
      <c r="C4123" s="80">
        <v>4</v>
      </c>
      <c r="D4123" s="30" t="s">
        <v>45</v>
      </c>
      <c r="E4123" s="30" t="s">
        <v>50</v>
      </c>
      <c r="F4123" s="30" t="s">
        <v>47</v>
      </c>
      <c r="G4123" s="33">
        <v>0.76746599999999998</v>
      </c>
      <c r="H4123" s="83" t="s">
        <v>88</v>
      </c>
    </row>
    <row r="4124" spans="1:8" ht="16.5" customHeight="1" x14ac:dyDescent="0.25">
      <c r="A4124" s="27">
        <v>46140</v>
      </c>
      <c r="B4124" s="80">
        <v>2026</v>
      </c>
      <c r="C4124" s="80">
        <v>4</v>
      </c>
      <c r="D4124" s="30" t="s">
        <v>45</v>
      </c>
      <c r="E4124" s="30" t="s">
        <v>50</v>
      </c>
      <c r="F4124" s="30" t="s">
        <v>55</v>
      </c>
      <c r="G4124" s="33">
        <v>9.2492400000000004</v>
      </c>
      <c r="H4124" s="83" t="s">
        <v>88</v>
      </c>
    </row>
    <row r="4125" spans="1:8" ht="16.5" customHeight="1" x14ac:dyDescent="0.25">
      <c r="A4125" s="27">
        <v>46140</v>
      </c>
      <c r="B4125" s="80">
        <v>2026</v>
      </c>
      <c r="C4125" s="80">
        <v>4</v>
      </c>
      <c r="D4125" s="30" t="s">
        <v>45</v>
      </c>
      <c r="E4125" s="30" t="s">
        <v>50</v>
      </c>
      <c r="F4125" s="30" t="s">
        <v>58</v>
      </c>
      <c r="G4125" s="33">
        <v>53.50199705</v>
      </c>
      <c r="H4125" s="83" t="s">
        <v>88</v>
      </c>
    </row>
    <row r="4126" spans="1:8" ht="16.5" customHeight="1" x14ac:dyDescent="0.25">
      <c r="A4126" s="27">
        <v>46140</v>
      </c>
      <c r="B4126" s="80">
        <v>2026</v>
      </c>
      <c r="C4126" s="80">
        <v>4</v>
      </c>
      <c r="D4126" s="30" t="s">
        <v>45</v>
      </c>
      <c r="E4126" s="30" t="s">
        <v>54</v>
      </c>
      <c r="F4126" s="30" t="s">
        <v>43</v>
      </c>
      <c r="G4126" s="33">
        <v>1.55365</v>
      </c>
      <c r="H4126" s="83" t="s">
        <v>88</v>
      </c>
    </row>
    <row r="4127" spans="1:8" ht="16.5" customHeight="1" x14ac:dyDescent="0.25">
      <c r="A4127" s="27">
        <v>46140</v>
      </c>
      <c r="B4127" s="80">
        <v>2026</v>
      </c>
      <c r="C4127" s="80">
        <v>4</v>
      </c>
      <c r="D4127" s="30" t="s">
        <v>45</v>
      </c>
      <c r="E4127" s="30" t="s">
        <v>71</v>
      </c>
      <c r="F4127" s="30" t="s">
        <v>43</v>
      </c>
      <c r="G4127" s="33">
        <v>2.21875</v>
      </c>
      <c r="H4127" s="83" t="s">
        <v>89</v>
      </c>
    </row>
    <row r="4128" spans="1:8" ht="16.5" customHeight="1" x14ac:dyDescent="0.25">
      <c r="A4128" s="27">
        <v>46140</v>
      </c>
      <c r="B4128" s="80">
        <v>2026</v>
      </c>
      <c r="C4128" s="80">
        <v>4</v>
      </c>
      <c r="D4128" s="30" t="s">
        <v>45</v>
      </c>
      <c r="E4128" s="30" t="s">
        <v>71</v>
      </c>
      <c r="F4128" s="30" t="s">
        <v>55</v>
      </c>
      <c r="G4128" s="33">
        <v>0.66</v>
      </c>
      <c r="H4128" s="83" t="s">
        <v>89</v>
      </c>
    </row>
    <row r="4129" spans="1:8" ht="16.5" customHeight="1" x14ac:dyDescent="0.25">
      <c r="A4129" s="27">
        <v>46141</v>
      </c>
      <c r="B4129" s="80">
        <v>2026</v>
      </c>
      <c r="C4129" s="80">
        <v>4</v>
      </c>
      <c r="D4129" s="30" t="s">
        <v>45</v>
      </c>
      <c r="E4129" s="30" t="s">
        <v>38</v>
      </c>
      <c r="F4129" s="30" t="s">
        <v>43</v>
      </c>
      <c r="G4129" s="33">
        <v>5.6040000000000001</v>
      </c>
      <c r="H4129" s="83" t="s">
        <v>88</v>
      </c>
    </row>
    <row r="4130" spans="1:8" ht="16.5" customHeight="1" x14ac:dyDescent="0.25">
      <c r="A4130" s="27">
        <v>46141</v>
      </c>
      <c r="B4130" s="80">
        <v>2026</v>
      </c>
      <c r="C4130" s="80">
        <v>4</v>
      </c>
      <c r="D4130" s="30" t="s">
        <v>45</v>
      </c>
      <c r="E4130" s="30" t="s">
        <v>42</v>
      </c>
      <c r="F4130" s="30" t="s">
        <v>43</v>
      </c>
      <c r="G4130" s="33">
        <v>38.050870000000003</v>
      </c>
      <c r="H4130" s="83" t="s">
        <v>88</v>
      </c>
    </row>
    <row r="4131" spans="1:8" ht="16.5" customHeight="1" x14ac:dyDescent="0.25">
      <c r="A4131" s="27">
        <v>46141</v>
      </c>
      <c r="B4131" s="80">
        <v>2026</v>
      </c>
      <c r="C4131" s="80">
        <v>4</v>
      </c>
      <c r="D4131" s="30" t="s">
        <v>45</v>
      </c>
      <c r="E4131" s="30" t="s">
        <v>50</v>
      </c>
      <c r="F4131" s="30" t="s">
        <v>43</v>
      </c>
      <c r="G4131" s="33">
        <v>9.1687095000000003</v>
      </c>
      <c r="H4131" s="83" t="s">
        <v>88</v>
      </c>
    </row>
    <row r="4132" spans="1:8" ht="16.5" customHeight="1" x14ac:dyDescent="0.25">
      <c r="A4132" s="27">
        <v>46141</v>
      </c>
      <c r="B4132" s="80">
        <v>2026</v>
      </c>
      <c r="C4132" s="80">
        <v>4</v>
      </c>
      <c r="D4132" s="30" t="s">
        <v>45</v>
      </c>
      <c r="E4132" s="30" t="s">
        <v>50</v>
      </c>
      <c r="F4132" s="30" t="s">
        <v>47</v>
      </c>
      <c r="G4132" s="33">
        <v>0.64680000000000004</v>
      </c>
      <c r="H4132" s="83" t="s">
        <v>88</v>
      </c>
    </row>
    <row r="4133" spans="1:8" ht="16.5" customHeight="1" x14ac:dyDescent="0.25">
      <c r="A4133" s="27">
        <v>46141</v>
      </c>
      <c r="B4133" s="80">
        <v>2026</v>
      </c>
      <c r="C4133" s="80">
        <v>4</v>
      </c>
      <c r="D4133" s="30" t="s">
        <v>45</v>
      </c>
      <c r="E4133" s="30" t="s">
        <v>50</v>
      </c>
      <c r="F4133" s="30" t="s">
        <v>51</v>
      </c>
      <c r="G4133" s="33">
        <v>0.50575000000000003</v>
      </c>
      <c r="H4133" s="83" t="s">
        <v>88</v>
      </c>
    </row>
    <row r="4134" spans="1:8" ht="16.5" customHeight="1" x14ac:dyDescent="0.25">
      <c r="A4134" s="27">
        <v>46141</v>
      </c>
      <c r="B4134" s="80">
        <v>2026</v>
      </c>
      <c r="C4134" s="80">
        <v>4</v>
      </c>
      <c r="D4134" s="30" t="s">
        <v>45</v>
      </c>
      <c r="E4134" s="30" t="s">
        <v>50</v>
      </c>
      <c r="F4134" s="30" t="s">
        <v>58</v>
      </c>
      <c r="G4134" s="33">
        <v>0.41257125</v>
      </c>
      <c r="H4134" s="83" t="s">
        <v>88</v>
      </c>
    </row>
    <row r="4135" spans="1:8" ht="16.5" customHeight="1" x14ac:dyDescent="0.25">
      <c r="A4135" s="27">
        <v>46141</v>
      </c>
      <c r="B4135" s="80">
        <v>2026</v>
      </c>
      <c r="C4135" s="80">
        <v>4</v>
      </c>
      <c r="D4135" s="30" t="s">
        <v>45</v>
      </c>
      <c r="E4135" s="30" t="s">
        <v>66</v>
      </c>
      <c r="F4135" s="30" t="s">
        <v>43</v>
      </c>
      <c r="G4135" s="33">
        <v>32.736750000000001</v>
      </c>
      <c r="H4135" s="83" t="s">
        <v>89</v>
      </c>
    </row>
    <row r="4136" spans="1:8" ht="16.5" customHeight="1" x14ac:dyDescent="0.25">
      <c r="A4136" s="27">
        <v>46141</v>
      </c>
      <c r="B4136" s="80">
        <v>2026</v>
      </c>
      <c r="C4136" s="80">
        <v>4</v>
      </c>
      <c r="D4136" s="30" t="s">
        <v>45</v>
      </c>
      <c r="E4136" s="30" t="s">
        <v>71</v>
      </c>
      <c r="F4136" s="30" t="s">
        <v>39</v>
      </c>
      <c r="G4136" s="33">
        <v>4.0182450000000003</v>
      </c>
      <c r="H4136" s="83" t="s">
        <v>89</v>
      </c>
    </row>
    <row r="4137" spans="1:8" ht="16.5" customHeight="1" x14ac:dyDescent="0.25">
      <c r="A4137" s="27">
        <v>46141</v>
      </c>
      <c r="B4137" s="80">
        <v>2026</v>
      </c>
      <c r="C4137" s="80">
        <v>4</v>
      </c>
      <c r="D4137" s="30" t="s">
        <v>45</v>
      </c>
      <c r="E4137" s="30" t="s">
        <v>75</v>
      </c>
      <c r="F4137" s="30" t="s">
        <v>39</v>
      </c>
      <c r="G4137" s="33">
        <v>220.8</v>
      </c>
      <c r="H4137" s="83" t="s">
        <v>48</v>
      </c>
    </row>
    <row r="4138" spans="1:8" ht="16.5" customHeight="1" x14ac:dyDescent="0.25">
      <c r="A4138" s="27">
        <v>46141</v>
      </c>
      <c r="B4138" s="80">
        <v>2026</v>
      </c>
      <c r="C4138" s="80">
        <v>4</v>
      </c>
      <c r="D4138" s="30" t="s">
        <v>45</v>
      </c>
      <c r="E4138" s="30" t="s">
        <v>75</v>
      </c>
      <c r="F4138" s="30" t="s">
        <v>43</v>
      </c>
      <c r="G4138" s="33">
        <v>14.681492499999999</v>
      </c>
      <c r="H4138" s="83" t="s">
        <v>48</v>
      </c>
    </row>
    <row r="4139" spans="1:8" ht="16.5" customHeight="1" x14ac:dyDescent="0.25">
      <c r="A4139" s="27">
        <v>46142</v>
      </c>
      <c r="B4139" s="80">
        <v>2026</v>
      </c>
      <c r="C4139" s="80">
        <v>4</v>
      </c>
      <c r="D4139" s="30" t="s">
        <v>45</v>
      </c>
      <c r="E4139" s="30" t="s">
        <v>38</v>
      </c>
      <c r="F4139" s="30" t="s">
        <v>43</v>
      </c>
      <c r="G4139" s="33">
        <v>5.5751999999999997</v>
      </c>
      <c r="H4139" s="83" t="s">
        <v>88</v>
      </c>
    </row>
    <row r="4140" spans="1:8" ht="16.5" customHeight="1" x14ac:dyDescent="0.25">
      <c r="A4140" s="27">
        <v>46142</v>
      </c>
      <c r="B4140" s="80">
        <v>2026</v>
      </c>
      <c r="C4140" s="80">
        <v>4</v>
      </c>
      <c r="D4140" s="30" t="s">
        <v>45</v>
      </c>
      <c r="E4140" s="30" t="s">
        <v>42</v>
      </c>
      <c r="F4140" s="30" t="s">
        <v>43</v>
      </c>
      <c r="G4140" s="33">
        <v>30.33</v>
      </c>
      <c r="H4140" s="83" t="s">
        <v>88</v>
      </c>
    </row>
    <row r="4141" spans="1:8" ht="16.5" customHeight="1" x14ac:dyDescent="0.25">
      <c r="A4141" s="27">
        <v>46142</v>
      </c>
      <c r="B4141" s="80">
        <v>2026</v>
      </c>
      <c r="C4141" s="80">
        <v>4</v>
      </c>
      <c r="D4141" s="30" t="s">
        <v>45</v>
      </c>
      <c r="E4141" s="30" t="s">
        <v>46</v>
      </c>
      <c r="F4141" s="30" t="s">
        <v>43</v>
      </c>
      <c r="G4141" s="33">
        <v>0.42312359999999999</v>
      </c>
      <c r="H4141" s="83" t="s">
        <v>88</v>
      </c>
    </row>
    <row r="4142" spans="1:8" ht="16.5" customHeight="1" x14ac:dyDescent="0.25">
      <c r="A4142" s="27">
        <v>46142</v>
      </c>
      <c r="B4142" s="80">
        <v>2026</v>
      </c>
      <c r="C4142" s="80">
        <v>4</v>
      </c>
      <c r="D4142" s="30" t="s">
        <v>45</v>
      </c>
      <c r="E4142" s="30" t="s">
        <v>50</v>
      </c>
      <c r="F4142" s="30" t="s">
        <v>43</v>
      </c>
      <c r="G4142" s="33">
        <v>116.256547</v>
      </c>
      <c r="H4142" s="83" t="s">
        <v>88</v>
      </c>
    </row>
    <row r="4143" spans="1:8" ht="16.5" customHeight="1" x14ac:dyDescent="0.25">
      <c r="A4143" s="27">
        <v>46142</v>
      </c>
      <c r="B4143" s="80">
        <v>2026</v>
      </c>
      <c r="C4143" s="80">
        <v>4</v>
      </c>
      <c r="D4143" s="30" t="s">
        <v>45</v>
      </c>
      <c r="E4143" s="30" t="s">
        <v>50</v>
      </c>
      <c r="F4143" s="30" t="s">
        <v>47</v>
      </c>
      <c r="G4143" s="33">
        <v>1.1010720000000001</v>
      </c>
      <c r="H4143" s="83" t="s">
        <v>88</v>
      </c>
    </row>
    <row r="4144" spans="1:8" ht="16.5" customHeight="1" x14ac:dyDescent="0.25">
      <c r="A4144" s="27">
        <v>46142</v>
      </c>
      <c r="B4144" s="80">
        <v>2026</v>
      </c>
      <c r="C4144" s="80">
        <v>4</v>
      </c>
      <c r="D4144" s="30" t="s">
        <v>45</v>
      </c>
      <c r="E4144" s="30" t="s">
        <v>50</v>
      </c>
      <c r="F4144" s="30" t="s">
        <v>58</v>
      </c>
      <c r="G4144" s="33">
        <v>0.44759988000000001</v>
      </c>
      <c r="H4144" s="83" t="s">
        <v>88</v>
      </c>
    </row>
    <row r="4145" spans="1:8" ht="16.5" customHeight="1" x14ac:dyDescent="0.25">
      <c r="A4145" s="27">
        <v>46142</v>
      </c>
      <c r="B4145" s="80">
        <v>2026</v>
      </c>
      <c r="C4145" s="80">
        <v>4</v>
      </c>
      <c r="D4145" s="30" t="s">
        <v>45</v>
      </c>
      <c r="E4145" s="30" t="s">
        <v>54</v>
      </c>
      <c r="F4145" s="30" t="s">
        <v>43</v>
      </c>
      <c r="G4145" s="33">
        <v>15.173999999999999</v>
      </c>
      <c r="H4145" s="83" t="s">
        <v>88</v>
      </c>
    </row>
    <row r="4146" spans="1:8" ht="16.5" customHeight="1" x14ac:dyDescent="0.25">
      <c r="A4146" s="27">
        <v>46142</v>
      </c>
      <c r="B4146" s="80">
        <v>2026</v>
      </c>
      <c r="C4146" s="80">
        <v>4</v>
      </c>
      <c r="D4146" s="30" t="s">
        <v>45</v>
      </c>
      <c r="E4146" s="30" t="s">
        <v>64</v>
      </c>
      <c r="F4146" s="30" t="s">
        <v>43</v>
      </c>
      <c r="G4146" s="33">
        <v>20.231999999999999</v>
      </c>
      <c r="H4146" s="83" t="s">
        <v>89</v>
      </c>
    </row>
    <row r="4147" spans="1:8" ht="16.5" customHeight="1" x14ac:dyDescent="0.25">
      <c r="A4147" s="27">
        <v>46143</v>
      </c>
      <c r="B4147" s="80">
        <v>2026</v>
      </c>
      <c r="C4147" s="80">
        <v>5</v>
      </c>
      <c r="D4147" s="30" t="s">
        <v>7</v>
      </c>
      <c r="E4147" s="30" t="s">
        <v>50</v>
      </c>
      <c r="F4147" s="30" t="s">
        <v>47</v>
      </c>
      <c r="G4147" s="33">
        <v>1.2936000000000001</v>
      </c>
      <c r="H4147" s="83" t="s">
        <v>88</v>
      </c>
    </row>
    <row r="4148" spans="1:8" ht="16.5" customHeight="1" x14ac:dyDescent="0.25">
      <c r="A4148" s="27">
        <v>46146</v>
      </c>
      <c r="B4148" s="80">
        <v>2026</v>
      </c>
      <c r="C4148" s="80">
        <v>5</v>
      </c>
      <c r="D4148" s="30" t="s">
        <v>7</v>
      </c>
      <c r="E4148" s="30" t="s">
        <v>42</v>
      </c>
      <c r="F4148" s="30" t="s">
        <v>43</v>
      </c>
      <c r="G4148" s="33">
        <v>4.5410000000000004</v>
      </c>
      <c r="H4148" s="83" t="s">
        <v>88</v>
      </c>
    </row>
    <row r="4149" spans="1:8" ht="16.5" customHeight="1" x14ac:dyDescent="0.25">
      <c r="A4149" s="27">
        <v>46146</v>
      </c>
      <c r="B4149" s="80">
        <v>2026</v>
      </c>
      <c r="C4149" s="80">
        <v>5</v>
      </c>
      <c r="D4149" s="30" t="s">
        <v>7</v>
      </c>
      <c r="E4149" s="30" t="s">
        <v>42</v>
      </c>
      <c r="F4149" s="30" t="s">
        <v>47</v>
      </c>
      <c r="G4149" s="33">
        <v>1.76</v>
      </c>
      <c r="H4149" s="83" t="s">
        <v>88</v>
      </c>
    </row>
    <row r="4150" spans="1:8" ht="16.5" customHeight="1" x14ac:dyDescent="0.25">
      <c r="A4150" s="27">
        <v>46146</v>
      </c>
      <c r="B4150" s="80">
        <v>2026</v>
      </c>
      <c r="C4150" s="80">
        <v>5</v>
      </c>
      <c r="D4150" s="30" t="s">
        <v>7</v>
      </c>
      <c r="E4150" s="30" t="s">
        <v>42</v>
      </c>
      <c r="F4150" s="30" t="s">
        <v>51</v>
      </c>
      <c r="G4150" s="33">
        <v>0.63</v>
      </c>
      <c r="H4150" s="83" t="s">
        <v>88</v>
      </c>
    </row>
    <row r="4151" spans="1:8" ht="16.5" customHeight="1" x14ac:dyDescent="0.25">
      <c r="A4151" s="27">
        <v>46146</v>
      </c>
      <c r="B4151" s="80">
        <v>2026</v>
      </c>
      <c r="C4151" s="80">
        <v>5</v>
      </c>
      <c r="D4151" s="30" t="s">
        <v>7</v>
      </c>
      <c r="E4151" s="30" t="s">
        <v>46</v>
      </c>
      <c r="F4151" s="30" t="s">
        <v>43</v>
      </c>
      <c r="G4151" s="33">
        <v>2.2772008000000001</v>
      </c>
      <c r="H4151" s="83" t="s">
        <v>88</v>
      </c>
    </row>
    <row r="4152" spans="1:8" ht="16.5" customHeight="1" x14ac:dyDescent="0.25">
      <c r="A4152" s="27">
        <v>46146</v>
      </c>
      <c r="B4152" s="80">
        <v>2026</v>
      </c>
      <c r="C4152" s="80">
        <v>5</v>
      </c>
      <c r="D4152" s="30" t="s">
        <v>7</v>
      </c>
      <c r="E4152" s="30" t="s">
        <v>50</v>
      </c>
      <c r="F4152" s="30" t="s">
        <v>43</v>
      </c>
      <c r="G4152" s="33">
        <v>52.603576199999999</v>
      </c>
      <c r="H4152" s="83" t="s">
        <v>88</v>
      </c>
    </row>
    <row r="4153" spans="1:8" ht="16.5" customHeight="1" x14ac:dyDescent="0.25">
      <c r="A4153" s="27">
        <v>46146</v>
      </c>
      <c r="B4153" s="80">
        <v>2026</v>
      </c>
      <c r="C4153" s="80">
        <v>5</v>
      </c>
      <c r="D4153" s="30" t="s">
        <v>7</v>
      </c>
      <c r="E4153" s="30" t="s">
        <v>50</v>
      </c>
      <c r="F4153" s="30" t="s">
        <v>51</v>
      </c>
      <c r="G4153" s="33">
        <v>0.62475000000000003</v>
      </c>
      <c r="H4153" s="83" t="s">
        <v>88</v>
      </c>
    </row>
    <row r="4154" spans="1:8" ht="16.5" customHeight="1" x14ac:dyDescent="0.25">
      <c r="A4154" s="27">
        <v>46146</v>
      </c>
      <c r="B4154" s="80">
        <v>2026</v>
      </c>
      <c r="C4154" s="80">
        <v>5</v>
      </c>
      <c r="D4154" s="30" t="s">
        <v>7</v>
      </c>
      <c r="E4154" s="30" t="s">
        <v>50</v>
      </c>
      <c r="F4154" s="30" t="s">
        <v>55</v>
      </c>
      <c r="G4154" s="33">
        <v>3.6121799999999999</v>
      </c>
      <c r="H4154" s="83" t="s">
        <v>88</v>
      </c>
    </row>
    <row r="4155" spans="1:8" ht="16.5" customHeight="1" x14ac:dyDescent="0.25">
      <c r="A4155" s="27">
        <v>46146</v>
      </c>
      <c r="B4155" s="80">
        <v>2026</v>
      </c>
      <c r="C4155" s="80">
        <v>5</v>
      </c>
      <c r="D4155" s="30" t="s">
        <v>7</v>
      </c>
      <c r="E4155" s="30" t="s">
        <v>50</v>
      </c>
      <c r="F4155" s="30" t="s">
        <v>58</v>
      </c>
      <c r="G4155" s="33">
        <v>24.3457094</v>
      </c>
      <c r="H4155" s="83" t="s">
        <v>88</v>
      </c>
    </row>
    <row r="4156" spans="1:8" ht="16.5" customHeight="1" x14ac:dyDescent="0.25">
      <c r="A4156" s="27">
        <v>46146</v>
      </c>
      <c r="B4156" s="80">
        <v>2026</v>
      </c>
      <c r="C4156" s="80">
        <v>5</v>
      </c>
      <c r="D4156" s="30" t="s">
        <v>7</v>
      </c>
      <c r="E4156" s="30" t="s">
        <v>54</v>
      </c>
      <c r="F4156" s="30" t="s">
        <v>43</v>
      </c>
      <c r="G4156" s="33">
        <v>3.7665000000000002</v>
      </c>
      <c r="H4156" s="83" t="s">
        <v>88</v>
      </c>
    </row>
    <row r="4157" spans="1:8" ht="16.5" customHeight="1" x14ac:dyDescent="0.25">
      <c r="A4157" s="27">
        <v>46146</v>
      </c>
      <c r="B4157" s="80">
        <v>2026</v>
      </c>
      <c r="C4157" s="80">
        <v>5</v>
      </c>
      <c r="D4157" s="30" t="s">
        <v>7</v>
      </c>
      <c r="E4157" s="30" t="s">
        <v>54</v>
      </c>
      <c r="F4157" s="30" t="s">
        <v>47</v>
      </c>
      <c r="G4157" s="33">
        <v>0.15770999999999999</v>
      </c>
      <c r="H4157" s="83" t="s">
        <v>88</v>
      </c>
    </row>
    <row r="4158" spans="1:8" ht="16.5" customHeight="1" x14ac:dyDescent="0.25">
      <c r="A4158" s="27">
        <v>46146</v>
      </c>
      <c r="B4158" s="80">
        <v>2026</v>
      </c>
      <c r="C4158" s="80">
        <v>5</v>
      </c>
      <c r="D4158" s="30" t="s">
        <v>7</v>
      </c>
      <c r="E4158" s="30" t="s">
        <v>66</v>
      </c>
      <c r="F4158" s="30" t="s">
        <v>43</v>
      </c>
      <c r="G4158" s="33">
        <v>3.657</v>
      </c>
      <c r="H4158" s="83" t="s">
        <v>89</v>
      </c>
    </row>
    <row r="4159" spans="1:8" ht="16.5" customHeight="1" x14ac:dyDescent="0.25">
      <c r="A4159" s="27">
        <v>46146</v>
      </c>
      <c r="B4159" s="80">
        <v>2026</v>
      </c>
      <c r="C4159" s="80">
        <v>5</v>
      </c>
      <c r="D4159" s="30" t="s">
        <v>7</v>
      </c>
      <c r="E4159" s="30" t="s">
        <v>68</v>
      </c>
      <c r="F4159" s="30" t="s">
        <v>55</v>
      </c>
      <c r="G4159" s="33">
        <v>0.56000000000000005</v>
      </c>
      <c r="H4159" s="83" t="s">
        <v>89</v>
      </c>
    </row>
    <row r="4160" spans="1:8" ht="16.5" customHeight="1" x14ac:dyDescent="0.25">
      <c r="A4160" s="27">
        <v>46146</v>
      </c>
      <c r="B4160" s="80">
        <v>2026</v>
      </c>
      <c r="C4160" s="80">
        <v>5</v>
      </c>
      <c r="D4160" s="30" t="s">
        <v>7</v>
      </c>
      <c r="E4160" s="30" t="s">
        <v>71</v>
      </c>
      <c r="F4160" s="30" t="s">
        <v>43</v>
      </c>
      <c r="G4160" s="33">
        <v>8.01</v>
      </c>
      <c r="H4160" s="83" t="s">
        <v>89</v>
      </c>
    </row>
    <row r="4161" spans="1:8" ht="16.5" customHeight="1" x14ac:dyDescent="0.25">
      <c r="A4161" s="27">
        <v>46146</v>
      </c>
      <c r="B4161" s="80">
        <v>2026</v>
      </c>
      <c r="C4161" s="80">
        <v>5</v>
      </c>
      <c r="D4161" s="30" t="s">
        <v>7</v>
      </c>
      <c r="E4161" s="30" t="s">
        <v>75</v>
      </c>
      <c r="F4161" s="30" t="s">
        <v>43</v>
      </c>
      <c r="G4161" s="33">
        <v>1.3684000000000001</v>
      </c>
      <c r="H4161" s="83" t="s">
        <v>48</v>
      </c>
    </row>
    <row r="4162" spans="1:8" ht="16.5" customHeight="1" x14ac:dyDescent="0.25">
      <c r="A4162" s="27">
        <v>46147</v>
      </c>
      <c r="B4162" s="80">
        <v>2026</v>
      </c>
      <c r="C4162" s="80">
        <v>5</v>
      </c>
      <c r="D4162" s="30" t="s">
        <v>7</v>
      </c>
      <c r="E4162" s="30" t="s">
        <v>38</v>
      </c>
      <c r="F4162" s="30" t="s">
        <v>43</v>
      </c>
      <c r="G4162" s="33">
        <v>12.4399</v>
      </c>
      <c r="H4162" s="83" t="s">
        <v>88</v>
      </c>
    </row>
    <row r="4163" spans="1:8" ht="16.5" customHeight="1" x14ac:dyDescent="0.25">
      <c r="A4163" s="27">
        <v>46147</v>
      </c>
      <c r="B4163" s="80">
        <v>2026</v>
      </c>
      <c r="C4163" s="80">
        <v>5</v>
      </c>
      <c r="D4163" s="30" t="s">
        <v>7</v>
      </c>
      <c r="E4163" s="30" t="s">
        <v>42</v>
      </c>
      <c r="F4163" s="30" t="s">
        <v>43</v>
      </c>
      <c r="G4163" s="33">
        <v>1.2816000000000001</v>
      </c>
      <c r="H4163" s="83" t="s">
        <v>88</v>
      </c>
    </row>
    <row r="4164" spans="1:8" ht="16.5" customHeight="1" x14ac:dyDescent="0.25">
      <c r="A4164" s="27">
        <v>46147</v>
      </c>
      <c r="B4164" s="80">
        <v>2026</v>
      </c>
      <c r="C4164" s="80">
        <v>5</v>
      </c>
      <c r="D4164" s="30" t="s">
        <v>7</v>
      </c>
      <c r="E4164" s="30" t="s">
        <v>50</v>
      </c>
      <c r="F4164" s="30" t="s">
        <v>43</v>
      </c>
      <c r="G4164" s="33">
        <v>1.1915199999999999</v>
      </c>
      <c r="H4164" s="83" t="s">
        <v>88</v>
      </c>
    </row>
    <row r="4165" spans="1:8" ht="16.5" customHeight="1" x14ac:dyDescent="0.25">
      <c r="A4165" s="27">
        <v>46147</v>
      </c>
      <c r="B4165" s="80">
        <v>2026</v>
      </c>
      <c r="C4165" s="80">
        <v>5</v>
      </c>
      <c r="D4165" s="30" t="s">
        <v>7</v>
      </c>
      <c r="E4165" s="30" t="s">
        <v>50</v>
      </c>
      <c r="F4165" s="30" t="s">
        <v>47</v>
      </c>
      <c r="G4165" s="33">
        <v>0.120666</v>
      </c>
      <c r="H4165" s="83" t="s">
        <v>88</v>
      </c>
    </row>
    <row r="4166" spans="1:8" ht="16.5" customHeight="1" x14ac:dyDescent="0.25">
      <c r="A4166" s="27">
        <v>46147</v>
      </c>
      <c r="B4166" s="80">
        <v>2026</v>
      </c>
      <c r="C4166" s="80">
        <v>5</v>
      </c>
      <c r="D4166" s="30" t="s">
        <v>7</v>
      </c>
      <c r="E4166" s="30" t="s">
        <v>50</v>
      </c>
      <c r="F4166" s="30" t="s">
        <v>51</v>
      </c>
      <c r="G4166" s="33">
        <v>0.6744272</v>
      </c>
      <c r="H4166" s="83" t="s">
        <v>88</v>
      </c>
    </row>
    <row r="4167" spans="1:8" ht="16.5" customHeight="1" x14ac:dyDescent="0.25">
      <c r="A4167" s="27">
        <v>46147</v>
      </c>
      <c r="B4167" s="80">
        <v>2026</v>
      </c>
      <c r="C4167" s="80">
        <v>5</v>
      </c>
      <c r="D4167" s="30" t="s">
        <v>7</v>
      </c>
      <c r="E4167" s="30" t="s">
        <v>50</v>
      </c>
      <c r="F4167" s="30" t="s">
        <v>58</v>
      </c>
      <c r="G4167" s="33">
        <v>0.94955875999999995</v>
      </c>
      <c r="H4167" s="83" t="s">
        <v>88</v>
      </c>
    </row>
    <row r="4168" spans="1:8" ht="16.5" customHeight="1" x14ac:dyDescent="0.25">
      <c r="A4168" s="27">
        <v>46147</v>
      </c>
      <c r="B4168" s="80">
        <v>2026</v>
      </c>
      <c r="C4168" s="80">
        <v>5</v>
      </c>
      <c r="D4168" s="30" t="s">
        <v>7</v>
      </c>
      <c r="E4168" s="30" t="s">
        <v>54</v>
      </c>
      <c r="F4168" s="30" t="s">
        <v>43</v>
      </c>
      <c r="G4168" s="33">
        <v>1.8222499999999999</v>
      </c>
      <c r="H4168" s="83" t="s">
        <v>88</v>
      </c>
    </row>
    <row r="4169" spans="1:8" ht="16.5" customHeight="1" x14ac:dyDescent="0.25">
      <c r="A4169" s="27">
        <v>46147</v>
      </c>
      <c r="B4169" s="80">
        <v>2026</v>
      </c>
      <c r="C4169" s="80">
        <v>5</v>
      </c>
      <c r="D4169" s="30" t="s">
        <v>7</v>
      </c>
      <c r="E4169" s="30" t="s">
        <v>61</v>
      </c>
      <c r="F4169" s="30" t="s">
        <v>39</v>
      </c>
      <c r="G4169" s="33">
        <v>7.65</v>
      </c>
      <c r="H4169" s="83" t="s">
        <v>89</v>
      </c>
    </row>
    <row r="4170" spans="1:8" ht="16.5" customHeight="1" x14ac:dyDescent="0.25">
      <c r="A4170" s="27">
        <v>46147</v>
      </c>
      <c r="B4170" s="80">
        <v>2026</v>
      </c>
      <c r="C4170" s="80">
        <v>5</v>
      </c>
      <c r="D4170" s="30" t="s">
        <v>7</v>
      </c>
      <c r="E4170" s="30" t="s">
        <v>61</v>
      </c>
      <c r="F4170" s="30" t="s">
        <v>43</v>
      </c>
      <c r="G4170" s="33">
        <v>4.4015000000000004</v>
      </c>
      <c r="H4170" s="83" t="s">
        <v>89</v>
      </c>
    </row>
    <row r="4171" spans="1:8" ht="16.5" customHeight="1" x14ac:dyDescent="0.25">
      <c r="A4171" s="27">
        <v>46147</v>
      </c>
      <c r="B4171" s="80">
        <v>2026</v>
      </c>
      <c r="C4171" s="80">
        <v>5</v>
      </c>
      <c r="D4171" s="30" t="s">
        <v>7</v>
      </c>
      <c r="E4171" s="30" t="s">
        <v>68</v>
      </c>
      <c r="F4171" s="30" t="s">
        <v>43</v>
      </c>
      <c r="G4171" s="33">
        <v>0.56499999999999995</v>
      </c>
      <c r="H4171" s="83" t="s">
        <v>89</v>
      </c>
    </row>
    <row r="4172" spans="1:8" ht="16.5" customHeight="1" x14ac:dyDescent="0.25">
      <c r="A4172" s="27">
        <v>46147</v>
      </c>
      <c r="B4172" s="80">
        <v>2026</v>
      </c>
      <c r="C4172" s="80">
        <v>5</v>
      </c>
      <c r="D4172" s="30" t="s">
        <v>7</v>
      </c>
      <c r="E4172" s="30" t="s">
        <v>71</v>
      </c>
      <c r="F4172" s="30" t="s">
        <v>43</v>
      </c>
      <c r="G4172" s="33">
        <v>2.3925000000000001</v>
      </c>
      <c r="H4172" s="83" t="s">
        <v>89</v>
      </c>
    </row>
    <row r="4173" spans="1:8" ht="16.5" customHeight="1" x14ac:dyDescent="0.25">
      <c r="A4173" s="27">
        <v>46147</v>
      </c>
      <c r="B4173" s="80">
        <v>2026</v>
      </c>
      <c r="C4173" s="80">
        <v>5</v>
      </c>
      <c r="D4173" s="30" t="s">
        <v>7</v>
      </c>
      <c r="E4173" s="30" t="s">
        <v>75</v>
      </c>
      <c r="F4173" s="30" t="s">
        <v>43</v>
      </c>
      <c r="G4173" s="33">
        <v>13.244624999999999</v>
      </c>
      <c r="H4173" s="83" t="s">
        <v>48</v>
      </c>
    </row>
    <row r="4174" spans="1:8" ht="16.5" customHeight="1" x14ac:dyDescent="0.25">
      <c r="A4174" s="27">
        <v>46148</v>
      </c>
      <c r="B4174" s="80">
        <v>2026</v>
      </c>
      <c r="C4174" s="80">
        <v>5</v>
      </c>
      <c r="D4174" s="30" t="s">
        <v>7</v>
      </c>
      <c r="E4174" s="30" t="s">
        <v>38</v>
      </c>
      <c r="F4174" s="30" t="s">
        <v>43</v>
      </c>
      <c r="G4174" s="33">
        <v>1.2250000000000001</v>
      </c>
      <c r="H4174" s="83" t="s">
        <v>88</v>
      </c>
    </row>
    <row r="4175" spans="1:8" ht="16.5" customHeight="1" x14ac:dyDescent="0.25">
      <c r="A4175" s="27">
        <v>46148</v>
      </c>
      <c r="B4175" s="80">
        <v>2026</v>
      </c>
      <c r="C4175" s="80">
        <v>5</v>
      </c>
      <c r="D4175" s="30" t="s">
        <v>7</v>
      </c>
      <c r="E4175" s="30" t="s">
        <v>46</v>
      </c>
      <c r="F4175" s="30" t="s">
        <v>47</v>
      </c>
      <c r="G4175" s="33">
        <v>0.37469839999999999</v>
      </c>
      <c r="H4175" s="83" t="s">
        <v>88</v>
      </c>
    </row>
    <row r="4176" spans="1:8" ht="16.5" customHeight="1" x14ac:dyDescent="0.25">
      <c r="A4176" s="27">
        <v>46148</v>
      </c>
      <c r="B4176" s="80">
        <v>2026</v>
      </c>
      <c r="C4176" s="80">
        <v>5</v>
      </c>
      <c r="D4176" s="30" t="s">
        <v>7</v>
      </c>
      <c r="E4176" s="30" t="s">
        <v>50</v>
      </c>
      <c r="F4176" s="30" t="s">
        <v>43</v>
      </c>
      <c r="G4176" s="33">
        <v>2.277765</v>
      </c>
      <c r="H4176" s="83" t="s">
        <v>88</v>
      </c>
    </row>
    <row r="4177" spans="1:8" ht="16.5" customHeight="1" x14ac:dyDescent="0.25">
      <c r="A4177" s="27">
        <v>46148</v>
      </c>
      <c r="B4177" s="80">
        <v>2026</v>
      </c>
      <c r="C4177" s="80">
        <v>5</v>
      </c>
      <c r="D4177" s="30" t="s">
        <v>7</v>
      </c>
      <c r="E4177" s="30" t="s">
        <v>50</v>
      </c>
      <c r="F4177" s="30" t="s">
        <v>47</v>
      </c>
      <c r="G4177" s="33">
        <v>1.9403999999999999</v>
      </c>
      <c r="H4177" s="83" t="s">
        <v>88</v>
      </c>
    </row>
    <row r="4178" spans="1:8" ht="16.5" customHeight="1" x14ac:dyDescent="0.25">
      <c r="A4178" s="27">
        <v>46148</v>
      </c>
      <c r="B4178" s="80">
        <v>2026</v>
      </c>
      <c r="C4178" s="80">
        <v>5</v>
      </c>
      <c r="D4178" s="30" t="s">
        <v>7</v>
      </c>
      <c r="E4178" s="30" t="s">
        <v>54</v>
      </c>
      <c r="F4178" s="30" t="s">
        <v>43</v>
      </c>
      <c r="G4178" s="33">
        <v>0.5978</v>
      </c>
      <c r="H4178" s="83" t="s">
        <v>88</v>
      </c>
    </row>
    <row r="4179" spans="1:8" ht="16.5" customHeight="1" x14ac:dyDescent="0.25">
      <c r="A4179" s="27">
        <v>46148</v>
      </c>
      <c r="B4179" s="80">
        <v>2026</v>
      </c>
      <c r="C4179" s="80">
        <v>5</v>
      </c>
      <c r="D4179" s="30" t="s">
        <v>7</v>
      </c>
      <c r="E4179" s="30" t="s">
        <v>68</v>
      </c>
      <c r="F4179" s="30" t="s">
        <v>43</v>
      </c>
      <c r="G4179" s="33">
        <v>2.7559999999999998</v>
      </c>
      <c r="H4179" s="83" t="s">
        <v>89</v>
      </c>
    </row>
    <row r="4180" spans="1:8" ht="16.5" customHeight="1" x14ac:dyDescent="0.25">
      <c r="A4180" s="27">
        <v>46148</v>
      </c>
      <c r="B4180" s="80">
        <v>2026</v>
      </c>
      <c r="C4180" s="80">
        <v>5</v>
      </c>
      <c r="D4180" s="30" t="s">
        <v>7</v>
      </c>
      <c r="E4180" s="30" t="s">
        <v>71</v>
      </c>
      <c r="F4180" s="30" t="s">
        <v>43</v>
      </c>
      <c r="G4180" s="33">
        <v>1.272</v>
      </c>
      <c r="H4180" s="83" t="s">
        <v>89</v>
      </c>
    </row>
    <row r="4181" spans="1:8" ht="16.5" customHeight="1" x14ac:dyDescent="0.25">
      <c r="A4181" s="27">
        <v>46148</v>
      </c>
      <c r="B4181" s="80">
        <v>2026</v>
      </c>
      <c r="C4181" s="80">
        <v>5</v>
      </c>
      <c r="D4181" s="30" t="s">
        <v>7</v>
      </c>
      <c r="E4181" s="30" t="s">
        <v>75</v>
      </c>
      <c r="F4181" s="30" t="s">
        <v>43</v>
      </c>
      <c r="G4181" s="33">
        <v>6.4341375000000003</v>
      </c>
      <c r="H4181" s="83" t="s">
        <v>48</v>
      </c>
    </row>
    <row r="4182" spans="1:8" ht="16.5" customHeight="1" x14ac:dyDescent="0.25">
      <c r="A4182" s="27">
        <v>46148</v>
      </c>
      <c r="B4182" s="80">
        <v>2026</v>
      </c>
      <c r="C4182" s="80">
        <v>5</v>
      </c>
      <c r="D4182" s="30" t="s">
        <v>7</v>
      </c>
      <c r="E4182" s="30" t="s">
        <v>76</v>
      </c>
      <c r="F4182" s="30" t="s">
        <v>43</v>
      </c>
      <c r="G4182" s="33">
        <v>8.0325699999999998</v>
      </c>
      <c r="H4182" s="83" t="s">
        <v>48</v>
      </c>
    </row>
    <row r="4183" spans="1:8" ht="16.5" customHeight="1" x14ac:dyDescent="0.25">
      <c r="A4183" s="27">
        <v>46149</v>
      </c>
      <c r="B4183" s="80">
        <v>2026</v>
      </c>
      <c r="C4183" s="80">
        <v>5</v>
      </c>
      <c r="D4183" s="30" t="s">
        <v>7</v>
      </c>
      <c r="E4183" s="30" t="s">
        <v>38</v>
      </c>
      <c r="F4183" s="30" t="s">
        <v>43</v>
      </c>
      <c r="G4183" s="33">
        <v>6.3460000000000001</v>
      </c>
      <c r="H4183" s="83" t="s">
        <v>88</v>
      </c>
    </row>
    <row r="4184" spans="1:8" ht="16.5" customHeight="1" x14ac:dyDescent="0.25">
      <c r="A4184" s="27">
        <v>46149</v>
      </c>
      <c r="B4184" s="80">
        <v>2026</v>
      </c>
      <c r="C4184" s="80">
        <v>5</v>
      </c>
      <c r="D4184" s="30" t="s">
        <v>7</v>
      </c>
      <c r="E4184" s="30" t="s">
        <v>42</v>
      </c>
      <c r="F4184" s="30" t="s">
        <v>43</v>
      </c>
      <c r="G4184" s="33">
        <v>15.15305</v>
      </c>
      <c r="H4184" s="83" t="s">
        <v>88</v>
      </c>
    </row>
    <row r="4185" spans="1:8" ht="16.5" customHeight="1" x14ac:dyDescent="0.25">
      <c r="A4185" s="27">
        <v>46149</v>
      </c>
      <c r="B4185" s="80">
        <v>2026</v>
      </c>
      <c r="C4185" s="80">
        <v>5</v>
      </c>
      <c r="D4185" s="30" t="s">
        <v>7</v>
      </c>
      <c r="E4185" s="30" t="s">
        <v>42</v>
      </c>
      <c r="F4185" s="30" t="s">
        <v>47</v>
      </c>
      <c r="G4185" s="33">
        <v>1.19224</v>
      </c>
      <c r="H4185" s="83" t="s">
        <v>88</v>
      </c>
    </row>
    <row r="4186" spans="1:8" ht="16.5" customHeight="1" x14ac:dyDescent="0.25">
      <c r="A4186" s="27">
        <v>46149</v>
      </c>
      <c r="B4186" s="80">
        <v>2026</v>
      </c>
      <c r="C4186" s="80">
        <v>5</v>
      </c>
      <c r="D4186" s="30" t="s">
        <v>7</v>
      </c>
      <c r="E4186" s="30" t="s">
        <v>42</v>
      </c>
      <c r="F4186" s="30" t="s">
        <v>55</v>
      </c>
      <c r="G4186" s="33">
        <v>0.72</v>
      </c>
      <c r="H4186" s="83" t="s">
        <v>88</v>
      </c>
    </row>
    <row r="4187" spans="1:8" ht="16.5" customHeight="1" x14ac:dyDescent="0.25">
      <c r="A4187" s="27">
        <v>46149</v>
      </c>
      <c r="B4187" s="80">
        <v>2026</v>
      </c>
      <c r="C4187" s="80">
        <v>5</v>
      </c>
      <c r="D4187" s="30" t="s">
        <v>7</v>
      </c>
      <c r="E4187" s="30" t="s">
        <v>46</v>
      </c>
      <c r="F4187" s="30" t="s">
        <v>43</v>
      </c>
      <c r="G4187" s="33">
        <v>6.2054267999999997</v>
      </c>
      <c r="H4187" s="83" t="s">
        <v>88</v>
      </c>
    </row>
    <row r="4188" spans="1:8" ht="16.5" customHeight="1" x14ac:dyDescent="0.25">
      <c r="A4188" s="27">
        <v>46149</v>
      </c>
      <c r="B4188" s="80">
        <v>2026</v>
      </c>
      <c r="C4188" s="80">
        <v>5</v>
      </c>
      <c r="D4188" s="30" t="s">
        <v>7</v>
      </c>
      <c r="E4188" s="30" t="s">
        <v>50</v>
      </c>
      <c r="F4188" s="30" t="s">
        <v>43</v>
      </c>
      <c r="G4188" s="33">
        <v>20.148891750000001</v>
      </c>
      <c r="H4188" s="83" t="s">
        <v>88</v>
      </c>
    </row>
    <row r="4189" spans="1:8" ht="16.5" customHeight="1" x14ac:dyDescent="0.25">
      <c r="A4189" s="27">
        <v>46149</v>
      </c>
      <c r="B4189" s="80">
        <v>2026</v>
      </c>
      <c r="C4189" s="80">
        <v>5</v>
      </c>
      <c r="D4189" s="30" t="s">
        <v>7</v>
      </c>
      <c r="E4189" s="30" t="s">
        <v>50</v>
      </c>
      <c r="F4189" s="30" t="s">
        <v>51</v>
      </c>
      <c r="G4189" s="33">
        <v>0.748</v>
      </c>
      <c r="H4189" s="83" t="s">
        <v>88</v>
      </c>
    </row>
    <row r="4190" spans="1:8" ht="16.5" customHeight="1" x14ac:dyDescent="0.25">
      <c r="A4190" s="27">
        <v>46149</v>
      </c>
      <c r="B4190" s="80">
        <v>2026</v>
      </c>
      <c r="C4190" s="80">
        <v>5</v>
      </c>
      <c r="D4190" s="30" t="s">
        <v>7</v>
      </c>
      <c r="E4190" s="30" t="s">
        <v>50</v>
      </c>
      <c r="F4190" s="30" t="s">
        <v>58</v>
      </c>
      <c r="G4190" s="33">
        <v>1.3519410000000001</v>
      </c>
      <c r="H4190" s="83" t="s">
        <v>88</v>
      </c>
    </row>
    <row r="4191" spans="1:8" ht="16.5" customHeight="1" x14ac:dyDescent="0.25">
      <c r="A4191" s="27">
        <v>46149</v>
      </c>
      <c r="B4191" s="80">
        <v>2026</v>
      </c>
      <c r="C4191" s="80">
        <v>5</v>
      </c>
      <c r="D4191" s="30" t="s">
        <v>7</v>
      </c>
      <c r="E4191" s="30" t="s">
        <v>54</v>
      </c>
      <c r="F4191" s="30" t="s">
        <v>43</v>
      </c>
      <c r="G4191" s="33">
        <v>1.5549999999999999</v>
      </c>
      <c r="H4191" s="83" t="s">
        <v>88</v>
      </c>
    </row>
    <row r="4192" spans="1:8" ht="16.5" customHeight="1" x14ac:dyDescent="0.25">
      <c r="A4192" s="27">
        <v>46149</v>
      </c>
      <c r="B4192" s="80">
        <v>2026</v>
      </c>
      <c r="C4192" s="80">
        <v>5</v>
      </c>
      <c r="D4192" s="30" t="s">
        <v>7</v>
      </c>
      <c r="E4192" s="30" t="s">
        <v>57</v>
      </c>
      <c r="F4192" s="30" t="s">
        <v>39</v>
      </c>
      <c r="G4192" s="33">
        <v>9.0090000000000003</v>
      </c>
      <c r="H4192" s="83" t="s">
        <v>89</v>
      </c>
    </row>
    <row r="4193" spans="1:8" ht="16.5" customHeight="1" x14ac:dyDescent="0.25">
      <c r="A4193" s="27">
        <v>46149</v>
      </c>
      <c r="B4193" s="80">
        <v>2026</v>
      </c>
      <c r="C4193" s="80">
        <v>5</v>
      </c>
      <c r="D4193" s="30" t="s">
        <v>7</v>
      </c>
      <c r="E4193" s="30" t="s">
        <v>64</v>
      </c>
      <c r="F4193" s="30" t="s">
        <v>55</v>
      </c>
      <c r="G4193" s="33">
        <v>1.2</v>
      </c>
      <c r="H4193" s="83" t="s">
        <v>89</v>
      </c>
    </row>
    <row r="4194" spans="1:8" ht="16.5" customHeight="1" x14ac:dyDescent="0.25">
      <c r="A4194" s="27">
        <v>46149</v>
      </c>
      <c r="B4194" s="80">
        <v>2026</v>
      </c>
      <c r="C4194" s="80">
        <v>5</v>
      </c>
      <c r="D4194" s="30" t="s">
        <v>7</v>
      </c>
      <c r="E4194" s="30" t="s">
        <v>66</v>
      </c>
      <c r="F4194" s="30" t="s">
        <v>43</v>
      </c>
      <c r="G4194" s="33">
        <v>3.18</v>
      </c>
      <c r="H4194" s="83" t="s">
        <v>89</v>
      </c>
    </row>
    <row r="4195" spans="1:8" ht="16.5" customHeight="1" x14ac:dyDescent="0.25">
      <c r="A4195" s="27">
        <v>46149</v>
      </c>
      <c r="B4195" s="80">
        <v>2026</v>
      </c>
      <c r="C4195" s="80">
        <v>5</v>
      </c>
      <c r="D4195" s="30" t="s">
        <v>7</v>
      </c>
      <c r="E4195" s="30" t="s">
        <v>71</v>
      </c>
      <c r="F4195" s="30" t="s">
        <v>43</v>
      </c>
      <c r="G4195" s="33">
        <v>0.76300000000000001</v>
      </c>
      <c r="H4195" s="83" t="s">
        <v>89</v>
      </c>
    </row>
    <row r="4196" spans="1:8" ht="16.5" customHeight="1" x14ac:dyDescent="0.25">
      <c r="A4196" s="27">
        <v>46149</v>
      </c>
      <c r="B4196" s="80">
        <v>2026</v>
      </c>
      <c r="C4196" s="80">
        <v>5</v>
      </c>
      <c r="D4196" s="30" t="s">
        <v>7</v>
      </c>
      <c r="E4196" s="30" t="s">
        <v>75</v>
      </c>
      <c r="F4196" s="30" t="s">
        <v>43</v>
      </c>
      <c r="G4196" s="33">
        <v>14.255269500000001</v>
      </c>
      <c r="H4196" s="83" t="s">
        <v>48</v>
      </c>
    </row>
    <row r="4197" spans="1:8" ht="16.5" customHeight="1" x14ac:dyDescent="0.25">
      <c r="A4197" s="27">
        <v>46149</v>
      </c>
      <c r="B4197" s="80">
        <v>2026</v>
      </c>
      <c r="C4197" s="80">
        <v>5</v>
      </c>
      <c r="D4197" s="30" t="s">
        <v>7</v>
      </c>
      <c r="E4197" s="30" t="s">
        <v>76</v>
      </c>
      <c r="F4197" s="30" t="s">
        <v>43</v>
      </c>
      <c r="G4197" s="33">
        <v>40.16675</v>
      </c>
      <c r="H4197" s="83" t="s">
        <v>48</v>
      </c>
    </row>
    <row r="4198" spans="1:8" ht="16.5" customHeight="1" x14ac:dyDescent="0.25">
      <c r="A4198" s="27">
        <v>46153</v>
      </c>
      <c r="B4198" s="80">
        <v>2026</v>
      </c>
      <c r="C4198" s="80">
        <v>5</v>
      </c>
      <c r="D4198" s="30" t="s">
        <v>7</v>
      </c>
      <c r="E4198" s="30" t="s">
        <v>38</v>
      </c>
      <c r="F4198" s="30" t="s">
        <v>43</v>
      </c>
      <c r="G4198" s="33">
        <v>8.6579999999999995</v>
      </c>
      <c r="H4198" s="83" t="s">
        <v>88</v>
      </c>
    </row>
    <row r="4199" spans="1:8" ht="16.5" customHeight="1" x14ac:dyDescent="0.25">
      <c r="A4199" s="27">
        <v>46153</v>
      </c>
      <c r="B4199" s="80">
        <v>2026</v>
      </c>
      <c r="C4199" s="80">
        <v>5</v>
      </c>
      <c r="D4199" s="30" t="s">
        <v>7</v>
      </c>
      <c r="E4199" s="30" t="s">
        <v>42</v>
      </c>
      <c r="F4199" s="30" t="s">
        <v>43</v>
      </c>
      <c r="G4199" s="33">
        <v>7.38</v>
      </c>
      <c r="H4199" s="83" t="s">
        <v>88</v>
      </c>
    </row>
    <row r="4200" spans="1:8" ht="16.5" customHeight="1" x14ac:dyDescent="0.25">
      <c r="A4200" s="27">
        <v>46153</v>
      </c>
      <c r="B4200" s="80">
        <v>2026</v>
      </c>
      <c r="C4200" s="80">
        <v>5</v>
      </c>
      <c r="D4200" s="30" t="s">
        <v>7</v>
      </c>
      <c r="E4200" s="30" t="s">
        <v>42</v>
      </c>
      <c r="F4200" s="30" t="s">
        <v>58</v>
      </c>
      <c r="G4200" s="33">
        <v>1.1879999999999999</v>
      </c>
      <c r="H4200" s="83" t="s">
        <v>88</v>
      </c>
    </row>
    <row r="4201" spans="1:8" ht="16.5" customHeight="1" x14ac:dyDescent="0.25">
      <c r="A4201" s="27">
        <v>46153</v>
      </c>
      <c r="B4201" s="80">
        <v>2026</v>
      </c>
      <c r="C4201" s="80">
        <v>5</v>
      </c>
      <c r="D4201" s="30" t="s">
        <v>7</v>
      </c>
      <c r="E4201" s="30" t="s">
        <v>46</v>
      </c>
      <c r="F4201" s="30" t="s">
        <v>43</v>
      </c>
      <c r="G4201" s="33">
        <v>1.0637648</v>
      </c>
      <c r="H4201" s="83" t="s">
        <v>88</v>
      </c>
    </row>
    <row r="4202" spans="1:8" ht="16.5" customHeight="1" x14ac:dyDescent="0.25">
      <c r="A4202" s="27">
        <v>46153</v>
      </c>
      <c r="B4202" s="80">
        <v>2026</v>
      </c>
      <c r="C4202" s="80">
        <v>5</v>
      </c>
      <c r="D4202" s="30" t="s">
        <v>7</v>
      </c>
      <c r="E4202" s="30" t="s">
        <v>46</v>
      </c>
      <c r="F4202" s="30" t="s">
        <v>51</v>
      </c>
      <c r="G4202" s="33">
        <v>0.74412800000000001</v>
      </c>
      <c r="H4202" s="83" t="s">
        <v>88</v>
      </c>
    </row>
    <row r="4203" spans="1:8" ht="16.5" customHeight="1" x14ac:dyDescent="0.25">
      <c r="A4203" s="27">
        <v>46153</v>
      </c>
      <c r="B4203" s="80">
        <v>2026</v>
      </c>
      <c r="C4203" s="80">
        <v>5</v>
      </c>
      <c r="D4203" s="30" t="s">
        <v>7</v>
      </c>
      <c r="E4203" s="30" t="s">
        <v>50</v>
      </c>
      <c r="F4203" s="30" t="s">
        <v>43</v>
      </c>
      <c r="G4203" s="33">
        <v>19.634756800000002</v>
      </c>
      <c r="H4203" s="83" t="s">
        <v>88</v>
      </c>
    </row>
    <row r="4204" spans="1:8" ht="16.5" customHeight="1" x14ac:dyDescent="0.25">
      <c r="A4204" s="27">
        <v>46153</v>
      </c>
      <c r="B4204" s="80">
        <v>2026</v>
      </c>
      <c r="C4204" s="80">
        <v>5</v>
      </c>
      <c r="D4204" s="30" t="s">
        <v>7</v>
      </c>
      <c r="E4204" s="30" t="s">
        <v>50</v>
      </c>
      <c r="F4204" s="30" t="s">
        <v>47</v>
      </c>
      <c r="G4204" s="33">
        <v>0.64680000000000004</v>
      </c>
      <c r="H4204" s="83" t="s">
        <v>88</v>
      </c>
    </row>
    <row r="4205" spans="1:8" ht="16.5" customHeight="1" x14ac:dyDescent="0.25">
      <c r="A4205" s="27">
        <v>46153</v>
      </c>
      <c r="B4205" s="80">
        <v>2026</v>
      </c>
      <c r="C4205" s="80">
        <v>5</v>
      </c>
      <c r="D4205" s="30" t="s">
        <v>7</v>
      </c>
      <c r="E4205" s="30" t="s">
        <v>50</v>
      </c>
      <c r="F4205" s="30" t="s">
        <v>58</v>
      </c>
      <c r="G4205" s="33">
        <v>0.3729999</v>
      </c>
      <c r="H4205" s="83" t="s">
        <v>88</v>
      </c>
    </row>
    <row r="4206" spans="1:8" ht="16.5" customHeight="1" x14ac:dyDescent="0.25">
      <c r="A4206" s="27">
        <v>46153</v>
      </c>
      <c r="B4206" s="80">
        <v>2026</v>
      </c>
      <c r="C4206" s="80">
        <v>5</v>
      </c>
      <c r="D4206" s="30" t="s">
        <v>7</v>
      </c>
      <c r="E4206" s="30" t="s">
        <v>54</v>
      </c>
      <c r="F4206" s="30" t="s">
        <v>43</v>
      </c>
      <c r="G4206" s="33">
        <v>1.7509999999999999</v>
      </c>
      <c r="H4206" s="83" t="s">
        <v>88</v>
      </c>
    </row>
    <row r="4207" spans="1:8" ht="16.5" customHeight="1" x14ac:dyDescent="0.25">
      <c r="A4207" s="27">
        <v>46153</v>
      </c>
      <c r="B4207" s="80">
        <v>2026</v>
      </c>
      <c r="C4207" s="80">
        <v>5</v>
      </c>
      <c r="D4207" s="30" t="s">
        <v>7</v>
      </c>
      <c r="E4207" s="30" t="s">
        <v>66</v>
      </c>
      <c r="F4207" s="30" t="s">
        <v>39</v>
      </c>
      <c r="G4207" s="33">
        <v>46.585000000000001</v>
      </c>
      <c r="H4207" s="83" t="s">
        <v>89</v>
      </c>
    </row>
    <row r="4208" spans="1:8" ht="16.5" customHeight="1" x14ac:dyDescent="0.25">
      <c r="A4208" s="27">
        <v>46153</v>
      </c>
      <c r="B4208" s="80">
        <v>2026</v>
      </c>
      <c r="C4208" s="80">
        <v>5</v>
      </c>
      <c r="D4208" s="30" t="s">
        <v>7</v>
      </c>
      <c r="E4208" s="30" t="s">
        <v>66</v>
      </c>
      <c r="F4208" s="30" t="s">
        <v>43</v>
      </c>
      <c r="G4208" s="33">
        <v>2.3919999999999999</v>
      </c>
      <c r="H4208" s="83" t="s">
        <v>89</v>
      </c>
    </row>
    <row r="4209" spans="1:8" ht="16.5" customHeight="1" x14ac:dyDescent="0.25">
      <c r="A4209" s="27">
        <v>46153</v>
      </c>
      <c r="B4209" s="80">
        <v>2026</v>
      </c>
      <c r="C4209" s="80">
        <v>5</v>
      </c>
      <c r="D4209" s="30" t="s">
        <v>7</v>
      </c>
      <c r="E4209" s="30" t="s">
        <v>71</v>
      </c>
      <c r="F4209" s="30" t="s">
        <v>39</v>
      </c>
      <c r="G4209" s="33">
        <v>24.12696</v>
      </c>
      <c r="H4209" s="83" t="s">
        <v>89</v>
      </c>
    </row>
    <row r="4210" spans="1:8" ht="16.5" customHeight="1" x14ac:dyDescent="0.25">
      <c r="A4210" s="27">
        <v>46153</v>
      </c>
      <c r="B4210" s="80">
        <v>2026</v>
      </c>
      <c r="C4210" s="80">
        <v>5</v>
      </c>
      <c r="D4210" s="30" t="s">
        <v>7</v>
      </c>
      <c r="E4210" s="30" t="s">
        <v>71</v>
      </c>
      <c r="F4210" s="30" t="s">
        <v>43</v>
      </c>
      <c r="G4210" s="33">
        <v>18.263999999999999</v>
      </c>
      <c r="H4210" s="83" t="s">
        <v>89</v>
      </c>
    </row>
    <row r="4211" spans="1:8" ht="16.5" customHeight="1" x14ac:dyDescent="0.25">
      <c r="A4211" s="27">
        <v>46153</v>
      </c>
      <c r="B4211" s="80">
        <v>2026</v>
      </c>
      <c r="C4211" s="80">
        <v>5</v>
      </c>
      <c r="D4211" s="30" t="s">
        <v>7</v>
      </c>
      <c r="E4211" s="30" t="s">
        <v>75</v>
      </c>
      <c r="F4211" s="30" t="s">
        <v>43</v>
      </c>
      <c r="G4211" s="33">
        <v>58.815682500000001</v>
      </c>
      <c r="H4211" s="83" t="s">
        <v>48</v>
      </c>
    </row>
    <row r="4212" spans="1:8" ht="16.5" customHeight="1" x14ac:dyDescent="0.25">
      <c r="A4212" s="27">
        <v>46154</v>
      </c>
      <c r="B4212" s="80">
        <v>2026</v>
      </c>
      <c r="C4212" s="80">
        <v>5</v>
      </c>
      <c r="D4212" s="30" t="s">
        <v>7</v>
      </c>
      <c r="E4212" s="30" t="s">
        <v>38</v>
      </c>
      <c r="F4212" s="30" t="s">
        <v>43</v>
      </c>
      <c r="G4212" s="33">
        <v>1.7121999999999999</v>
      </c>
      <c r="H4212" s="83" t="s">
        <v>88</v>
      </c>
    </row>
    <row r="4213" spans="1:8" ht="16.5" customHeight="1" x14ac:dyDescent="0.25">
      <c r="A4213" s="27">
        <v>46154</v>
      </c>
      <c r="B4213" s="80">
        <v>2026</v>
      </c>
      <c r="C4213" s="80">
        <v>5</v>
      </c>
      <c r="D4213" s="30" t="s">
        <v>7</v>
      </c>
      <c r="E4213" s="30" t="s">
        <v>46</v>
      </c>
      <c r="F4213" s="30" t="s">
        <v>43</v>
      </c>
      <c r="G4213" s="33">
        <v>2.1026416000000001</v>
      </c>
      <c r="H4213" s="83" t="s">
        <v>88</v>
      </c>
    </row>
    <row r="4214" spans="1:8" ht="16.5" customHeight="1" x14ac:dyDescent="0.25">
      <c r="A4214" s="27">
        <v>46154</v>
      </c>
      <c r="B4214" s="80">
        <v>2026</v>
      </c>
      <c r="C4214" s="80">
        <v>5</v>
      </c>
      <c r="D4214" s="30" t="s">
        <v>7</v>
      </c>
      <c r="E4214" s="30" t="s">
        <v>46</v>
      </c>
      <c r="F4214" s="30" t="s">
        <v>58</v>
      </c>
      <c r="G4214" s="33">
        <v>1.04663792</v>
      </c>
      <c r="H4214" s="83" t="s">
        <v>88</v>
      </c>
    </row>
    <row r="4215" spans="1:8" ht="16.5" customHeight="1" x14ac:dyDescent="0.25">
      <c r="A4215" s="27">
        <v>46154</v>
      </c>
      <c r="B4215" s="80">
        <v>2026</v>
      </c>
      <c r="C4215" s="80">
        <v>5</v>
      </c>
      <c r="D4215" s="30" t="s">
        <v>7</v>
      </c>
      <c r="E4215" s="30" t="s">
        <v>50</v>
      </c>
      <c r="F4215" s="30" t="s">
        <v>43</v>
      </c>
      <c r="G4215" s="33">
        <v>1.1376094000000001</v>
      </c>
      <c r="H4215" s="83" t="s">
        <v>88</v>
      </c>
    </row>
    <row r="4216" spans="1:8" ht="16.5" customHeight="1" x14ac:dyDescent="0.25">
      <c r="A4216" s="27">
        <v>46154</v>
      </c>
      <c r="B4216" s="80">
        <v>2026</v>
      </c>
      <c r="C4216" s="80">
        <v>5</v>
      </c>
      <c r="D4216" s="30" t="s">
        <v>7</v>
      </c>
      <c r="E4216" s="30" t="s">
        <v>50</v>
      </c>
      <c r="F4216" s="30" t="s">
        <v>47</v>
      </c>
      <c r="G4216" s="33">
        <v>0.64680000000000004</v>
      </c>
      <c r="H4216" s="83" t="s">
        <v>88</v>
      </c>
    </row>
    <row r="4217" spans="1:8" ht="16.5" customHeight="1" x14ac:dyDescent="0.25">
      <c r="A4217" s="27">
        <v>46154</v>
      </c>
      <c r="B4217" s="80">
        <v>2026</v>
      </c>
      <c r="C4217" s="80">
        <v>5</v>
      </c>
      <c r="D4217" s="30" t="s">
        <v>7</v>
      </c>
      <c r="E4217" s="30" t="s">
        <v>50</v>
      </c>
      <c r="F4217" s="30" t="s">
        <v>55</v>
      </c>
      <c r="G4217" s="33">
        <v>0.29841899999999999</v>
      </c>
      <c r="H4217" s="83" t="s">
        <v>88</v>
      </c>
    </row>
    <row r="4218" spans="1:8" ht="16.5" customHeight="1" x14ac:dyDescent="0.25">
      <c r="A4218" s="27">
        <v>46154</v>
      </c>
      <c r="B4218" s="80">
        <v>2026</v>
      </c>
      <c r="C4218" s="80">
        <v>5</v>
      </c>
      <c r="D4218" s="30" t="s">
        <v>7</v>
      </c>
      <c r="E4218" s="30" t="s">
        <v>50</v>
      </c>
      <c r="F4218" s="30" t="s">
        <v>58</v>
      </c>
      <c r="G4218" s="33">
        <v>0.51730224000000002</v>
      </c>
      <c r="H4218" s="83" t="s">
        <v>88</v>
      </c>
    </row>
    <row r="4219" spans="1:8" ht="16.5" customHeight="1" x14ac:dyDescent="0.25">
      <c r="A4219" s="27">
        <v>46154</v>
      </c>
      <c r="B4219" s="80">
        <v>2026</v>
      </c>
      <c r="C4219" s="80">
        <v>5</v>
      </c>
      <c r="D4219" s="30" t="s">
        <v>7</v>
      </c>
      <c r="E4219" s="30" t="s">
        <v>54</v>
      </c>
      <c r="F4219" s="30" t="s">
        <v>43</v>
      </c>
      <c r="G4219" s="33">
        <v>4.2690000000000001</v>
      </c>
      <c r="H4219" s="83" t="s">
        <v>88</v>
      </c>
    </row>
    <row r="4220" spans="1:8" ht="16.5" customHeight="1" x14ac:dyDescent="0.25">
      <c r="A4220" s="27">
        <v>46154</v>
      </c>
      <c r="B4220" s="80">
        <v>2026</v>
      </c>
      <c r="C4220" s="80">
        <v>5</v>
      </c>
      <c r="D4220" s="30" t="s">
        <v>7</v>
      </c>
      <c r="E4220" s="30" t="s">
        <v>54</v>
      </c>
      <c r="F4220" s="30" t="s">
        <v>47</v>
      </c>
      <c r="G4220" s="33">
        <v>0.39</v>
      </c>
      <c r="H4220" s="83" t="s">
        <v>88</v>
      </c>
    </row>
    <row r="4221" spans="1:8" ht="16.5" customHeight="1" x14ac:dyDescent="0.25">
      <c r="A4221" s="27">
        <v>46154</v>
      </c>
      <c r="B4221" s="80">
        <v>2026</v>
      </c>
      <c r="C4221" s="80">
        <v>5</v>
      </c>
      <c r="D4221" s="30" t="s">
        <v>7</v>
      </c>
      <c r="E4221" s="30" t="s">
        <v>54</v>
      </c>
      <c r="F4221" s="30" t="s">
        <v>55</v>
      </c>
      <c r="G4221" s="33">
        <v>0.81</v>
      </c>
      <c r="H4221" s="83" t="s">
        <v>88</v>
      </c>
    </row>
    <row r="4222" spans="1:8" ht="16.5" customHeight="1" x14ac:dyDescent="0.25">
      <c r="A4222" s="27">
        <v>46154</v>
      </c>
      <c r="B4222" s="80">
        <v>2026</v>
      </c>
      <c r="C4222" s="80">
        <v>5</v>
      </c>
      <c r="D4222" s="30" t="s">
        <v>7</v>
      </c>
      <c r="E4222" s="30" t="s">
        <v>61</v>
      </c>
      <c r="F4222" s="30" t="s">
        <v>55</v>
      </c>
      <c r="G4222" s="33">
        <v>6.09</v>
      </c>
      <c r="H4222" s="83" t="s">
        <v>89</v>
      </c>
    </row>
    <row r="4223" spans="1:8" ht="16.5" customHeight="1" x14ac:dyDescent="0.25">
      <c r="A4223" s="27">
        <v>46154</v>
      </c>
      <c r="B4223" s="80">
        <v>2026</v>
      </c>
      <c r="C4223" s="80">
        <v>5</v>
      </c>
      <c r="D4223" s="30" t="s">
        <v>7</v>
      </c>
      <c r="E4223" s="30" t="s">
        <v>66</v>
      </c>
      <c r="F4223" s="30" t="s">
        <v>43</v>
      </c>
      <c r="G4223" s="33">
        <v>21.038868749999999</v>
      </c>
      <c r="H4223" s="83" t="s">
        <v>89</v>
      </c>
    </row>
    <row r="4224" spans="1:8" ht="16.5" customHeight="1" x14ac:dyDescent="0.25">
      <c r="A4224" s="27">
        <v>46154</v>
      </c>
      <c r="B4224" s="80">
        <v>2026</v>
      </c>
      <c r="C4224" s="80">
        <v>5</v>
      </c>
      <c r="D4224" s="30" t="s">
        <v>7</v>
      </c>
      <c r="E4224" s="30" t="s">
        <v>75</v>
      </c>
      <c r="F4224" s="30" t="s">
        <v>55</v>
      </c>
      <c r="G4224" s="33">
        <v>0.65620000000000001</v>
      </c>
      <c r="H4224" s="83" t="s">
        <v>48</v>
      </c>
    </row>
    <row r="4225" spans="1:8" ht="16.5" customHeight="1" x14ac:dyDescent="0.25">
      <c r="A4225" s="27">
        <v>46155</v>
      </c>
      <c r="B4225" s="80">
        <v>2026</v>
      </c>
      <c r="C4225" s="80">
        <v>5</v>
      </c>
      <c r="D4225" s="30" t="s">
        <v>7</v>
      </c>
      <c r="E4225" s="30" t="s">
        <v>38</v>
      </c>
      <c r="F4225" s="30" t="s">
        <v>43</v>
      </c>
      <c r="G4225" s="33">
        <v>2.9049999999999998</v>
      </c>
      <c r="H4225" s="83" t="s">
        <v>88</v>
      </c>
    </row>
    <row r="4226" spans="1:8" ht="16.5" customHeight="1" x14ac:dyDescent="0.25">
      <c r="A4226" s="27">
        <v>46155</v>
      </c>
      <c r="B4226" s="80">
        <v>2026</v>
      </c>
      <c r="C4226" s="80">
        <v>5</v>
      </c>
      <c r="D4226" s="30" t="s">
        <v>7</v>
      </c>
      <c r="E4226" s="30" t="s">
        <v>42</v>
      </c>
      <c r="F4226" s="30" t="s">
        <v>43</v>
      </c>
      <c r="G4226" s="33">
        <v>8.4530799999999999</v>
      </c>
      <c r="H4226" s="83" t="s">
        <v>88</v>
      </c>
    </row>
    <row r="4227" spans="1:8" ht="16.5" customHeight="1" x14ac:dyDescent="0.25">
      <c r="A4227" s="27">
        <v>46155</v>
      </c>
      <c r="B4227" s="80">
        <v>2026</v>
      </c>
      <c r="C4227" s="80">
        <v>5</v>
      </c>
      <c r="D4227" s="30" t="s">
        <v>7</v>
      </c>
      <c r="E4227" s="30" t="s">
        <v>50</v>
      </c>
      <c r="F4227" s="30" t="s">
        <v>43</v>
      </c>
      <c r="G4227" s="33">
        <v>1.31902948</v>
      </c>
      <c r="H4227" s="83" t="s">
        <v>88</v>
      </c>
    </row>
    <row r="4228" spans="1:8" ht="16.5" customHeight="1" x14ac:dyDescent="0.25">
      <c r="A4228" s="27">
        <v>46155</v>
      </c>
      <c r="B4228" s="80">
        <v>2026</v>
      </c>
      <c r="C4228" s="80">
        <v>5</v>
      </c>
      <c r="D4228" s="30" t="s">
        <v>7</v>
      </c>
      <c r="E4228" s="30" t="s">
        <v>50</v>
      </c>
      <c r="F4228" s="30" t="s">
        <v>47</v>
      </c>
      <c r="G4228" s="33">
        <v>0.45879249999999999</v>
      </c>
      <c r="H4228" s="83" t="s">
        <v>88</v>
      </c>
    </row>
    <row r="4229" spans="1:8" ht="16.5" customHeight="1" x14ac:dyDescent="0.25">
      <c r="A4229" s="27">
        <v>46155</v>
      </c>
      <c r="B4229" s="80">
        <v>2026</v>
      </c>
      <c r="C4229" s="80">
        <v>5</v>
      </c>
      <c r="D4229" s="30" t="s">
        <v>7</v>
      </c>
      <c r="E4229" s="30" t="s">
        <v>50</v>
      </c>
      <c r="F4229" s="30" t="s">
        <v>55</v>
      </c>
      <c r="G4229" s="33">
        <v>0.47874</v>
      </c>
      <c r="H4229" s="83" t="s">
        <v>88</v>
      </c>
    </row>
    <row r="4230" spans="1:8" ht="16.5" customHeight="1" x14ac:dyDescent="0.25">
      <c r="A4230" s="27">
        <v>46155</v>
      </c>
      <c r="B4230" s="80">
        <v>2026</v>
      </c>
      <c r="C4230" s="80">
        <v>5</v>
      </c>
      <c r="D4230" s="30" t="s">
        <v>7</v>
      </c>
      <c r="E4230" s="30" t="s">
        <v>50</v>
      </c>
      <c r="F4230" s="30" t="s">
        <v>58</v>
      </c>
      <c r="G4230" s="33">
        <v>2.736439828</v>
      </c>
      <c r="H4230" s="83" t="s">
        <v>88</v>
      </c>
    </row>
    <row r="4231" spans="1:8" ht="16.5" customHeight="1" x14ac:dyDescent="0.25">
      <c r="A4231" s="27">
        <v>46155</v>
      </c>
      <c r="B4231" s="80">
        <v>2026</v>
      </c>
      <c r="C4231" s="80">
        <v>5</v>
      </c>
      <c r="D4231" s="30" t="s">
        <v>7</v>
      </c>
      <c r="E4231" s="30" t="s">
        <v>54</v>
      </c>
      <c r="F4231" s="30" t="s">
        <v>43</v>
      </c>
      <c r="G4231" s="33">
        <v>9.9354999999999993</v>
      </c>
      <c r="H4231" s="83" t="s">
        <v>88</v>
      </c>
    </row>
    <row r="4232" spans="1:8" ht="16.5" customHeight="1" x14ac:dyDescent="0.25">
      <c r="A4232" s="27">
        <v>46155</v>
      </c>
      <c r="B4232" s="80">
        <v>2026</v>
      </c>
      <c r="C4232" s="80">
        <v>5</v>
      </c>
      <c r="D4232" s="30" t="s">
        <v>7</v>
      </c>
      <c r="E4232" s="30" t="s">
        <v>66</v>
      </c>
      <c r="F4232" s="30" t="s">
        <v>43</v>
      </c>
      <c r="G4232" s="33">
        <v>8.8345000000000002</v>
      </c>
      <c r="H4232" s="83" t="s">
        <v>89</v>
      </c>
    </row>
    <row r="4233" spans="1:8" ht="16.5" customHeight="1" x14ac:dyDescent="0.25">
      <c r="A4233" s="27">
        <v>46155</v>
      </c>
      <c r="B4233" s="80">
        <v>2026</v>
      </c>
      <c r="C4233" s="80">
        <v>5</v>
      </c>
      <c r="D4233" s="30" t="s">
        <v>7</v>
      </c>
      <c r="E4233" s="30" t="s">
        <v>71</v>
      </c>
      <c r="F4233" s="30" t="s">
        <v>43</v>
      </c>
      <c r="G4233" s="33">
        <v>10.701155</v>
      </c>
      <c r="H4233" s="83" t="s">
        <v>89</v>
      </c>
    </row>
    <row r="4234" spans="1:8" ht="16.5" customHeight="1" x14ac:dyDescent="0.25">
      <c r="A4234" s="27">
        <v>46155</v>
      </c>
      <c r="B4234" s="80">
        <v>2026</v>
      </c>
      <c r="C4234" s="80">
        <v>5</v>
      </c>
      <c r="D4234" s="30" t="s">
        <v>7</v>
      </c>
      <c r="E4234" s="30" t="s">
        <v>74</v>
      </c>
      <c r="F4234" s="30" t="s">
        <v>43</v>
      </c>
      <c r="G4234" s="33">
        <v>16.06044</v>
      </c>
      <c r="H4234" s="83" t="s">
        <v>89</v>
      </c>
    </row>
    <row r="4235" spans="1:8" ht="16.5" customHeight="1" x14ac:dyDescent="0.25">
      <c r="A4235" s="27">
        <v>46155</v>
      </c>
      <c r="B4235" s="80">
        <v>2026</v>
      </c>
      <c r="C4235" s="80">
        <v>5</v>
      </c>
      <c r="D4235" s="30" t="s">
        <v>7</v>
      </c>
      <c r="E4235" s="30" t="s">
        <v>75</v>
      </c>
      <c r="F4235" s="30" t="s">
        <v>43</v>
      </c>
      <c r="G4235" s="33">
        <v>23.837719499999999</v>
      </c>
      <c r="H4235" s="83" t="s">
        <v>48</v>
      </c>
    </row>
    <row r="4236" spans="1:8" ht="16.5" customHeight="1" x14ac:dyDescent="0.25">
      <c r="A4236" s="27">
        <v>46156</v>
      </c>
      <c r="B4236" s="80">
        <v>2026</v>
      </c>
      <c r="C4236" s="80">
        <v>5</v>
      </c>
      <c r="D4236" s="30" t="s">
        <v>7</v>
      </c>
      <c r="E4236" s="30" t="s">
        <v>50</v>
      </c>
      <c r="F4236" s="30" t="s">
        <v>47</v>
      </c>
      <c r="G4236" s="33">
        <v>0.64680000000000004</v>
      </c>
      <c r="H4236" s="83" t="s">
        <v>88</v>
      </c>
    </row>
    <row r="4237" spans="1:8" ht="16.5" customHeight="1" x14ac:dyDescent="0.25">
      <c r="A4237" s="27">
        <v>46157</v>
      </c>
      <c r="B4237" s="80">
        <v>2026</v>
      </c>
      <c r="C4237" s="80">
        <v>5</v>
      </c>
      <c r="D4237" s="30" t="s">
        <v>7</v>
      </c>
      <c r="E4237" s="30" t="s">
        <v>50</v>
      </c>
      <c r="F4237" s="30" t="s">
        <v>43</v>
      </c>
      <c r="G4237" s="33">
        <v>1.0518749999999999</v>
      </c>
      <c r="H4237" s="83" t="s">
        <v>88</v>
      </c>
    </row>
    <row r="4238" spans="1:8" ht="16.5" customHeight="1" x14ac:dyDescent="0.25">
      <c r="A4238" s="27">
        <v>46157</v>
      </c>
      <c r="B4238" s="80">
        <v>2026</v>
      </c>
      <c r="C4238" s="80">
        <v>5</v>
      </c>
      <c r="D4238" s="30" t="s">
        <v>7</v>
      </c>
      <c r="E4238" s="30" t="s">
        <v>50</v>
      </c>
      <c r="F4238" s="30" t="s">
        <v>47</v>
      </c>
      <c r="G4238" s="33">
        <v>0.64680000000000004</v>
      </c>
      <c r="H4238" s="83" t="s">
        <v>88</v>
      </c>
    </row>
    <row r="4239" spans="1:8" ht="16.5" customHeight="1" x14ac:dyDescent="0.25">
      <c r="A4239" s="27">
        <v>46158</v>
      </c>
      <c r="B4239" s="80">
        <v>2026</v>
      </c>
      <c r="C4239" s="80">
        <v>5</v>
      </c>
      <c r="D4239" s="30" t="s">
        <v>7</v>
      </c>
      <c r="E4239" s="30" t="s">
        <v>50</v>
      </c>
      <c r="F4239" s="30" t="s">
        <v>43</v>
      </c>
      <c r="G4239" s="33">
        <v>1.052765</v>
      </c>
      <c r="H4239" s="83" t="s">
        <v>88</v>
      </c>
    </row>
    <row r="4240" spans="1:8" ht="16.5" customHeight="1" x14ac:dyDescent="0.25">
      <c r="A4240" s="27">
        <v>46160</v>
      </c>
      <c r="B4240" s="80">
        <v>2026</v>
      </c>
      <c r="C4240" s="80">
        <v>5</v>
      </c>
      <c r="D4240" s="30" t="s">
        <v>7</v>
      </c>
      <c r="E4240" s="30" t="s">
        <v>38</v>
      </c>
      <c r="F4240" s="30" t="s">
        <v>43</v>
      </c>
      <c r="G4240" s="33">
        <v>4.8314000000000004</v>
      </c>
      <c r="H4240" s="83" t="s">
        <v>88</v>
      </c>
    </row>
    <row r="4241" spans="1:8" ht="16.5" customHeight="1" x14ac:dyDescent="0.25">
      <c r="A4241" s="27">
        <v>46160</v>
      </c>
      <c r="B4241" s="80">
        <v>2026</v>
      </c>
      <c r="C4241" s="80">
        <v>5</v>
      </c>
      <c r="D4241" s="30" t="s">
        <v>7</v>
      </c>
      <c r="E4241" s="30" t="s">
        <v>38</v>
      </c>
      <c r="F4241" s="30" t="s">
        <v>55</v>
      </c>
      <c r="G4241" s="33">
        <v>0.42</v>
      </c>
      <c r="H4241" s="83" t="s">
        <v>88</v>
      </c>
    </row>
    <row r="4242" spans="1:8" ht="16.5" customHeight="1" x14ac:dyDescent="0.25">
      <c r="A4242" s="27">
        <v>46160</v>
      </c>
      <c r="B4242" s="80">
        <v>2026</v>
      </c>
      <c r="C4242" s="80">
        <v>5</v>
      </c>
      <c r="D4242" s="30" t="s">
        <v>7</v>
      </c>
      <c r="E4242" s="30" t="s">
        <v>46</v>
      </c>
      <c r="F4242" s="30" t="s">
        <v>43</v>
      </c>
      <c r="G4242" s="33">
        <v>1.353</v>
      </c>
      <c r="H4242" s="83" t="s">
        <v>88</v>
      </c>
    </row>
    <row r="4243" spans="1:8" ht="16.5" customHeight="1" x14ac:dyDescent="0.25">
      <c r="A4243" s="27">
        <v>46160</v>
      </c>
      <c r="B4243" s="80">
        <v>2026</v>
      </c>
      <c r="C4243" s="80">
        <v>5</v>
      </c>
      <c r="D4243" s="30" t="s">
        <v>7</v>
      </c>
      <c r="E4243" s="30" t="s">
        <v>46</v>
      </c>
      <c r="F4243" s="30" t="s">
        <v>55</v>
      </c>
      <c r="G4243" s="33">
        <v>1.7176039999999999</v>
      </c>
      <c r="H4243" s="83" t="s">
        <v>88</v>
      </c>
    </row>
    <row r="4244" spans="1:8" ht="16.5" customHeight="1" x14ac:dyDescent="0.25">
      <c r="A4244" s="27">
        <v>46160</v>
      </c>
      <c r="B4244" s="80">
        <v>2026</v>
      </c>
      <c r="C4244" s="80">
        <v>5</v>
      </c>
      <c r="D4244" s="30" t="s">
        <v>7</v>
      </c>
      <c r="E4244" s="30" t="s">
        <v>46</v>
      </c>
      <c r="F4244" s="30" t="s">
        <v>58</v>
      </c>
      <c r="G4244" s="33">
        <v>0.79580439999999997</v>
      </c>
      <c r="H4244" s="83" t="s">
        <v>88</v>
      </c>
    </row>
    <row r="4245" spans="1:8" ht="16.5" customHeight="1" x14ac:dyDescent="0.25">
      <c r="A4245" s="27">
        <v>46160</v>
      </c>
      <c r="B4245" s="80">
        <v>2026</v>
      </c>
      <c r="C4245" s="80">
        <v>5</v>
      </c>
      <c r="D4245" s="30" t="s">
        <v>7</v>
      </c>
      <c r="E4245" s="30" t="s">
        <v>50</v>
      </c>
      <c r="F4245" s="30" t="s">
        <v>43</v>
      </c>
      <c r="G4245" s="33">
        <v>7.61251575</v>
      </c>
      <c r="H4245" s="83" t="s">
        <v>88</v>
      </c>
    </row>
    <row r="4246" spans="1:8" ht="16.5" customHeight="1" x14ac:dyDescent="0.25">
      <c r="A4246" s="27">
        <v>46160</v>
      </c>
      <c r="B4246" s="80">
        <v>2026</v>
      </c>
      <c r="C4246" s="80">
        <v>5</v>
      </c>
      <c r="D4246" s="30" t="s">
        <v>7</v>
      </c>
      <c r="E4246" s="30" t="s">
        <v>50</v>
      </c>
      <c r="F4246" s="30" t="s">
        <v>47</v>
      </c>
      <c r="G4246" s="33">
        <v>1.2936000000000001</v>
      </c>
      <c r="H4246" s="83" t="s">
        <v>88</v>
      </c>
    </row>
    <row r="4247" spans="1:8" ht="16.5" customHeight="1" x14ac:dyDescent="0.25">
      <c r="A4247" s="27">
        <v>46160</v>
      </c>
      <c r="B4247" s="80">
        <v>2026</v>
      </c>
      <c r="C4247" s="80">
        <v>5</v>
      </c>
      <c r="D4247" s="30" t="s">
        <v>7</v>
      </c>
      <c r="E4247" s="30" t="s">
        <v>50</v>
      </c>
      <c r="F4247" s="30" t="s">
        <v>55</v>
      </c>
      <c r="G4247" s="33">
        <v>0.53549999999999998</v>
      </c>
      <c r="H4247" s="83" t="s">
        <v>88</v>
      </c>
    </row>
    <row r="4248" spans="1:8" ht="16.5" customHeight="1" x14ac:dyDescent="0.25">
      <c r="A4248" s="27">
        <v>46160</v>
      </c>
      <c r="B4248" s="80">
        <v>2026</v>
      </c>
      <c r="C4248" s="80">
        <v>5</v>
      </c>
      <c r="D4248" s="30" t="s">
        <v>7</v>
      </c>
      <c r="E4248" s="30" t="s">
        <v>50</v>
      </c>
      <c r="F4248" s="30" t="s">
        <v>58</v>
      </c>
      <c r="G4248" s="33">
        <v>0.46979500000000002</v>
      </c>
      <c r="H4248" s="83" t="s">
        <v>88</v>
      </c>
    </row>
    <row r="4249" spans="1:8" ht="16.5" customHeight="1" x14ac:dyDescent="0.25">
      <c r="A4249" s="27">
        <v>46160</v>
      </c>
      <c r="B4249" s="80">
        <v>2026</v>
      </c>
      <c r="C4249" s="80">
        <v>5</v>
      </c>
      <c r="D4249" s="30" t="s">
        <v>7</v>
      </c>
      <c r="E4249" s="30" t="s">
        <v>54</v>
      </c>
      <c r="F4249" s="30" t="s">
        <v>43</v>
      </c>
      <c r="G4249" s="33">
        <v>3.617</v>
      </c>
      <c r="H4249" s="83" t="s">
        <v>88</v>
      </c>
    </row>
    <row r="4250" spans="1:8" ht="16.5" customHeight="1" x14ac:dyDescent="0.25">
      <c r="A4250" s="27">
        <v>46160</v>
      </c>
      <c r="B4250" s="80">
        <v>2026</v>
      </c>
      <c r="C4250" s="80">
        <v>5</v>
      </c>
      <c r="D4250" s="30" t="s">
        <v>7</v>
      </c>
      <c r="E4250" s="30" t="s">
        <v>54</v>
      </c>
      <c r="F4250" s="30" t="s">
        <v>55</v>
      </c>
      <c r="G4250" s="33">
        <v>0.6</v>
      </c>
      <c r="H4250" s="83" t="s">
        <v>88</v>
      </c>
    </row>
    <row r="4251" spans="1:8" ht="16.5" customHeight="1" x14ac:dyDescent="0.25">
      <c r="A4251" s="27">
        <v>46160</v>
      </c>
      <c r="B4251" s="80">
        <v>2026</v>
      </c>
      <c r="C4251" s="80">
        <v>5</v>
      </c>
      <c r="D4251" s="30" t="s">
        <v>7</v>
      </c>
      <c r="E4251" s="30" t="s">
        <v>61</v>
      </c>
      <c r="F4251" s="30" t="s">
        <v>43</v>
      </c>
      <c r="G4251" s="33">
        <v>5.4325000000000001</v>
      </c>
      <c r="H4251" s="83" t="s">
        <v>89</v>
      </c>
    </row>
    <row r="4252" spans="1:8" ht="16.5" customHeight="1" x14ac:dyDescent="0.25">
      <c r="A4252" s="27">
        <v>46160</v>
      </c>
      <c r="B4252" s="80">
        <v>2026</v>
      </c>
      <c r="C4252" s="80">
        <v>5</v>
      </c>
      <c r="D4252" s="30" t="s">
        <v>7</v>
      </c>
      <c r="E4252" s="30" t="s">
        <v>61</v>
      </c>
      <c r="F4252" s="30" t="s">
        <v>55</v>
      </c>
      <c r="G4252" s="33">
        <v>4.0599999999999996</v>
      </c>
      <c r="H4252" s="83" t="s">
        <v>89</v>
      </c>
    </row>
    <row r="4253" spans="1:8" ht="16.5" customHeight="1" x14ac:dyDescent="0.25">
      <c r="A4253" s="27">
        <v>46160</v>
      </c>
      <c r="B4253" s="80">
        <v>2026</v>
      </c>
      <c r="C4253" s="80">
        <v>5</v>
      </c>
      <c r="D4253" s="30" t="s">
        <v>7</v>
      </c>
      <c r="E4253" s="30" t="s">
        <v>64</v>
      </c>
      <c r="F4253" s="30" t="s">
        <v>43</v>
      </c>
      <c r="G4253" s="33">
        <v>1.7509999999999999</v>
      </c>
      <c r="H4253" s="83" t="s">
        <v>89</v>
      </c>
    </row>
    <row r="4254" spans="1:8" ht="16.5" customHeight="1" x14ac:dyDescent="0.25">
      <c r="A4254" s="27">
        <v>46160</v>
      </c>
      <c r="B4254" s="80">
        <v>2026</v>
      </c>
      <c r="C4254" s="80">
        <v>5</v>
      </c>
      <c r="D4254" s="30" t="s">
        <v>7</v>
      </c>
      <c r="E4254" s="30" t="s">
        <v>66</v>
      </c>
      <c r="F4254" s="30" t="s">
        <v>43</v>
      </c>
      <c r="G4254" s="33">
        <v>8.4749999999999996</v>
      </c>
      <c r="H4254" s="83" t="s">
        <v>89</v>
      </c>
    </row>
    <row r="4255" spans="1:8" ht="16.5" customHeight="1" x14ac:dyDescent="0.25">
      <c r="A4255" s="27">
        <v>46160</v>
      </c>
      <c r="B4255" s="80">
        <v>2026</v>
      </c>
      <c r="C4255" s="80">
        <v>5</v>
      </c>
      <c r="D4255" s="30" t="s">
        <v>7</v>
      </c>
      <c r="E4255" s="30" t="s">
        <v>68</v>
      </c>
      <c r="F4255" s="30" t="s">
        <v>43</v>
      </c>
      <c r="G4255" s="33">
        <v>2.3919999999999999</v>
      </c>
      <c r="H4255" s="83" t="s">
        <v>89</v>
      </c>
    </row>
    <row r="4256" spans="1:8" ht="16.5" customHeight="1" x14ac:dyDescent="0.25">
      <c r="A4256" s="27">
        <v>46161</v>
      </c>
      <c r="B4256" s="80">
        <v>2026</v>
      </c>
      <c r="C4256" s="80">
        <v>5</v>
      </c>
      <c r="D4256" s="30" t="s">
        <v>7</v>
      </c>
      <c r="E4256" s="30" t="s">
        <v>38</v>
      </c>
      <c r="F4256" s="30" t="s">
        <v>43</v>
      </c>
      <c r="G4256" s="33">
        <v>19.736000000000001</v>
      </c>
      <c r="H4256" s="83" t="s">
        <v>88</v>
      </c>
    </row>
    <row r="4257" spans="1:8" ht="16.5" customHeight="1" x14ac:dyDescent="0.25">
      <c r="A4257" s="27">
        <v>46161</v>
      </c>
      <c r="B4257" s="80">
        <v>2026</v>
      </c>
      <c r="C4257" s="80">
        <v>5</v>
      </c>
      <c r="D4257" s="30" t="s">
        <v>7</v>
      </c>
      <c r="E4257" s="30" t="s">
        <v>42</v>
      </c>
      <c r="F4257" s="30" t="s">
        <v>43</v>
      </c>
      <c r="G4257" s="33">
        <v>14.234</v>
      </c>
      <c r="H4257" s="83" t="s">
        <v>88</v>
      </c>
    </row>
    <row r="4258" spans="1:8" ht="16.5" customHeight="1" x14ac:dyDescent="0.25">
      <c r="A4258" s="27">
        <v>46161</v>
      </c>
      <c r="B4258" s="80">
        <v>2026</v>
      </c>
      <c r="C4258" s="80">
        <v>5</v>
      </c>
      <c r="D4258" s="30" t="s">
        <v>7</v>
      </c>
      <c r="E4258" s="30" t="s">
        <v>42</v>
      </c>
      <c r="F4258" s="30" t="s">
        <v>58</v>
      </c>
      <c r="G4258" s="33">
        <v>1.35707</v>
      </c>
      <c r="H4258" s="83" t="s">
        <v>88</v>
      </c>
    </row>
    <row r="4259" spans="1:8" ht="16.5" customHeight="1" x14ac:dyDescent="0.25">
      <c r="A4259" s="27">
        <v>46161</v>
      </c>
      <c r="B4259" s="80">
        <v>2026</v>
      </c>
      <c r="C4259" s="80">
        <v>5</v>
      </c>
      <c r="D4259" s="30" t="s">
        <v>7</v>
      </c>
      <c r="E4259" s="30" t="s">
        <v>46</v>
      </c>
      <c r="F4259" s="30" t="s">
        <v>43</v>
      </c>
      <c r="G4259" s="33">
        <v>17.650012400000001</v>
      </c>
      <c r="H4259" s="83" t="s">
        <v>88</v>
      </c>
    </row>
    <row r="4260" spans="1:8" ht="16.5" customHeight="1" x14ac:dyDescent="0.25">
      <c r="A4260" s="27">
        <v>46161</v>
      </c>
      <c r="B4260" s="80">
        <v>2026</v>
      </c>
      <c r="C4260" s="80">
        <v>5</v>
      </c>
      <c r="D4260" s="30" t="s">
        <v>7</v>
      </c>
      <c r="E4260" s="30" t="s">
        <v>46</v>
      </c>
      <c r="F4260" s="30" t="s">
        <v>47</v>
      </c>
      <c r="G4260" s="33">
        <v>0.52432000000000001</v>
      </c>
      <c r="H4260" s="83" t="s">
        <v>88</v>
      </c>
    </row>
    <row r="4261" spans="1:8" ht="16.5" customHeight="1" x14ac:dyDescent="0.25">
      <c r="A4261" s="27">
        <v>46161</v>
      </c>
      <c r="B4261" s="80">
        <v>2026</v>
      </c>
      <c r="C4261" s="80">
        <v>5</v>
      </c>
      <c r="D4261" s="30" t="s">
        <v>7</v>
      </c>
      <c r="E4261" s="30" t="s">
        <v>50</v>
      </c>
      <c r="F4261" s="30" t="s">
        <v>43</v>
      </c>
      <c r="G4261" s="33">
        <v>2.4536695000000002</v>
      </c>
      <c r="H4261" s="83" t="s">
        <v>88</v>
      </c>
    </row>
    <row r="4262" spans="1:8" ht="16.5" customHeight="1" x14ac:dyDescent="0.25">
      <c r="A4262" s="27">
        <v>46161</v>
      </c>
      <c r="B4262" s="80">
        <v>2026</v>
      </c>
      <c r="C4262" s="80">
        <v>5</v>
      </c>
      <c r="D4262" s="30" t="s">
        <v>7</v>
      </c>
      <c r="E4262" s="30" t="s">
        <v>50</v>
      </c>
      <c r="F4262" s="30" t="s">
        <v>47</v>
      </c>
      <c r="G4262" s="33">
        <v>0.25074999999999997</v>
      </c>
      <c r="H4262" s="83" t="s">
        <v>88</v>
      </c>
    </row>
    <row r="4263" spans="1:8" ht="16.5" customHeight="1" x14ac:dyDescent="0.25">
      <c r="A4263" s="27">
        <v>46161</v>
      </c>
      <c r="B4263" s="80">
        <v>2026</v>
      </c>
      <c r="C4263" s="80">
        <v>5</v>
      </c>
      <c r="D4263" s="30" t="s">
        <v>7</v>
      </c>
      <c r="E4263" s="30" t="s">
        <v>50</v>
      </c>
      <c r="F4263" s="30" t="s">
        <v>51</v>
      </c>
      <c r="G4263" s="33">
        <v>0.50149999999999995</v>
      </c>
      <c r="H4263" s="83" t="s">
        <v>88</v>
      </c>
    </row>
    <row r="4264" spans="1:8" ht="16.5" customHeight="1" x14ac:dyDescent="0.25">
      <c r="A4264" s="27">
        <v>46161</v>
      </c>
      <c r="B4264" s="80">
        <v>2026</v>
      </c>
      <c r="C4264" s="80">
        <v>5</v>
      </c>
      <c r="D4264" s="30" t="s">
        <v>7</v>
      </c>
      <c r="E4264" s="30" t="s">
        <v>50</v>
      </c>
      <c r="F4264" s="30" t="s">
        <v>55</v>
      </c>
      <c r="G4264" s="33">
        <v>0.35699999999999998</v>
      </c>
      <c r="H4264" s="83" t="s">
        <v>88</v>
      </c>
    </row>
    <row r="4265" spans="1:8" ht="16.5" customHeight="1" x14ac:dyDescent="0.25">
      <c r="A4265" s="27">
        <v>46161</v>
      </c>
      <c r="B4265" s="80">
        <v>2026</v>
      </c>
      <c r="C4265" s="80">
        <v>5</v>
      </c>
      <c r="D4265" s="30" t="s">
        <v>7</v>
      </c>
      <c r="E4265" s="30" t="s">
        <v>50</v>
      </c>
      <c r="F4265" s="30" t="s">
        <v>58</v>
      </c>
      <c r="G4265" s="33">
        <v>5.27797552</v>
      </c>
      <c r="H4265" s="83" t="s">
        <v>88</v>
      </c>
    </row>
    <row r="4266" spans="1:8" ht="16.5" customHeight="1" x14ac:dyDescent="0.25">
      <c r="A4266" s="27">
        <v>46161</v>
      </c>
      <c r="B4266" s="80">
        <v>2026</v>
      </c>
      <c r="C4266" s="80">
        <v>5</v>
      </c>
      <c r="D4266" s="30" t="s">
        <v>7</v>
      </c>
      <c r="E4266" s="30" t="s">
        <v>54</v>
      </c>
      <c r="F4266" s="30" t="s">
        <v>43</v>
      </c>
      <c r="G4266" s="33">
        <v>0.81599999999999995</v>
      </c>
      <c r="H4266" s="83" t="s">
        <v>88</v>
      </c>
    </row>
    <row r="4267" spans="1:8" ht="16.5" customHeight="1" x14ac:dyDescent="0.25">
      <c r="A4267" s="27">
        <v>46161</v>
      </c>
      <c r="B4267" s="80">
        <v>2026</v>
      </c>
      <c r="C4267" s="80">
        <v>5</v>
      </c>
      <c r="D4267" s="30" t="s">
        <v>7</v>
      </c>
      <c r="E4267" s="30" t="s">
        <v>66</v>
      </c>
      <c r="F4267" s="30" t="s">
        <v>43</v>
      </c>
      <c r="G4267" s="33">
        <v>6.7175000000000002</v>
      </c>
      <c r="H4267" s="83" t="s">
        <v>89</v>
      </c>
    </row>
    <row r="4268" spans="1:8" ht="16.5" customHeight="1" x14ac:dyDescent="0.25">
      <c r="A4268" s="27">
        <v>46161</v>
      </c>
      <c r="B4268" s="80">
        <v>2026</v>
      </c>
      <c r="C4268" s="80">
        <v>5</v>
      </c>
      <c r="D4268" s="30" t="s">
        <v>7</v>
      </c>
      <c r="E4268" s="30" t="s">
        <v>68</v>
      </c>
      <c r="F4268" s="30" t="s">
        <v>43</v>
      </c>
      <c r="G4268" s="33">
        <v>1.776</v>
      </c>
      <c r="H4268" s="83" t="s">
        <v>89</v>
      </c>
    </row>
    <row r="4269" spans="1:8" ht="16.5" customHeight="1" x14ac:dyDescent="0.25">
      <c r="A4269" s="27">
        <v>46161</v>
      </c>
      <c r="B4269" s="80">
        <v>2026</v>
      </c>
      <c r="C4269" s="80">
        <v>5</v>
      </c>
      <c r="D4269" s="30" t="s">
        <v>7</v>
      </c>
      <c r="E4269" s="30" t="s">
        <v>76</v>
      </c>
      <c r="F4269" s="30" t="s">
        <v>43</v>
      </c>
      <c r="G4269" s="33">
        <v>0.83662499999999995</v>
      </c>
      <c r="H4269" s="83" t="s">
        <v>48</v>
      </c>
    </row>
    <row r="4270" spans="1:8" ht="16.5" customHeight="1" x14ac:dyDescent="0.25">
      <c r="A4270" s="27">
        <v>46162</v>
      </c>
      <c r="B4270" s="80">
        <v>2026</v>
      </c>
      <c r="C4270" s="80">
        <v>5</v>
      </c>
      <c r="D4270" s="30" t="s">
        <v>7</v>
      </c>
      <c r="E4270" s="30" t="s">
        <v>38</v>
      </c>
      <c r="F4270" s="30" t="s">
        <v>43</v>
      </c>
      <c r="G4270" s="33">
        <v>14.208500000000001</v>
      </c>
      <c r="H4270" s="83" t="s">
        <v>88</v>
      </c>
    </row>
    <row r="4271" spans="1:8" ht="16.5" customHeight="1" x14ac:dyDescent="0.25">
      <c r="A4271" s="27">
        <v>46162</v>
      </c>
      <c r="B4271" s="80">
        <v>2026</v>
      </c>
      <c r="C4271" s="80">
        <v>5</v>
      </c>
      <c r="D4271" s="30" t="s">
        <v>7</v>
      </c>
      <c r="E4271" s="30" t="s">
        <v>42</v>
      </c>
      <c r="F4271" s="30" t="s">
        <v>43</v>
      </c>
      <c r="G4271" s="33">
        <v>18.241759999999999</v>
      </c>
      <c r="H4271" s="83" t="s">
        <v>88</v>
      </c>
    </row>
    <row r="4272" spans="1:8" ht="16.5" customHeight="1" x14ac:dyDescent="0.25">
      <c r="A4272" s="27">
        <v>46162</v>
      </c>
      <c r="B4272" s="80">
        <v>2026</v>
      </c>
      <c r="C4272" s="80">
        <v>5</v>
      </c>
      <c r="D4272" s="30" t="s">
        <v>7</v>
      </c>
      <c r="E4272" s="30" t="s">
        <v>46</v>
      </c>
      <c r="F4272" s="30" t="s">
        <v>43</v>
      </c>
      <c r="G4272" s="33">
        <v>1.8108523999999999</v>
      </c>
      <c r="H4272" s="83" t="s">
        <v>88</v>
      </c>
    </row>
    <row r="4273" spans="1:8" ht="16.5" customHeight="1" x14ac:dyDescent="0.25">
      <c r="A4273" s="27">
        <v>46162</v>
      </c>
      <c r="B4273" s="80">
        <v>2026</v>
      </c>
      <c r="C4273" s="80">
        <v>5</v>
      </c>
      <c r="D4273" s="30" t="s">
        <v>7</v>
      </c>
      <c r="E4273" s="30" t="s">
        <v>50</v>
      </c>
      <c r="F4273" s="30" t="s">
        <v>43</v>
      </c>
      <c r="G4273" s="33">
        <v>3.1665272500000001</v>
      </c>
      <c r="H4273" s="83" t="s">
        <v>88</v>
      </c>
    </row>
    <row r="4274" spans="1:8" ht="16.5" customHeight="1" x14ac:dyDescent="0.25">
      <c r="A4274" s="27">
        <v>46162</v>
      </c>
      <c r="B4274" s="80">
        <v>2026</v>
      </c>
      <c r="C4274" s="80">
        <v>5</v>
      </c>
      <c r="D4274" s="30" t="s">
        <v>7</v>
      </c>
      <c r="E4274" s="30" t="s">
        <v>50</v>
      </c>
      <c r="F4274" s="30" t="s">
        <v>47</v>
      </c>
      <c r="G4274" s="33">
        <v>1.2936000000000001</v>
      </c>
      <c r="H4274" s="83" t="s">
        <v>88</v>
      </c>
    </row>
    <row r="4275" spans="1:8" ht="16.5" customHeight="1" x14ac:dyDescent="0.25">
      <c r="A4275" s="27">
        <v>46162</v>
      </c>
      <c r="B4275" s="80">
        <v>2026</v>
      </c>
      <c r="C4275" s="80">
        <v>5</v>
      </c>
      <c r="D4275" s="30" t="s">
        <v>7</v>
      </c>
      <c r="E4275" s="30" t="s">
        <v>50</v>
      </c>
      <c r="F4275" s="30" t="s">
        <v>58</v>
      </c>
      <c r="G4275" s="33">
        <v>0.96366600000000002</v>
      </c>
      <c r="H4275" s="83" t="s">
        <v>88</v>
      </c>
    </row>
    <row r="4276" spans="1:8" ht="16.5" customHeight="1" x14ac:dyDescent="0.25">
      <c r="A4276" s="27">
        <v>46162</v>
      </c>
      <c r="B4276" s="80">
        <v>2026</v>
      </c>
      <c r="C4276" s="80">
        <v>5</v>
      </c>
      <c r="D4276" s="30" t="s">
        <v>7</v>
      </c>
      <c r="E4276" s="30" t="s">
        <v>54</v>
      </c>
      <c r="F4276" s="30" t="s">
        <v>43</v>
      </c>
      <c r="G4276" s="33">
        <v>9.1950000000000003</v>
      </c>
      <c r="H4276" s="83" t="s">
        <v>88</v>
      </c>
    </row>
    <row r="4277" spans="1:8" ht="16.5" customHeight="1" x14ac:dyDescent="0.25">
      <c r="A4277" s="27">
        <v>46162</v>
      </c>
      <c r="B4277" s="80">
        <v>2026</v>
      </c>
      <c r="C4277" s="80">
        <v>5</v>
      </c>
      <c r="D4277" s="30" t="s">
        <v>7</v>
      </c>
      <c r="E4277" s="30" t="s">
        <v>68</v>
      </c>
      <c r="F4277" s="30" t="s">
        <v>43</v>
      </c>
      <c r="G4277" s="33">
        <v>3.1004999999999998</v>
      </c>
      <c r="H4277" s="83" t="s">
        <v>89</v>
      </c>
    </row>
    <row r="4278" spans="1:8" ht="16.5" customHeight="1" x14ac:dyDescent="0.25">
      <c r="A4278" s="27">
        <v>46162</v>
      </c>
      <c r="B4278" s="80">
        <v>2026</v>
      </c>
      <c r="C4278" s="80">
        <v>5</v>
      </c>
      <c r="D4278" s="30" t="s">
        <v>7</v>
      </c>
      <c r="E4278" s="30" t="s">
        <v>75</v>
      </c>
      <c r="F4278" s="30" t="s">
        <v>43</v>
      </c>
      <c r="G4278" s="33">
        <v>23.615894999999998</v>
      </c>
      <c r="H4278" s="83" t="s">
        <v>48</v>
      </c>
    </row>
    <row r="4279" spans="1:8" ht="16.5" customHeight="1" x14ac:dyDescent="0.25">
      <c r="A4279" s="27">
        <v>46163</v>
      </c>
      <c r="B4279" s="80">
        <v>2026</v>
      </c>
      <c r="C4279" s="80">
        <v>5</v>
      </c>
      <c r="D4279" s="30" t="s">
        <v>7</v>
      </c>
      <c r="E4279" s="30" t="s">
        <v>38</v>
      </c>
      <c r="F4279" s="30" t="s">
        <v>43</v>
      </c>
      <c r="G4279" s="33">
        <v>2.7949999999999999</v>
      </c>
      <c r="H4279" s="83" t="s">
        <v>88</v>
      </c>
    </row>
    <row r="4280" spans="1:8" ht="16.5" customHeight="1" x14ac:dyDescent="0.25">
      <c r="A4280" s="27">
        <v>46163</v>
      </c>
      <c r="B4280" s="80">
        <v>2026</v>
      </c>
      <c r="C4280" s="80">
        <v>5</v>
      </c>
      <c r="D4280" s="30" t="s">
        <v>7</v>
      </c>
      <c r="E4280" s="30" t="s">
        <v>46</v>
      </c>
      <c r="F4280" s="30" t="s">
        <v>43</v>
      </c>
      <c r="G4280" s="33">
        <v>1.9767204</v>
      </c>
      <c r="H4280" s="83" t="s">
        <v>88</v>
      </c>
    </row>
    <row r="4281" spans="1:8" ht="16.5" customHeight="1" x14ac:dyDescent="0.25">
      <c r="A4281" s="27">
        <v>46163</v>
      </c>
      <c r="B4281" s="80">
        <v>2026</v>
      </c>
      <c r="C4281" s="80">
        <v>5</v>
      </c>
      <c r="D4281" s="30" t="s">
        <v>7</v>
      </c>
      <c r="E4281" s="30" t="s">
        <v>50</v>
      </c>
      <c r="F4281" s="30" t="s">
        <v>43</v>
      </c>
      <c r="G4281" s="33">
        <v>6.6306557499999998</v>
      </c>
      <c r="H4281" s="83" t="s">
        <v>88</v>
      </c>
    </row>
    <row r="4282" spans="1:8" ht="16.5" customHeight="1" x14ac:dyDescent="0.25">
      <c r="A4282" s="27">
        <v>46163</v>
      </c>
      <c r="B4282" s="80">
        <v>2026</v>
      </c>
      <c r="C4282" s="80">
        <v>5</v>
      </c>
      <c r="D4282" s="30" t="s">
        <v>7</v>
      </c>
      <c r="E4282" s="30" t="s">
        <v>50</v>
      </c>
      <c r="F4282" s="30" t="s">
        <v>47</v>
      </c>
      <c r="G4282" s="33">
        <v>0.75729999999999997</v>
      </c>
      <c r="H4282" s="83" t="s">
        <v>88</v>
      </c>
    </row>
    <row r="4283" spans="1:8" ht="16.5" customHeight="1" x14ac:dyDescent="0.25">
      <c r="A4283" s="27">
        <v>46163</v>
      </c>
      <c r="B4283" s="80">
        <v>2026</v>
      </c>
      <c r="C4283" s="80">
        <v>5</v>
      </c>
      <c r="D4283" s="30" t="s">
        <v>7</v>
      </c>
      <c r="E4283" s="30" t="s">
        <v>50</v>
      </c>
      <c r="F4283" s="30" t="s">
        <v>51</v>
      </c>
      <c r="G4283" s="33">
        <v>0.99450000000000005</v>
      </c>
      <c r="H4283" s="83" t="s">
        <v>88</v>
      </c>
    </row>
    <row r="4284" spans="1:8" ht="16.5" customHeight="1" x14ac:dyDescent="0.25">
      <c r="A4284" s="27">
        <v>46163</v>
      </c>
      <c r="B4284" s="80">
        <v>2026</v>
      </c>
      <c r="C4284" s="80">
        <v>5</v>
      </c>
      <c r="D4284" s="30" t="s">
        <v>7</v>
      </c>
      <c r="E4284" s="30" t="s">
        <v>50</v>
      </c>
      <c r="F4284" s="30" t="s">
        <v>55</v>
      </c>
      <c r="G4284" s="33">
        <v>1.0694196</v>
      </c>
      <c r="H4284" s="83" t="s">
        <v>88</v>
      </c>
    </row>
    <row r="4285" spans="1:8" ht="16.5" customHeight="1" x14ac:dyDescent="0.25">
      <c r="A4285" s="27">
        <v>46163</v>
      </c>
      <c r="B4285" s="80">
        <v>2026</v>
      </c>
      <c r="C4285" s="80">
        <v>5</v>
      </c>
      <c r="D4285" s="30" t="s">
        <v>7</v>
      </c>
      <c r="E4285" s="30" t="s">
        <v>50</v>
      </c>
      <c r="F4285" s="30" t="s">
        <v>58</v>
      </c>
      <c r="G4285" s="33">
        <v>8.0384849999999994E-2</v>
      </c>
      <c r="H4285" s="83" t="s">
        <v>88</v>
      </c>
    </row>
    <row r="4286" spans="1:8" ht="16.5" customHeight="1" x14ac:dyDescent="0.25">
      <c r="A4286" s="27">
        <v>46163</v>
      </c>
      <c r="B4286" s="80">
        <v>2026</v>
      </c>
      <c r="C4286" s="80">
        <v>5</v>
      </c>
      <c r="D4286" s="30" t="s">
        <v>7</v>
      </c>
      <c r="E4286" s="30" t="s">
        <v>54</v>
      </c>
      <c r="F4286" s="30" t="s">
        <v>43</v>
      </c>
      <c r="G4286" s="33">
        <v>4.7850000000000001</v>
      </c>
      <c r="H4286" s="83" t="s">
        <v>88</v>
      </c>
    </row>
    <row r="4287" spans="1:8" ht="16.5" customHeight="1" x14ac:dyDescent="0.25">
      <c r="A4287" s="27">
        <v>46163</v>
      </c>
      <c r="B4287" s="80">
        <v>2026</v>
      </c>
      <c r="C4287" s="80">
        <v>5</v>
      </c>
      <c r="D4287" s="30" t="s">
        <v>7</v>
      </c>
      <c r="E4287" s="30" t="s">
        <v>66</v>
      </c>
      <c r="F4287" s="30" t="s">
        <v>43</v>
      </c>
      <c r="G4287" s="33">
        <v>2.085</v>
      </c>
      <c r="H4287" s="83" t="s">
        <v>89</v>
      </c>
    </row>
    <row r="4288" spans="1:8" ht="16.5" customHeight="1" x14ac:dyDescent="0.25">
      <c r="A4288" s="27">
        <v>46163</v>
      </c>
      <c r="B4288" s="80">
        <v>2026</v>
      </c>
      <c r="C4288" s="80">
        <v>5</v>
      </c>
      <c r="D4288" s="30" t="s">
        <v>7</v>
      </c>
      <c r="E4288" s="30" t="s">
        <v>68</v>
      </c>
      <c r="F4288" s="30" t="s">
        <v>39</v>
      </c>
      <c r="G4288" s="33">
        <v>12.846500000000001</v>
      </c>
      <c r="H4288" s="83" t="s">
        <v>89</v>
      </c>
    </row>
    <row r="4289" spans="1:8" ht="16.5" customHeight="1" x14ac:dyDescent="0.25">
      <c r="A4289" s="27">
        <v>46163</v>
      </c>
      <c r="B4289" s="80">
        <v>2026</v>
      </c>
      <c r="C4289" s="80">
        <v>5</v>
      </c>
      <c r="D4289" s="30" t="s">
        <v>7</v>
      </c>
      <c r="E4289" s="30" t="s">
        <v>68</v>
      </c>
      <c r="F4289" s="30" t="s">
        <v>43</v>
      </c>
      <c r="G4289" s="33">
        <v>0.84</v>
      </c>
      <c r="H4289" s="83" t="s">
        <v>89</v>
      </c>
    </row>
    <row r="4290" spans="1:8" ht="16.5" customHeight="1" x14ac:dyDescent="0.25">
      <c r="A4290" s="27">
        <v>46163</v>
      </c>
      <c r="B4290" s="80">
        <v>2026</v>
      </c>
      <c r="C4290" s="80">
        <v>5</v>
      </c>
      <c r="D4290" s="30" t="s">
        <v>7</v>
      </c>
      <c r="E4290" s="30" t="s">
        <v>71</v>
      </c>
      <c r="F4290" s="30" t="s">
        <v>43</v>
      </c>
      <c r="G4290" s="33">
        <v>8.3249999999999993</v>
      </c>
      <c r="H4290" s="83" t="s">
        <v>89</v>
      </c>
    </row>
    <row r="4291" spans="1:8" ht="16.5" customHeight="1" x14ac:dyDescent="0.25">
      <c r="A4291" s="27">
        <v>46163</v>
      </c>
      <c r="B4291" s="80">
        <v>2026</v>
      </c>
      <c r="C4291" s="80">
        <v>5</v>
      </c>
      <c r="D4291" s="30" t="s">
        <v>7</v>
      </c>
      <c r="E4291" s="30" t="s">
        <v>76</v>
      </c>
      <c r="F4291" s="30" t="s">
        <v>39</v>
      </c>
      <c r="G4291" s="33">
        <v>386.14484700000003</v>
      </c>
      <c r="H4291" s="83" t="s">
        <v>48</v>
      </c>
    </row>
    <row r="4292" spans="1:8" ht="16.5" customHeight="1" x14ac:dyDescent="0.25">
      <c r="A4292" s="27">
        <v>46164</v>
      </c>
      <c r="B4292" s="80">
        <v>2026</v>
      </c>
      <c r="C4292" s="80">
        <v>5</v>
      </c>
      <c r="D4292" s="30" t="s">
        <v>7</v>
      </c>
      <c r="E4292" s="30" t="s">
        <v>38</v>
      </c>
      <c r="F4292" s="30" t="s">
        <v>43</v>
      </c>
      <c r="G4292" s="33">
        <v>4.3179999999999996</v>
      </c>
      <c r="H4292" s="83" t="s">
        <v>88</v>
      </c>
    </row>
    <row r="4293" spans="1:8" ht="16.5" customHeight="1" x14ac:dyDescent="0.25">
      <c r="A4293" s="27">
        <v>46164</v>
      </c>
      <c r="B4293" s="80">
        <v>2026</v>
      </c>
      <c r="C4293" s="80">
        <v>5</v>
      </c>
      <c r="D4293" s="30" t="s">
        <v>7</v>
      </c>
      <c r="E4293" s="30" t="s">
        <v>42</v>
      </c>
      <c r="F4293" s="30" t="s">
        <v>43</v>
      </c>
      <c r="G4293" s="33">
        <v>4.7430000000000003</v>
      </c>
      <c r="H4293" s="83" t="s">
        <v>88</v>
      </c>
    </row>
    <row r="4294" spans="1:8" ht="16.5" customHeight="1" x14ac:dyDescent="0.25">
      <c r="A4294" s="27">
        <v>46164</v>
      </c>
      <c r="B4294" s="80">
        <v>2026</v>
      </c>
      <c r="C4294" s="80">
        <v>5</v>
      </c>
      <c r="D4294" s="30" t="s">
        <v>7</v>
      </c>
      <c r="E4294" s="30" t="s">
        <v>42</v>
      </c>
      <c r="F4294" s="30" t="s">
        <v>47</v>
      </c>
      <c r="G4294" s="33">
        <v>1.31</v>
      </c>
      <c r="H4294" s="83" t="s">
        <v>88</v>
      </c>
    </row>
    <row r="4295" spans="1:8" ht="16.5" customHeight="1" x14ac:dyDescent="0.25">
      <c r="A4295" s="27">
        <v>46164</v>
      </c>
      <c r="B4295" s="80">
        <v>2026</v>
      </c>
      <c r="C4295" s="80">
        <v>5</v>
      </c>
      <c r="D4295" s="30" t="s">
        <v>7</v>
      </c>
      <c r="E4295" s="30" t="s">
        <v>50</v>
      </c>
      <c r="F4295" s="30" t="s">
        <v>43</v>
      </c>
      <c r="G4295" s="33">
        <v>8.4320000000000004</v>
      </c>
      <c r="H4295" s="83" t="s">
        <v>88</v>
      </c>
    </row>
    <row r="4296" spans="1:8" ht="16.5" customHeight="1" x14ac:dyDescent="0.25">
      <c r="A4296" s="27">
        <v>46164</v>
      </c>
      <c r="B4296" s="80">
        <v>2026</v>
      </c>
      <c r="C4296" s="80">
        <v>5</v>
      </c>
      <c r="D4296" s="30" t="s">
        <v>7</v>
      </c>
      <c r="E4296" s="30" t="s">
        <v>50</v>
      </c>
      <c r="F4296" s="30" t="s">
        <v>58</v>
      </c>
      <c r="G4296" s="33">
        <v>0.98697690000000005</v>
      </c>
      <c r="H4296" s="83" t="s">
        <v>88</v>
      </c>
    </row>
    <row r="4297" spans="1:8" ht="16.5" customHeight="1" x14ac:dyDescent="0.25">
      <c r="A4297" s="27">
        <v>46164</v>
      </c>
      <c r="B4297" s="80">
        <v>2026</v>
      </c>
      <c r="C4297" s="80">
        <v>5</v>
      </c>
      <c r="D4297" s="30" t="s">
        <v>7</v>
      </c>
      <c r="E4297" s="30" t="s">
        <v>54</v>
      </c>
      <c r="F4297" s="30" t="s">
        <v>43</v>
      </c>
      <c r="G4297" s="33">
        <v>8.7149999999999999</v>
      </c>
      <c r="H4297" s="83" t="s">
        <v>88</v>
      </c>
    </row>
    <row r="4298" spans="1:8" ht="16.5" customHeight="1" x14ac:dyDescent="0.25">
      <c r="A4298" s="27">
        <v>46164</v>
      </c>
      <c r="B4298" s="80">
        <v>2026</v>
      </c>
      <c r="C4298" s="80">
        <v>5</v>
      </c>
      <c r="D4298" s="30" t="s">
        <v>7</v>
      </c>
      <c r="E4298" s="30" t="s">
        <v>57</v>
      </c>
      <c r="F4298" s="30" t="s">
        <v>39</v>
      </c>
      <c r="G4298" s="33">
        <v>2.2330000000000001</v>
      </c>
      <c r="H4298" s="83" t="s">
        <v>89</v>
      </c>
    </row>
    <row r="4299" spans="1:8" ht="16.5" customHeight="1" x14ac:dyDescent="0.25">
      <c r="A4299" s="27">
        <v>46164</v>
      </c>
      <c r="B4299" s="80">
        <v>2026</v>
      </c>
      <c r="C4299" s="80">
        <v>5</v>
      </c>
      <c r="D4299" s="30" t="s">
        <v>7</v>
      </c>
      <c r="E4299" s="30" t="s">
        <v>57</v>
      </c>
      <c r="F4299" s="30" t="s">
        <v>43</v>
      </c>
      <c r="G4299" s="33">
        <v>41.093499999999999</v>
      </c>
      <c r="H4299" s="83" t="s">
        <v>89</v>
      </c>
    </row>
    <row r="4300" spans="1:8" ht="16.5" customHeight="1" x14ac:dyDescent="0.25">
      <c r="A4300" s="27">
        <v>46164</v>
      </c>
      <c r="B4300" s="80">
        <v>2026</v>
      </c>
      <c r="C4300" s="80">
        <v>5</v>
      </c>
      <c r="D4300" s="30" t="s">
        <v>7</v>
      </c>
      <c r="E4300" s="30" t="s">
        <v>61</v>
      </c>
      <c r="F4300" s="30" t="s">
        <v>43</v>
      </c>
      <c r="G4300" s="33">
        <v>2.9580000000000002</v>
      </c>
      <c r="H4300" s="83" t="s">
        <v>89</v>
      </c>
    </row>
    <row r="4301" spans="1:8" ht="16.5" customHeight="1" x14ac:dyDescent="0.25">
      <c r="A4301" s="27">
        <v>46164</v>
      </c>
      <c r="B4301" s="80">
        <v>2026</v>
      </c>
      <c r="C4301" s="80">
        <v>5</v>
      </c>
      <c r="D4301" s="30" t="s">
        <v>7</v>
      </c>
      <c r="E4301" s="30" t="s">
        <v>64</v>
      </c>
      <c r="F4301" s="30" t="s">
        <v>43</v>
      </c>
      <c r="G4301" s="33">
        <v>1.4730000000000001</v>
      </c>
      <c r="H4301" s="83" t="s">
        <v>89</v>
      </c>
    </row>
    <row r="4302" spans="1:8" ht="16.5" customHeight="1" x14ac:dyDescent="0.25">
      <c r="A4302" s="27">
        <v>46164</v>
      </c>
      <c r="B4302" s="80">
        <v>2026</v>
      </c>
      <c r="C4302" s="80">
        <v>5</v>
      </c>
      <c r="D4302" s="30" t="s">
        <v>7</v>
      </c>
      <c r="E4302" s="30" t="s">
        <v>66</v>
      </c>
      <c r="F4302" s="30" t="s">
        <v>43</v>
      </c>
      <c r="G4302" s="33">
        <v>43.96</v>
      </c>
      <c r="H4302" s="83" t="s">
        <v>89</v>
      </c>
    </row>
    <row r="4303" spans="1:8" ht="16.5" customHeight="1" x14ac:dyDescent="0.25">
      <c r="A4303" s="27">
        <v>46164</v>
      </c>
      <c r="B4303" s="80">
        <v>2026</v>
      </c>
      <c r="C4303" s="80">
        <v>5</v>
      </c>
      <c r="D4303" s="30" t="s">
        <v>7</v>
      </c>
      <c r="E4303" s="30" t="s">
        <v>71</v>
      </c>
      <c r="F4303" s="30" t="s">
        <v>43</v>
      </c>
      <c r="G4303" s="33">
        <v>18.292400000000001</v>
      </c>
      <c r="H4303" s="83" t="s">
        <v>89</v>
      </c>
    </row>
    <row r="4304" spans="1:8" ht="16.5" customHeight="1" x14ac:dyDescent="0.25">
      <c r="A4304" s="27">
        <v>46164</v>
      </c>
      <c r="B4304" s="80">
        <v>2026</v>
      </c>
      <c r="C4304" s="80">
        <v>5</v>
      </c>
      <c r="D4304" s="30" t="s">
        <v>7</v>
      </c>
      <c r="E4304" s="30" t="s">
        <v>74</v>
      </c>
      <c r="F4304" s="30" t="s">
        <v>43</v>
      </c>
      <c r="G4304" s="33">
        <v>8.6175999999999995</v>
      </c>
      <c r="H4304" s="83" t="s">
        <v>89</v>
      </c>
    </row>
    <row r="4305" spans="1:8" ht="16.5" customHeight="1" x14ac:dyDescent="0.25">
      <c r="A4305" s="27">
        <v>46164</v>
      </c>
      <c r="B4305" s="80">
        <v>2026</v>
      </c>
      <c r="C4305" s="80">
        <v>5</v>
      </c>
      <c r="D4305" s="30" t="s">
        <v>7</v>
      </c>
      <c r="E4305" s="30" t="s">
        <v>76</v>
      </c>
      <c r="F4305" s="30" t="s">
        <v>39</v>
      </c>
      <c r="G4305" s="33">
        <v>29.453468000000001</v>
      </c>
      <c r="H4305" s="83" t="s">
        <v>48</v>
      </c>
    </row>
    <row r="4306" spans="1:8" ht="16.5" customHeight="1" x14ac:dyDescent="0.25">
      <c r="A4306" s="27">
        <v>46168</v>
      </c>
      <c r="B4306" s="80">
        <v>2026</v>
      </c>
      <c r="C4306" s="80">
        <v>5</v>
      </c>
      <c r="D4306" s="30" t="s">
        <v>7</v>
      </c>
      <c r="E4306" s="30" t="s">
        <v>38</v>
      </c>
      <c r="F4306" s="30" t="s">
        <v>43</v>
      </c>
      <c r="G4306" s="33">
        <v>10.349728000000001</v>
      </c>
      <c r="H4306" s="83" t="s">
        <v>88</v>
      </c>
    </row>
    <row r="4307" spans="1:8" ht="16.5" customHeight="1" x14ac:dyDescent="0.25">
      <c r="A4307" s="27">
        <v>46168</v>
      </c>
      <c r="B4307" s="80">
        <v>2026</v>
      </c>
      <c r="C4307" s="80">
        <v>5</v>
      </c>
      <c r="D4307" s="30" t="s">
        <v>7</v>
      </c>
      <c r="E4307" s="30" t="s">
        <v>42</v>
      </c>
      <c r="F4307" s="30" t="s">
        <v>43</v>
      </c>
      <c r="G4307" s="33">
        <v>1.55</v>
      </c>
      <c r="H4307" s="83" t="s">
        <v>88</v>
      </c>
    </row>
    <row r="4308" spans="1:8" ht="16.5" customHeight="1" x14ac:dyDescent="0.25">
      <c r="A4308" s="27">
        <v>46168</v>
      </c>
      <c r="B4308" s="80">
        <v>2026</v>
      </c>
      <c r="C4308" s="80">
        <v>5</v>
      </c>
      <c r="D4308" s="30" t="s">
        <v>7</v>
      </c>
      <c r="E4308" s="30" t="s">
        <v>42</v>
      </c>
      <c r="F4308" s="30" t="s">
        <v>47</v>
      </c>
      <c r="G4308" s="33">
        <v>2.0750000000000002</v>
      </c>
      <c r="H4308" s="83" t="s">
        <v>88</v>
      </c>
    </row>
    <row r="4309" spans="1:8" ht="16.5" customHeight="1" x14ac:dyDescent="0.25">
      <c r="A4309" s="27">
        <v>46168</v>
      </c>
      <c r="B4309" s="80">
        <v>2026</v>
      </c>
      <c r="C4309" s="80">
        <v>5</v>
      </c>
      <c r="D4309" s="30" t="s">
        <v>7</v>
      </c>
      <c r="E4309" s="30" t="s">
        <v>46</v>
      </c>
      <c r="F4309" s="30" t="s">
        <v>43</v>
      </c>
      <c r="G4309" s="33">
        <v>11.450465599999999</v>
      </c>
      <c r="H4309" s="83" t="s">
        <v>88</v>
      </c>
    </row>
    <row r="4310" spans="1:8" ht="16.5" customHeight="1" x14ac:dyDescent="0.25">
      <c r="A4310" s="27">
        <v>46168</v>
      </c>
      <c r="B4310" s="80">
        <v>2026</v>
      </c>
      <c r="C4310" s="80">
        <v>5</v>
      </c>
      <c r="D4310" s="30" t="s">
        <v>7</v>
      </c>
      <c r="E4310" s="30" t="s">
        <v>46</v>
      </c>
      <c r="F4310" s="30" t="s">
        <v>47</v>
      </c>
      <c r="G4310" s="33">
        <v>0.85940000000000005</v>
      </c>
      <c r="H4310" s="83" t="s">
        <v>88</v>
      </c>
    </row>
    <row r="4311" spans="1:8" ht="16.5" customHeight="1" x14ac:dyDescent="0.25">
      <c r="A4311" s="27">
        <v>46168</v>
      </c>
      <c r="B4311" s="80">
        <v>2026</v>
      </c>
      <c r="C4311" s="80">
        <v>5</v>
      </c>
      <c r="D4311" s="30" t="s">
        <v>7</v>
      </c>
      <c r="E4311" s="30" t="s">
        <v>46</v>
      </c>
      <c r="F4311" s="30" t="s">
        <v>51</v>
      </c>
      <c r="G4311" s="33">
        <v>0.13108</v>
      </c>
      <c r="H4311" s="83" t="s">
        <v>88</v>
      </c>
    </row>
    <row r="4312" spans="1:8" ht="16.5" customHeight="1" x14ac:dyDescent="0.25">
      <c r="A4312" s="27">
        <v>46168</v>
      </c>
      <c r="B4312" s="80">
        <v>2026</v>
      </c>
      <c r="C4312" s="80">
        <v>5</v>
      </c>
      <c r="D4312" s="30" t="s">
        <v>7</v>
      </c>
      <c r="E4312" s="30" t="s">
        <v>50</v>
      </c>
      <c r="F4312" s="30" t="s">
        <v>43</v>
      </c>
      <c r="G4312" s="33">
        <v>21.990724369999999</v>
      </c>
      <c r="H4312" s="83" t="s">
        <v>88</v>
      </c>
    </row>
    <row r="4313" spans="1:8" ht="16.5" customHeight="1" x14ac:dyDescent="0.25">
      <c r="A4313" s="27">
        <v>46168</v>
      </c>
      <c r="B4313" s="80">
        <v>2026</v>
      </c>
      <c r="C4313" s="80">
        <v>5</v>
      </c>
      <c r="D4313" s="30" t="s">
        <v>7</v>
      </c>
      <c r="E4313" s="30" t="s">
        <v>50</v>
      </c>
      <c r="F4313" s="30" t="s">
        <v>47</v>
      </c>
      <c r="G4313" s="33">
        <v>0.97023999999999999</v>
      </c>
      <c r="H4313" s="83" t="s">
        <v>88</v>
      </c>
    </row>
    <row r="4314" spans="1:8" ht="16.5" customHeight="1" x14ac:dyDescent="0.25">
      <c r="A4314" s="27">
        <v>46168</v>
      </c>
      <c r="B4314" s="80">
        <v>2026</v>
      </c>
      <c r="C4314" s="80">
        <v>5</v>
      </c>
      <c r="D4314" s="30" t="s">
        <v>7</v>
      </c>
      <c r="E4314" s="30" t="s">
        <v>50</v>
      </c>
      <c r="F4314" s="30" t="s">
        <v>51</v>
      </c>
      <c r="G4314" s="33">
        <v>1.7720153000000001</v>
      </c>
      <c r="H4314" s="83" t="s">
        <v>88</v>
      </c>
    </row>
    <row r="4315" spans="1:8" ht="16.5" customHeight="1" x14ac:dyDescent="0.25">
      <c r="A4315" s="27">
        <v>46168</v>
      </c>
      <c r="B4315" s="80">
        <v>2026</v>
      </c>
      <c r="C4315" s="80">
        <v>5</v>
      </c>
      <c r="D4315" s="30" t="s">
        <v>7</v>
      </c>
      <c r="E4315" s="30" t="s">
        <v>50</v>
      </c>
      <c r="F4315" s="30" t="s">
        <v>55</v>
      </c>
      <c r="G4315" s="33">
        <v>1.6065</v>
      </c>
      <c r="H4315" s="83" t="s">
        <v>88</v>
      </c>
    </row>
    <row r="4316" spans="1:8" ht="16.5" customHeight="1" x14ac:dyDescent="0.25">
      <c r="A4316" s="27">
        <v>46168</v>
      </c>
      <c r="B4316" s="80">
        <v>2026</v>
      </c>
      <c r="C4316" s="80">
        <v>5</v>
      </c>
      <c r="D4316" s="30" t="s">
        <v>7</v>
      </c>
      <c r="E4316" s="30" t="s">
        <v>50</v>
      </c>
      <c r="F4316" s="30" t="s">
        <v>58</v>
      </c>
      <c r="G4316" s="33">
        <v>1.31621667</v>
      </c>
      <c r="H4316" s="83" t="s">
        <v>88</v>
      </c>
    </row>
    <row r="4317" spans="1:8" ht="16.5" customHeight="1" x14ac:dyDescent="0.25">
      <c r="A4317" s="27">
        <v>46168</v>
      </c>
      <c r="B4317" s="80">
        <v>2026</v>
      </c>
      <c r="C4317" s="80">
        <v>5</v>
      </c>
      <c r="D4317" s="30" t="s">
        <v>7</v>
      </c>
      <c r="E4317" s="30" t="s">
        <v>54</v>
      </c>
      <c r="F4317" s="30" t="s">
        <v>43</v>
      </c>
      <c r="G4317" s="33">
        <v>1.2577499999999999</v>
      </c>
      <c r="H4317" s="83" t="s">
        <v>88</v>
      </c>
    </row>
    <row r="4318" spans="1:8" ht="16.5" customHeight="1" x14ac:dyDescent="0.25">
      <c r="A4318" s="27">
        <v>46168</v>
      </c>
      <c r="B4318" s="80">
        <v>2026</v>
      </c>
      <c r="C4318" s="80">
        <v>5</v>
      </c>
      <c r="D4318" s="30" t="s">
        <v>7</v>
      </c>
      <c r="E4318" s="30" t="s">
        <v>66</v>
      </c>
      <c r="F4318" s="30" t="s">
        <v>39</v>
      </c>
      <c r="G4318" s="33">
        <v>1.3474999999999999</v>
      </c>
      <c r="H4318" s="83" t="s">
        <v>89</v>
      </c>
    </row>
    <row r="4319" spans="1:8" ht="16.5" customHeight="1" x14ac:dyDescent="0.25">
      <c r="A4319" s="27">
        <v>46168</v>
      </c>
      <c r="B4319" s="80">
        <v>2026</v>
      </c>
      <c r="C4319" s="80">
        <v>5</v>
      </c>
      <c r="D4319" s="30" t="s">
        <v>7</v>
      </c>
      <c r="E4319" s="30" t="s">
        <v>66</v>
      </c>
      <c r="F4319" s="30" t="s">
        <v>43</v>
      </c>
      <c r="G4319" s="33">
        <v>10.989000000000001</v>
      </c>
      <c r="H4319" s="83" t="s">
        <v>89</v>
      </c>
    </row>
    <row r="4320" spans="1:8" ht="16.5" customHeight="1" x14ac:dyDescent="0.25">
      <c r="A4320" s="27">
        <v>46168</v>
      </c>
      <c r="B4320" s="80">
        <v>2026</v>
      </c>
      <c r="C4320" s="80">
        <v>5</v>
      </c>
      <c r="D4320" s="30" t="s">
        <v>7</v>
      </c>
      <c r="E4320" s="30" t="s">
        <v>68</v>
      </c>
      <c r="F4320" s="30" t="s">
        <v>39</v>
      </c>
      <c r="G4320" s="33">
        <v>1.5785</v>
      </c>
      <c r="H4320" s="83" t="s">
        <v>89</v>
      </c>
    </row>
    <row r="4321" spans="1:8" ht="16.5" customHeight="1" x14ac:dyDescent="0.25">
      <c r="A4321" s="27">
        <v>46168</v>
      </c>
      <c r="B4321" s="80">
        <v>2026</v>
      </c>
      <c r="C4321" s="80">
        <v>5</v>
      </c>
      <c r="D4321" s="30" t="s">
        <v>7</v>
      </c>
      <c r="E4321" s="30" t="s">
        <v>68</v>
      </c>
      <c r="F4321" s="30" t="s">
        <v>43</v>
      </c>
      <c r="G4321" s="33">
        <v>3.1112500000000001</v>
      </c>
      <c r="H4321" s="83" t="s">
        <v>89</v>
      </c>
    </row>
    <row r="4322" spans="1:8" ht="16.5" customHeight="1" x14ac:dyDescent="0.25">
      <c r="A4322" s="27">
        <v>46168</v>
      </c>
      <c r="B4322" s="80">
        <v>2026</v>
      </c>
      <c r="C4322" s="80">
        <v>5</v>
      </c>
      <c r="D4322" s="30" t="s">
        <v>7</v>
      </c>
      <c r="E4322" s="30" t="s">
        <v>73</v>
      </c>
      <c r="F4322" s="30" t="s">
        <v>43</v>
      </c>
      <c r="G4322" s="33">
        <v>9.0299999999999994</v>
      </c>
      <c r="H4322" s="83" t="s">
        <v>89</v>
      </c>
    </row>
    <row r="4323" spans="1:8" ht="16.5" customHeight="1" x14ac:dyDescent="0.25">
      <c r="A4323" s="27">
        <v>46168</v>
      </c>
      <c r="B4323" s="80">
        <v>2026</v>
      </c>
      <c r="C4323" s="80">
        <v>5</v>
      </c>
      <c r="D4323" s="30" t="s">
        <v>7</v>
      </c>
      <c r="E4323" s="30" t="s">
        <v>75</v>
      </c>
      <c r="F4323" s="30" t="s">
        <v>43</v>
      </c>
      <c r="G4323" s="33">
        <v>1.0581225000000001</v>
      </c>
      <c r="H4323" s="83" t="s">
        <v>48</v>
      </c>
    </row>
    <row r="4324" spans="1:8" ht="16.5" customHeight="1" x14ac:dyDescent="0.25">
      <c r="A4324" s="27">
        <v>46169</v>
      </c>
      <c r="B4324" s="80">
        <v>2026</v>
      </c>
      <c r="C4324" s="80">
        <v>5</v>
      </c>
      <c r="D4324" s="30" t="s">
        <v>7</v>
      </c>
      <c r="E4324" s="30" t="s">
        <v>38</v>
      </c>
      <c r="F4324" s="30" t="s">
        <v>43</v>
      </c>
      <c r="G4324" s="33">
        <v>1.3184724000000001</v>
      </c>
      <c r="H4324" s="83" t="s">
        <v>88</v>
      </c>
    </row>
    <row r="4325" spans="1:8" ht="16.5" customHeight="1" x14ac:dyDescent="0.25">
      <c r="A4325" s="27">
        <v>46169</v>
      </c>
      <c r="B4325" s="80">
        <v>2026</v>
      </c>
      <c r="C4325" s="80">
        <v>5</v>
      </c>
      <c r="D4325" s="30" t="s">
        <v>7</v>
      </c>
      <c r="E4325" s="30" t="s">
        <v>38</v>
      </c>
      <c r="F4325" s="30" t="s">
        <v>47</v>
      </c>
      <c r="G4325" s="33">
        <v>0.16514999999999999</v>
      </c>
      <c r="H4325" s="83" t="s">
        <v>88</v>
      </c>
    </row>
    <row r="4326" spans="1:8" ht="16.5" customHeight="1" x14ac:dyDescent="0.25">
      <c r="A4326" s="27">
        <v>46169</v>
      </c>
      <c r="B4326" s="80">
        <v>2026</v>
      </c>
      <c r="C4326" s="80">
        <v>5</v>
      </c>
      <c r="D4326" s="30" t="s">
        <v>7</v>
      </c>
      <c r="E4326" s="30" t="s">
        <v>42</v>
      </c>
      <c r="F4326" s="30" t="s">
        <v>43</v>
      </c>
      <c r="G4326" s="33">
        <v>2.5840000000000001</v>
      </c>
      <c r="H4326" s="83" t="s">
        <v>88</v>
      </c>
    </row>
    <row r="4327" spans="1:8" ht="16.5" customHeight="1" x14ac:dyDescent="0.25">
      <c r="A4327" s="27">
        <v>46169</v>
      </c>
      <c r="B4327" s="80">
        <v>2026</v>
      </c>
      <c r="C4327" s="80">
        <v>5</v>
      </c>
      <c r="D4327" s="30" t="s">
        <v>7</v>
      </c>
      <c r="E4327" s="30" t="s">
        <v>46</v>
      </c>
      <c r="F4327" s="30" t="s">
        <v>43</v>
      </c>
      <c r="G4327" s="33">
        <v>0.87598456000000002</v>
      </c>
      <c r="H4327" s="83" t="s">
        <v>88</v>
      </c>
    </row>
    <row r="4328" spans="1:8" ht="16.5" customHeight="1" x14ac:dyDescent="0.25">
      <c r="A4328" s="27">
        <v>46169</v>
      </c>
      <c r="B4328" s="80">
        <v>2026</v>
      </c>
      <c r="C4328" s="80">
        <v>5</v>
      </c>
      <c r="D4328" s="30" t="s">
        <v>7</v>
      </c>
      <c r="E4328" s="30" t="s">
        <v>50</v>
      </c>
      <c r="F4328" s="30" t="s">
        <v>43</v>
      </c>
      <c r="G4328" s="33">
        <v>60.863164480000002</v>
      </c>
      <c r="H4328" s="83" t="s">
        <v>88</v>
      </c>
    </row>
    <row r="4329" spans="1:8" ht="16.5" customHeight="1" x14ac:dyDescent="0.25">
      <c r="A4329" s="27">
        <v>46169</v>
      </c>
      <c r="B4329" s="80">
        <v>2026</v>
      </c>
      <c r="C4329" s="80">
        <v>5</v>
      </c>
      <c r="D4329" s="30" t="s">
        <v>7</v>
      </c>
      <c r="E4329" s="30" t="s">
        <v>54</v>
      </c>
      <c r="F4329" s="30" t="s">
        <v>43</v>
      </c>
      <c r="G4329" s="33">
        <v>0.47699999999999998</v>
      </c>
      <c r="H4329" s="83" t="s">
        <v>88</v>
      </c>
    </row>
    <row r="4330" spans="1:8" ht="16.5" customHeight="1" x14ac:dyDescent="0.25">
      <c r="A4330" s="27">
        <v>46169</v>
      </c>
      <c r="B4330" s="80">
        <v>2026</v>
      </c>
      <c r="C4330" s="80">
        <v>5</v>
      </c>
      <c r="D4330" s="30" t="s">
        <v>7</v>
      </c>
      <c r="E4330" s="30" t="s">
        <v>57</v>
      </c>
      <c r="F4330" s="30" t="s">
        <v>43</v>
      </c>
      <c r="G4330" s="33">
        <v>1.2090000000000001</v>
      </c>
      <c r="H4330" s="83" t="s">
        <v>89</v>
      </c>
    </row>
    <row r="4331" spans="1:8" ht="16.5" customHeight="1" x14ac:dyDescent="0.25">
      <c r="A4331" s="27">
        <v>46169</v>
      </c>
      <c r="B4331" s="80">
        <v>2026</v>
      </c>
      <c r="C4331" s="80">
        <v>5</v>
      </c>
      <c r="D4331" s="30" t="s">
        <v>7</v>
      </c>
      <c r="E4331" s="30" t="s">
        <v>66</v>
      </c>
      <c r="F4331" s="30" t="s">
        <v>43</v>
      </c>
      <c r="G4331" s="33">
        <v>1.3282499999999999</v>
      </c>
      <c r="H4331" s="83" t="s">
        <v>89</v>
      </c>
    </row>
    <row r="4332" spans="1:8" ht="16.5" customHeight="1" x14ac:dyDescent="0.25">
      <c r="A4332" s="27">
        <v>46169</v>
      </c>
      <c r="B4332" s="80">
        <v>2026</v>
      </c>
      <c r="C4332" s="80">
        <v>5</v>
      </c>
      <c r="D4332" s="30" t="s">
        <v>7</v>
      </c>
      <c r="E4332" s="30" t="s">
        <v>71</v>
      </c>
      <c r="F4332" s="30" t="s">
        <v>39</v>
      </c>
      <c r="G4332" s="33">
        <v>7.4754399999999999</v>
      </c>
      <c r="H4332" s="83" t="s">
        <v>89</v>
      </c>
    </row>
    <row r="4333" spans="1:8" ht="16.5" customHeight="1" x14ac:dyDescent="0.25">
      <c r="A4333" s="27">
        <v>46169</v>
      </c>
      <c r="B4333" s="80">
        <v>2026</v>
      </c>
      <c r="C4333" s="80">
        <v>5</v>
      </c>
      <c r="D4333" s="30" t="s">
        <v>7</v>
      </c>
      <c r="E4333" s="30" t="s">
        <v>74</v>
      </c>
      <c r="F4333" s="30" t="s">
        <v>43</v>
      </c>
      <c r="G4333" s="33">
        <v>29.9145</v>
      </c>
      <c r="H4333" s="83" t="s">
        <v>89</v>
      </c>
    </row>
    <row r="4334" spans="1:8" ht="16.5" customHeight="1" x14ac:dyDescent="0.25">
      <c r="A4334" s="27">
        <v>46169</v>
      </c>
      <c r="B4334" s="80">
        <v>2026</v>
      </c>
      <c r="C4334" s="80">
        <v>5</v>
      </c>
      <c r="D4334" s="30" t="s">
        <v>7</v>
      </c>
      <c r="E4334" s="30" t="s">
        <v>75</v>
      </c>
      <c r="F4334" s="30" t="s">
        <v>43</v>
      </c>
      <c r="G4334" s="33">
        <v>63.278675</v>
      </c>
      <c r="H4334" s="83" t="s">
        <v>48</v>
      </c>
    </row>
    <row r="4335" spans="1:8" ht="16.5" customHeight="1" x14ac:dyDescent="0.25">
      <c r="A4335" s="27">
        <v>46170</v>
      </c>
      <c r="B4335" s="80">
        <v>2026</v>
      </c>
      <c r="C4335" s="80">
        <v>5</v>
      </c>
      <c r="D4335" s="30" t="s">
        <v>7</v>
      </c>
      <c r="E4335" s="30" t="s">
        <v>38</v>
      </c>
      <c r="F4335" s="30" t="s">
        <v>43</v>
      </c>
      <c r="G4335" s="33">
        <v>6.9908000000000001</v>
      </c>
      <c r="H4335" s="83" t="s">
        <v>88</v>
      </c>
    </row>
    <row r="4336" spans="1:8" ht="16.5" customHeight="1" x14ac:dyDescent="0.25">
      <c r="A4336" s="27">
        <v>46170</v>
      </c>
      <c r="B4336" s="80">
        <v>2026</v>
      </c>
      <c r="C4336" s="80">
        <v>5</v>
      </c>
      <c r="D4336" s="30" t="s">
        <v>7</v>
      </c>
      <c r="E4336" s="30" t="s">
        <v>42</v>
      </c>
      <c r="F4336" s="30" t="s">
        <v>43</v>
      </c>
      <c r="G4336" s="33">
        <v>18.303853</v>
      </c>
      <c r="H4336" s="83" t="s">
        <v>88</v>
      </c>
    </row>
    <row r="4337" spans="1:8" ht="16.5" customHeight="1" x14ac:dyDescent="0.25">
      <c r="A4337" s="27">
        <v>46170</v>
      </c>
      <c r="B4337" s="80">
        <v>2026</v>
      </c>
      <c r="C4337" s="80">
        <v>5</v>
      </c>
      <c r="D4337" s="30" t="s">
        <v>7</v>
      </c>
      <c r="E4337" s="30" t="s">
        <v>46</v>
      </c>
      <c r="F4337" s="30" t="s">
        <v>43</v>
      </c>
      <c r="G4337" s="33">
        <v>1.50528</v>
      </c>
      <c r="H4337" s="83" t="s">
        <v>88</v>
      </c>
    </row>
    <row r="4338" spans="1:8" ht="16.5" customHeight="1" x14ac:dyDescent="0.25">
      <c r="A4338" s="27">
        <v>46170</v>
      </c>
      <c r="B4338" s="80">
        <v>2026</v>
      </c>
      <c r="C4338" s="80">
        <v>5</v>
      </c>
      <c r="D4338" s="30" t="s">
        <v>7</v>
      </c>
      <c r="E4338" s="30" t="s">
        <v>50</v>
      </c>
      <c r="F4338" s="30" t="s">
        <v>43</v>
      </c>
      <c r="G4338" s="33">
        <v>2.2752188000000002</v>
      </c>
      <c r="H4338" s="83" t="s">
        <v>88</v>
      </c>
    </row>
    <row r="4339" spans="1:8" ht="16.5" customHeight="1" x14ac:dyDescent="0.25">
      <c r="A4339" s="27">
        <v>46170</v>
      </c>
      <c r="B4339" s="80">
        <v>2026</v>
      </c>
      <c r="C4339" s="80">
        <v>5</v>
      </c>
      <c r="D4339" s="30" t="s">
        <v>7</v>
      </c>
      <c r="E4339" s="30" t="s">
        <v>50</v>
      </c>
      <c r="F4339" s="30" t="s">
        <v>47</v>
      </c>
      <c r="G4339" s="33">
        <v>1.9570274999999999</v>
      </c>
      <c r="H4339" s="83" t="s">
        <v>88</v>
      </c>
    </row>
    <row r="4340" spans="1:8" ht="16.5" customHeight="1" x14ac:dyDescent="0.25">
      <c r="A4340" s="27">
        <v>46170</v>
      </c>
      <c r="B4340" s="80">
        <v>2026</v>
      </c>
      <c r="C4340" s="80">
        <v>5</v>
      </c>
      <c r="D4340" s="30" t="s">
        <v>7</v>
      </c>
      <c r="E4340" s="30" t="s">
        <v>54</v>
      </c>
      <c r="F4340" s="30" t="s">
        <v>43</v>
      </c>
      <c r="G4340" s="33">
        <v>3.3986000000000001</v>
      </c>
      <c r="H4340" s="83" t="s">
        <v>88</v>
      </c>
    </row>
    <row r="4341" spans="1:8" ht="16.5" customHeight="1" x14ac:dyDescent="0.25">
      <c r="A4341" s="27">
        <v>46170</v>
      </c>
      <c r="B4341" s="80">
        <v>2026</v>
      </c>
      <c r="C4341" s="80">
        <v>5</v>
      </c>
      <c r="D4341" s="30" t="s">
        <v>7</v>
      </c>
      <c r="E4341" s="30" t="s">
        <v>57</v>
      </c>
      <c r="F4341" s="30" t="s">
        <v>43</v>
      </c>
      <c r="G4341" s="33">
        <v>4.3005000000000004</v>
      </c>
      <c r="H4341" s="83" t="s">
        <v>89</v>
      </c>
    </row>
    <row r="4342" spans="1:8" ht="16.5" customHeight="1" x14ac:dyDescent="0.25">
      <c r="A4342" s="27">
        <v>46170</v>
      </c>
      <c r="B4342" s="80">
        <v>2026</v>
      </c>
      <c r="C4342" s="80">
        <v>5</v>
      </c>
      <c r="D4342" s="30" t="s">
        <v>7</v>
      </c>
      <c r="E4342" s="30" t="s">
        <v>57</v>
      </c>
      <c r="F4342" s="30" t="s">
        <v>55</v>
      </c>
      <c r="G4342" s="33">
        <v>3.0920000000000001</v>
      </c>
      <c r="H4342" s="83" t="s">
        <v>89</v>
      </c>
    </row>
    <row r="4343" spans="1:8" ht="16.5" customHeight="1" x14ac:dyDescent="0.25">
      <c r="A4343" s="27">
        <v>46170</v>
      </c>
      <c r="B4343" s="80">
        <v>2026</v>
      </c>
      <c r="C4343" s="80">
        <v>5</v>
      </c>
      <c r="D4343" s="30" t="s">
        <v>7</v>
      </c>
      <c r="E4343" s="30" t="s">
        <v>64</v>
      </c>
      <c r="F4343" s="30" t="s">
        <v>43</v>
      </c>
      <c r="G4343" s="33">
        <v>0.61</v>
      </c>
      <c r="H4343" s="83" t="s">
        <v>89</v>
      </c>
    </row>
    <row r="4344" spans="1:8" ht="16.5" customHeight="1" x14ac:dyDescent="0.25">
      <c r="A4344" s="27">
        <v>46170</v>
      </c>
      <c r="B4344" s="80">
        <v>2026</v>
      </c>
      <c r="C4344" s="80">
        <v>5</v>
      </c>
      <c r="D4344" s="30" t="s">
        <v>7</v>
      </c>
      <c r="E4344" s="30" t="s">
        <v>66</v>
      </c>
      <c r="F4344" s="30" t="s">
        <v>43</v>
      </c>
      <c r="G4344" s="33">
        <v>1.8149999999999999</v>
      </c>
      <c r="H4344" s="83" t="s">
        <v>89</v>
      </c>
    </row>
    <row r="4345" spans="1:8" ht="16.5" customHeight="1" x14ac:dyDescent="0.25">
      <c r="A4345" s="27">
        <v>46170</v>
      </c>
      <c r="B4345" s="80">
        <v>2026</v>
      </c>
      <c r="C4345" s="80">
        <v>5</v>
      </c>
      <c r="D4345" s="30" t="s">
        <v>7</v>
      </c>
      <c r="E4345" s="30" t="s">
        <v>68</v>
      </c>
      <c r="F4345" s="30" t="s">
        <v>43</v>
      </c>
      <c r="G4345" s="33">
        <v>3.3370000000000002</v>
      </c>
      <c r="H4345" s="83" t="s">
        <v>89</v>
      </c>
    </row>
    <row r="4346" spans="1:8" ht="16.5" customHeight="1" x14ac:dyDescent="0.25">
      <c r="A4346" s="27">
        <v>46170</v>
      </c>
      <c r="B4346" s="80">
        <v>2026</v>
      </c>
      <c r="C4346" s="80">
        <v>5</v>
      </c>
      <c r="D4346" s="30" t="s">
        <v>7</v>
      </c>
      <c r="E4346" s="30" t="s">
        <v>75</v>
      </c>
      <c r="F4346" s="30" t="s">
        <v>43</v>
      </c>
      <c r="G4346" s="33">
        <v>5.6718982499999999</v>
      </c>
      <c r="H4346" s="83" t="s">
        <v>48</v>
      </c>
    </row>
    <row r="4347" spans="1:8" ht="16.5" customHeight="1" x14ac:dyDescent="0.25">
      <c r="A4347" s="27">
        <v>46170</v>
      </c>
      <c r="B4347" s="80">
        <v>2026</v>
      </c>
      <c r="C4347" s="80">
        <v>5</v>
      </c>
      <c r="D4347" s="30" t="s">
        <v>7</v>
      </c>
      <c r="E4347" s="30" t="s">
        <v>76</v>
      </c>
      <c r="F4347" s="30" t="s">
        <v>43</v>
      </c>
      <c r="G4347" s="33">
        <v>25.593399999999999</v>
      </c>
      <c r="H4347" s="83" t="s">
        <v>48</v>
      </c>
    </row>
    <row r="4348" spans="1:8" ht="16.5" customHeight="1" x14ac:dyDescent="0.25">
      <c r="A4348" s="27">
        <v>46171</v>
      </c>
      <c r="B4348" s="80">
        <v>2026</v>
      </c>
      <c r="C4348" s="80">
        <v>5</v>
      </c>
      <c r="D4348" s="30" t="s">
        <v>7</v>
      </c>
      <c r="E4348" s="30" t="s">
        <v>38</v>
      </c>
      <c r="F4348" s="30" t="s">
        <v>43</v>
      </c>
      <c r="G4348" s="33">
        <v>8.4768699999999999</v>
      </c>
      <c r="H4348" s="83" t="s">
        <v>88</v>
      </c>
    </row>
    <row r="4349" spans="1:8" ht="16.5" customHeight="1" x14ac:dyDescent="0.25">
      <c r="A4349" s="27">
        <v>46171</v>
      </c>
      <c r="B4349" s="80">
        <v>2026</v>
      </c>
      <c r="C4349" s="80">
        <v>5</v>
      </c>
      <c r="D4349" s="30" t="s">
        <v>7</v>
      </c>
      <c r="E4349" s="30" t="s">
        <v>42</v>
      </c>
      <c r="F4349" s="30" t="s">
        <v>43</v>
      </c>
      <c r="G4349" s="33">
        <v>3.4159999999999999</v>
      </c>
      <c r="H4349" s="83" t="s">
        <v>88</v>
      </c>
    </row>
    <row r="4350" spans="1:8" ht="16.5" customHeight="1" x14ac:dyDescent="0.25">
      <c r="A4350" s="27">
        <v>46171</v>
      </c>
      <c r="B4350" s="80">
        <v>2026</v>
      </c>
      <c r="C4350" s="80">
        <v>5</v>
      </c>
      <c r="D4350" s="30" t="s">
        <v>7</v>
      </c>
      <c r="E4350" s="30" t="s">
        <v>46</v>
      </c>
      <c r="F4350" s="30" t="s">
        <v>43</v>
      </c>
      <c r="G4350" s="33">
        <v>1.0388767999999999</v>
      </c>
      <c r="H4350" s="83" t="s">
        <v>88</v>
      </c>
    </row>
    <row r="4351" spans="1:8" ht="16.5" customHeight="1" x14ac:dyDescent="0.25">
      <c r="A4351" s="27">
        <v>46171</v>
      </c>
      <c r="B4351" s="80">
        <v>2026</v>
      </c>
      <c r="C4351" s="80">
        <v>5</v>
      </c>
      <c r="D4351" s="30" t="s">
        <v>7</v>
      </c>
      <c r="E4351" s="30" t="s">
        <v>46</v>
      </c>
      <c r="F4351" s="30" t="s">
        <v>51</v>
      </c>
      <c r="G4351" s="33">
        <v>0.65539999999999998</v>
      </c>
      <c r="H4351" s="83" t="s">
        <v>88</v>
      </c>
    </row>
    <row r="4352" spans="1:8" ht="16.5" customHeight="1" x14ac:dyDescent="0.25">
      <c r="A4352" s="27">
        <v>46171</v>
      </c>
      <c r="B4352" s="80">
        <v>2026</v>
      </c>
      <c r="C4352" s="80">
        <v>5</v>
      </c>
      <c r="D4352" s="30" t="s">
        <v>7</v>
      </c>
      <c r="E4352" s="30" t="s">
        <v>46</v>
      </c>
      <c r="F4352" s="30" t="s">
        <v>55</v>
      </c>
      <c r="G4352" s="33">
        <v>0.32352959999999997</v>
      </c>
      <c r="H4352" s="83" t="s">
        <v>88</v>
      </c>
    </row>
    <row r="4353" spans="1:8" ht="16.5" customHeight="1" x14ac:dyDescent="0.25">
      <c r="A4353" s="27">
        <v>46171</v>
      </c>
      <c r="B4353" s="80">
        <v>2026</v>
      </c>
      <c r="C4353" s="80">
        <v>5</v>
      </c>
      <c r="D4353" s="30" t="s">
        <v>7</v>
      </c>
      <c r="E4353" s="30" t="s">
        <v>46</v>
      </c>
      <c r="F4353" s="30" t="s">
        <v>58</v>
      </c>
      <c r="G4353" s="33">
        <v>0.40602159999999998</v>
      </c>
      <c r="H4353" s="83" t="s">
        <v>88</v>
      </c>
    </row>
    <row r="4354" spans="1:8" ht="16.5" customHeight="1" x14ac:dyDescent="0.25">
      <c r="A4354" s="27">
        <v>46171</v>
      </c>
      <c r="B4354" s="80">
        <v>2026</v>
      </c>
      <c r="C4354" s="80">
        <v>5</v>
      </c>
      <c r="D4354" s="30" t="s">
        <v>7</v>
      </c>
      <c r="E4354" s="30" t="s">
        <v>50</v>
      </c>
      <c r="F4354" s="30" t="s">
        <v>43</v>
      </c>
      <c r="G4354" s="33">
        <v>25.479509499999999</v>
      </c>
      <c r="H4354" s="83" t="s">
        <v>88</v>
      </c>
    </row>
    <row r="4355" spans="1:8" ht="16.5" customHeight="1" x14ac:dyDescent="0.25">
      <c r="A4355" s="27">
        <v>46171</v>
      </c>
      <c r="B4355" s="80">
        <v>2026</v>
      </c>
      <c r="C4355" s="80">
        <v>5</v>
      </c>
      <c r="D4355" s="30" t="s">
        <v>7</v>
      </c>
      <c r="E4355" s="30" t="s">
        <v>50</v>
      </c>
      <c r="F4355" s="30" t="s">
        <v>58</v>
      </c>
      <c r="G4355" s="33">
        <v>0.20315</v>
      </c>
      <c r="H4355" s="83" t="s">
        <v>88</v>
      </c>
    </row>
    <row r="4356" spans="1:8" ht="16.5" customHeight="1" x14ac:dyDescent="0.25">
      <c r="A4356" s="27">
        <v>46171</v>
      </c>
      <c r="B4356" s="80">
        <v>2026</v>
      </c>
      <c r="C4356" s="80">
        <v>5</v>
      </c>
      <c r="D4356" s="30" t="s">
        <v>7</v>
      </c>
      <c r="E4356" s="30" t="s">
        <v>54</v>
      </c>
      <c r="F4356" s="30" t="s">
        <v>43</v>
      </c>
      <c r="G4356" s="33">
        <v>4.5650000000000004</v>
      </c>
      <c r="H4356" s="83" t="s">
        <v>88</v>
      </c>
    </row>
    <row r="4357" spans="1:8" ht="16.5" customHeight="1" x14ac:dyDescent="0.25">
      <c r="A4357" s="27">
        <v>46171</v>
      </c>
      <c r="B4357" s="80">
        <v>2026</v>
      </c>
      <c r="C4357" s="80">
        <v>5</v>
      </c>
      <c r="D4357" s="30" t="s">
        <v>7</v>
      </c>
      <c r="E4357" s="30" t="s">
        <v>68</v>
      </c>
      <c r="F4357" s="30" t="s">
        <v>43</v>
      </c>
      <c r="G4357" s="33">
        <v>0.4975</v>
      </c>
      <c r="H4357" s="83" t="s">
        <v>89</v>
      </c>
    </row>
    <row r="4358" spans="1:8" ht="16.5" customHeight="1" x14ac:dyDescent="0.25">
      <c r="A4358" s="27">
        <v>46172</v>
      </c>
      <c r="B4358" s="80">
        <v>2026</v>
      </c>
      <c r="C4358" s="80">
        <v>5</v>
      </c>
      <c r="D4358" s="30" t="s">
        <v>7</v>
      </c>
      <c r="E4358" s="30" t="s">
        <v>50</v>
      </c>
      <c r="F4358" s="30" t="s">
        <v>43</v>
      </c>
      <c r="G4358" s="33">
        <v>2.4586250000000001</v>
      </c>
      <c r="H4358" s="83" t="s">
        <v>88</v>
      </c>
    </row>
    <row r="4359" spans="1:8" ht="16.5" customHeight="1" x14ac:dyDescent="0.25">
      <c r="A4359" s="27">
        <v>46172</v>
      </c>
      <c r="B4359" s="80">
        <v>2026</v>
      </c>
      <c r="C4359" s="80">
        <v>5</v>
      </c>
      <c r="D4359" s="30" t="s">
        <v>7</v>
      </c>
      <c r="E4359" s="30" t="s">
        <v>50</v>
      </c>
      <c r="F4359" s="30" t="s">
        <v>58</v>
      </c>
      <c r="G4359" s="33">
        <v>0.17765</v>
      </c>
      <c r="H4359" s="83" t="s">
        <v>88</v>
      </c>
    </row>
    <row r="4360" spans="1:8" ht="16.5" customHeight="1" x14ac:dyDescent="0.25">
      <c r="A4360" s="27">
        <v>46174</v>
      </c>
      <c r="B4360" s="80">
        <v>2026</v>
      </c>
      <c r="C4360" s="80">
        <v>6</v>
      </c>
      <c r="D4360" s="30" t="s">
        <v>53</v>
      </c>
      <c r="E4360" s="30" t="s">
        <v>38</v>
      </c>
      <c r="F4360" s="30" t="s">
        <v>43</v>
      </c>
      <c r="G4360" s="33">
        <v>19.7895</v>
      </c>
      <c r="H4360" s="83" t="s">
        <v>88</v>
      </c>
    </row>
    <row r="4361" spans="1:8" ht="16.5" customHeight="1" x14ac:dyDescent="0.25">
      <c r="A4361" s="27">
        <v>46174</v>
      </c>
      <c r="B4361" s="80">
        <v>2026</v>
      </c>
      <c r="C4361" s="80">
        <v>6</v>
      </c>
      <c r="D4361" s="30" t="s">
        <v>53</v>
      </c>
      <c r="E4361" s="30" t="s">
        <v>38</v>
      </c>
      <c r="F4361" s="30" t="s">
        <v>47</v>
      </c>
      <c r="G4361" s="33">
        <v>0.15770999999999999</v>
      </c>
      <c r="H4361" s="83" t="s">
        <v>88</v>
      </c>
    </row>
    <row r="4362" spans="1:8" ht="16.5" customHeight="1" x14ac:dyDescent="0.25">
      <c r="A4362" s="27">
        <v>46174</v>
      </c>
      <c r="B4362" s="80">
        <v>2026</v>
      </c>
      <c r="C4362" s="80">
        <v>6</v>
      </c>
      <c r="D4362" s="30" t="s">
        <v>53</v>
      </c>
      <c r="E4362" s="30" t="s">
        <v>42</v>
      </c>
      <c r="F4362" s="30" t="s">
        <v>43</v>
      </c>
      <c r="G4362" s="33">
        <v>8.1317799999999991</v>
      </c>
      <c r="H4362" s="83" t="s">
        <v>88</v>
      </c>
    </row>
    <row r="4363" spans="1:8" ht="16.5" customHeight="1" x14ac:dyDescent="0.25">
      <c r="A4363" s="27">
        <v>46174</v>
      </c>
      <c r="B4363" s="80">
        <v>2026</v>
      </c>
      <c r="C4363" s="80">
        <v>6</v>
      </c>
      <c r="D4363" s="30" t="s">
        <v>53</v>
      </c>
      <c r="E4363" s="30" t="s">
        <v>46</v>
      </c>
      <c r="F4363" s="30" t="s">
        <v>43</v>
      </c>
      <c r="G4363" s="33">
        <v>0.99</v>
      </c>
      <c r="H4363" s="83" t="s">
        <v>88</v>
      </c>
    </row>
    <row r="4364" spans="1:8" ht="16.5" customHeight="1" x14ac:dyDescent="0.25">
      <c r="A4364" s="27">
        <v>46174</v>
      </c>
      <c r="B4364" s="80">
        <v>2026</v>
      </c>
      <c r="C4364" s="80">
        <v>6</v>
      </c>
      <c r="D4364" s="30" t="s">
        <v>53</v>
      </c>
      <c r="E4364" s="30" t="s">
        <v>46</v>
      </c>
      <c r="F4364" s="30" t="s">
        <v>58</v>
      </c>
      <c r="G4364" s="33">
        <v>0.72478874999999998</v>
      </c>
      <c r="H4364" s="83" t="s">
        <v>88</v>
      </c>
    </row>
    <row r="4365" spans="1:8" ht="16.5" customHeight="1" x14ac:dyDescent="0.25">
      <c r="A4365" s="27">
        <v>46174</v>
      </c>
      <c r="B4365" s="80">
        <v>2026</v>
      </c>
      <c r="C4365" s="80">
        <v>6</v>
      </c>
      <c r="D4365" s="30" t="s">
        <v>53</v>
      </c>
      <c r="E4365" s="30" t="s">
        <v>50</v>
      </c>
      <c r="F4365" s="30" t="s">
        <v>43</v>
      </c>
      <c r="G4365" s="33">
        <v>4.1558025000000001</v>
      </c>
      <c r="H4365" s="83" t="s">
        <v>88</v>
      </c>
    </row>
    <row r="4366" spans="1:8" ht="16.5" customHeight="1" x14ac:dyDescent="0.25">
      <c r="A4366" s="27">
        <v>46174</v>
      </c>
      <c r="B4366" s="80">
        <v>2026</v>
      </c>
      <c r="C4366" s="80">
        <v>6</v>
      </c>
      <c r="D4366" s="30" t="s">
        <v>53</v>
      </c>
      <c r="E4366" s="30" t="s">
        <v>50</v>
      </c>
      <c r="F4366" s="30" t="s">
        <v>47</v>
      </c>
      <c r="G4366" s="33">
        <v>0.64680000000000004</v>
      </c>
      <c r="H4366" s="83" t="s">
        <v>88</v>
      </c>
    </row>
    <row r="4367" spans="1:8" ht="16.5" customHeight="1" x14ac:dyDescent="0.25">
      <c r="A4367" s="27">
        <v>46174</v>
      </c>
      <c r="B4367" s="80">
        <v>2026</v>
      </c>
      <c r="C4367" s="80">
        <v>6</v>
      </c>
      <c r="D4367" s="30" t="s">
        <v>53</v>
      </c>
      <c r="E4367" s="30" t="s">
        <v>50</v>
      </c>
      <c r="F4367" s="30" t="s">
        <v>55</v>
      </c>
      <c r="G4367" s="33">
        <v>2.6204299999999998</v>
      </c>
      <c r="H4367" s="83" t="s">
        <v>88</v>
      </c>
    </row>
    <row r="4368" spans="1:8" ht="16.5" customHeight="1" x14ac:dyDescent="0.25">
      <c r="A4368" s="27">
        <v>46174</v>
      </c>
      <c r="B4368" s="80">
        <v>2026</v>
      </c>
      <c r="C4368" s="80">
        <v>6</v>
      </c>
      <c r="D4368" s="30" t="s">
        <v>53</v>
      </c>
      <c r="E4368" s="30" t="s">
        <v>50</v>
      </c>
      <c r="F4368" s="30" t="s">
        <v>58</v>
      </c>
      <c r="G4368" s="33">
        <v>3.9478553079999998</v>
      </c>
      <c r="H4368" s="83" t="s">
        <v>88</v>
      </c>
    </row>
    <row r="4369" spans="1:8" ht="16.5" customHeight="1" x14ac:dyDescent="0.25">
      <c r="A4369" s="27">
        <v>46174</v>
      </c>
      <c r="B4369" s="80">
        <v>2026</v>
      </c>
      <c r="C4369" s="80">
        <v>6</v>
      </c>
      <c r="D4369" s="30" t="s">
        <v>53</v>
      </c>
      <c r="E4369" s="30" t="s">
        <v>54</v>
      </c>
      <c r="F4369" s="30" t="s">
        <v>43</v>
      </c>
      <c r="G4369" s="33">
        <v>5.3449999999999998</v>
      </c>
      <c r="H4369" s="83" t="s">
        <v>88</v>
      </c>
    </row>
    <row r="4370" spans="1:8" ht="16.5" customHeight="1" x14ac:dyDescent="0.25">
      <c r="A4370" s="27">
        <v>46174</v>
      </c>
      <c r="B4370" s="80">
        <v>2026</v>
      </c>
      <c r="C4370" s="80">
        <v>6</v>
      </c>
      <c r="D4370" s="30" t="s">
        <v>53</v>
      </c>
      <c r="E4370" s="30" t="s">
        <v>61</v>
      </c>
      <c r="F4370" s="30" t="s">
        <v>43</v>
      </c>
      <c r="G4370" s="33">
        <v>0.59</v>
      </c>
      <c r="H4370" s="83" t="s">
        <v>89</v>
      </c>
    </row>
    <row r="4371" spans="1:8" ht="16.5" customHeight="1" x14ac:dyDescent="0.25">
      <c r="A4371" s="27">
        <v>46174</v>
      </c>
      <c r="B4371" s="80">
        <v>2026</v>
      </c>
      <c r="C4371" s="80">
        <v>6</v>
      </c>
      <c r="D4371" s="30" t="s">
        <v>53</v>
      </c>
      <c r="E4371" s="30" t="s">
        <v>61</v>
      </c>
      <c r="F4371" s="30" t="s">
        <v>55</v>
      </c>
      <c r="G4371" s="33">
        <v>2.2999999999999998</v>
      </c>
      <c r="H4371" s="83" t="s">
        <v>89</v>
      </c>
    </row>
    <row r="4372" spans="1:8" ht="16.5" customHeight="1" x14ac:dyDescent="0.25">
      <c r="A4372" s="27">
        <v>46174</v>
      </c>
      <c r="B4372" s="80">
        <v>2026</v>
      </c>
      <c r="C4372" s="80">
        <v>6</v>
      </c>
      <c r="D4372" s="30" t="s">
        <v>53</v>
      </c>
      <c r="E4372" s="30" t="s">
        <v>71</v>
      </c>
      <c r="F4372" s="30" t="s">
        <v>43</v>
      </c>
      <c r="G4372" s="33">
        <v>1.585</v>
      </c>
      <c r="H4372" s="83" t="s">
        <v>89</v>
      </c>
    </row>
    <row r="4373" spans="1:8" ht="16.5" customHeight="1" x14ac:dyDescent="0.25">
      <c r="A4373" s="28">
        <v>46174</v>
      </c>
      <c r="B4373" s="81">
        <v>2026</v>
      </c>
      <c r="C4373" s="81">
        <v>6</v>
      </c>
      <c r="D4373" s="31" t="s">
        <v>53</v>
      </c>
      <c r="E4373" s="31" t="s">
        <v>75</v>
      </c>
      <c r="F4373" s="31" t="s">
        <v>43</v>
      </c>
      <c r="G4373" s="34">
        <v>16.045875250000002</v>
      </c>
      <c r="H4373" s="84" t="s">
        <v>48</v>
      </c>
    </row>
    <row r="4374" spans="1:8" ht="16.5" customHeight="1" x14ac:dyDescent="0.25"/>
    <row r="4375" spans="1:8" ht="16.5" customHeight="1" x14ac:dyDescent="0.25"/>
    <row r="4376" spans="1:8" ht="16.5" customHeight="1" x14ac:dyDescent="0.25"/>
    <row r="4377" spans="1:8" ht="16.5" customHeight="1" x14ac:dyDescent="0.25"/>
    <row r="4378" spans="1:8" ht="16.5" customHeight="1" x14ac:dyDescent="0.25"/>
    <row r="4379" spans="1:8" ht="16.5" customHeight="1" x14ac:dyDescent="0.25"/>
    <row r="4380" spans="1:8" ht="16.5" customHeight="1" x14ac:dyDescent="0.25"/>
    <row r="4381" spans="1:8" ht="16.5" customHeight="1" x14ac:dyDescent="0.25"/>
    <row r="4382" spans="1:8" ht="16.5" customHeight="1" x14ac:dyDescent="0.25"/>
    <row r="4383" spans="1:8" ht="16.5" customHeight="1" x14ac:dyDescent="0.25"/>
    <row r="4384" spans="1:8" ht="16.5" customHeight="1" x14ac:dyDescent="0.25"/>
    <row r="4385" ht="16.5" customHeight="1" x14ac:dyDescent="0.25"/>
    <row r="4386" ht="16.5" customHeight="1" x14ac:dyDescent="0.25"/>
    <row r="4387" ht="16.5" customHeight="1" x14ac:dyDescent="0.25"/>
    <row r="4388" ht="16.5" customHeight="1" x14ac:dyDescent="0.25"/>
    <row r="4389" ht="16.5" customHeight="1" x14ac:dyDescent="0.25"/>
    <row r="4390" ht="16.5" customHeight="1" x14ac:dyDescent="0.25"/>
    <row r="4391" ht="16.5" customHeight="1" x14ac:dyDescent="0.25"/>
    <row r="4392" ht="16.5" customHeight="1" x14ac:dyDescent="0.25"/>
    <row r="4393" ht="16.5" customHeight="1" x14ac:dyDescent="0.25"/>
    <row r="4394" ht="16.5" customHeight="1" x14ac:dyDescent="0.25"/>
    <row r="4395" ht="16.5" customHeight="1" x14ac:dyDescent="0.25"/>
    <row r="4396" ht="16.5" customHeight="1" x14ac:dyDescent="0.25"/>
    <row r="4397" ht="16.5" customHeight="1" x14ac:dyDescent="0.25"/>
    <row r="4398" ht="16.5" customHeight="1" x14ac:dyDescent="0.25"/>
    <row r="4399" ht="16.5" customHeight="1" x14ac:dyDescent="0.25"/>
    <row r="4400" ht="16.5" customHeight="1" x14ac:dyDescent="0.25"/>
    <row r="4401" ht="16.5" customHeight="1" x14ac:dyDescent="0.25"/>
    <row r="4402" ht="16.5" customHeight="1" x14ac:dyDescent="0.25"/>
    <row r="4403" ht="16.5" customHeight="1" x14ac:dyDescent="0.25"/>
    <row r="4404" ht="16.5" customHeight="1" x14ac:dyDescent="0.25"/>
    <row r="4405" ht="16.5" customHeight="1" x14ac:dyDescent="0.25"/>
    <row r="4406" ht="16.5" customHeight="1" x14ac:dyDescent="0.25"/>
    <row r="4407" ht="16.5" customHeight="1" x14ac:dyDescent="0.25"/>
    <row r="4408" ht="16.5" customHeight="1" x14ac:dyDescent="0.25"/>
    <row r="4409" ht="16.5" customHeight="1" x14ac:dyDescent="0.25"/>
    <row r="4410" ht="16.5" customHeight="1" x14ac:dyDescent="0.25"/>
    <row r="4411" ht="16.5" customHeight="1" x14ac:dyDescent="0.25"/>
    <row r="4412" ht="16.5" customHeight="1" x14ac:dyDescent="0.25"/>
    <row r="4413" ht="16.5" customHeight="1" x14ac:dyDescent="0.25"/>
    <row r="4414" ht="16.5" customHeight="1" x14ac:dyDescent="0.25"/>
    <row r="4415" ht="16.5" customHeight="1" x14ac:dyDescent="0.25"/>
    <row r="4416" ht="16.5" customHeight="1" x14ac:dyDescent="0.25"/>
    <row r="4417" ht="16.5" customHeight="1" x14ac:dyDescent="0.25"/>
    <row r="4418" ht="16.5" customHeight="1" x14ac:dyDescent="0.25"/>
    <row r="4419" ht="16.5" customHeight="1" x14ac:dyDescent="0.25"/>
    <row r="4420" ht="16.5" customHeight="1" x14ac:dyDescent="0.25"/>
    <row r="4421" ht="16.5" customHeight="1" x14ac:dyDescent="0.25"/>
    <row r="4422" ht="16.5" customHeight="1" x14ac:dyDescent="0.25"/>
    <row r="4423" ht="16.5" customHeight="1" x14ac:dyDescent="0.25"/>
    <row r="4424" ht="16.5" customHeight="1" x14ac:dyDescent="0.25"/>
    <row r="4425" ht="16.5" customHeight="1" x14ac:dyDescent="0.25"/>
    <row r="4426" ht="16.5" customHeight="1" x14ac:dyDescent="0.25"/>
    <row r="4427" ht="16.5" customHeight="1" x14ac:dyDescent="0.25"/>
    <row r="4428" ht="16.5" customHeight="1" x14ac:dyDescent="0.25"/>
    <row r="4429" ht="16.5" customHeight="1" x14ac:dyDescent="0.25"/>
    <row r="4430" ht="16.5" customHeight="1" x14ac:dyDescent="0.25"/>
    <row r="4431" ht="16.5" customHeight="1" x14ac:dyDescent="0.25"/>
    <row r="4432" ht="16.5" customHeight="1" x14ac:dyDescent="0.25"/>
    <row r="4433" ht="16.5" customHeight="1" x14ac:dyDescent="0.25"/>
    <row r="4434" ht="16.5" customHeight="1" x14ac:dyDescent="0.25"/>
    <row r="4435" ht="16.5" customHeight="1" x14ac:dyDescent="0.25"/>
    <row r="4436" ht="16.5" customHeight="1" x14ac:dyDescent="0.25"/>
    <row r="4437" ht="16.5" customHeight="1" x14ac:dyDescent="0.25"/>
    <row r="4438" ht="16.5" customHeight="1" x14ac:dyDescent="0.25"/>
    <row r="4439" ht="16.5" customHeight="1" x14ac:dyDescent="0.25"/>
    <row r="4440" ht="16.5" customHeight="1" x14ac:dyDescent="0.25"/>
    <row r="4441" ht="16.5" customHeight="1" x14ac:dyDescent="0.25"/>
    <row r="4442" ht="16.5" customHeight="1" x14ac:dyDescent="0.25"/>
    <row r="4443" ht="16.5" customHeight="1" x14ac:dyDescent="0.25"/>
    <row r="4444" ht="16.5" customHeight="1" x14ac:dyDescent="0.25"/>
    <row r="4445" ht="16.5" customHeight="1" x14ac:dyDescent="0.25"/>
    <row r="4446" ht="16.5" customHeight="1" x14ac:dyDescent="0.25"/>
    <row r="4447" ht="16.5" customHeight="1" x14ac:dyDescent="0.25"/>
    <row r="4448" ht="16.5" customHeight="1" x14ac:dyDescent="0.25"/>
    <row r="4449" ht="16.5" customHeight="1" x14ac:dyDescent="0.25"/>
    <row r="4450" ht="16.5" customHeight="1" x14ac:dyDescent="0.25"/>
    <row r="4451" ht="16.5" customHeight="1" x14ac:dyDescent="0.25"/>
    <row r="4452" ht="16.5" customHeight="1" x14ac:dyDescent="0.25"/>
    <row r="4453" ht="16.5" customHeight="1" x14ac:dyDescent="0.25"/>
    <row r="4454" ht="16.5" customHeight="1" x14ac:dyDescent="0.25"/>
    <row r="4455" ht="16.5" customHeight="1" x14ac:dyDescent="0.25"/>
    <row r="4456" ht="16.5" customHeight="1" x14ac:dyDescent="0.25"/>
    <row r="4457" ht="16.5" customHeight="1" x14ac:dyDescent="0.25"/>
    <row r="4458" ht="16.5" customHeight="1" x14ac:dyDescent="0.25"/>
    <row r="4459" ht="16.5" customHeight="1" x14ac:dyDescent="0.25"/>
    <row r="4460" ht="16.5" customHeight="1" x14ac:dyDescent="0.25"/>
    <row r="4461" ht="16.5" customHeight="1" x14ac:dyDescent="0.25"/>
    <row r="4462" ht="16.5" customHeight="1" x14ac:dyDescent="0.25"/>
    <row r="4463" ht="16.5" customHeight="1" x14ac:dyDescent="0.25"/>
    <row r="4464" ht="16.5" customHeight="1" x14ac:dyDescent="0.25"/>
    <row r="4465" ht="16.5" customHeight="1" x14ac:dyDescent="0.25"/>
    <row r="4466" ht="16.5" customHeight="1" x14ac:dyDescent="0.25"/>
    <row r="4467" ht="16.5" customHeight="1" x14ac:dyDescent="0.25"/>
    <row r="4468" ht="16.5" customHeight="1" x14ac:dyDescent="0.25"/>
    <row r="4469" ht="16.5" customHeight="1" x14ac:dyDescent="0.25"/>
    <row r="4470" ht="16.5" customHeight="1" x14ac:dyDescent="0.25"/>
    <row r="4471" ht="16.5" customHeight="1" x14ac:dyDescent="0.25"/>
    <row r="4472" ht="16.5" customHeight="1" x14ac:dyDescent="0.25"/>
    <row r="4473" ht="16.5" customHeight="1" x14ac:dyDescent="0.25"/>
    <row r="4474" ht="16.5" customHeight="1" x14ac:dyDescent="0.25"/>
    <row r="4475" ht="16.5" customHeight="1" x14ac:dyDescent="0.25"/>
    <row r="4476" ht="16.5" customHeight="1" x14ac:dyDescent="0.25"/>
    <row r="4477" ht="16.5" customHeight="1" x14ac:dyDescent="0.25"/>
    <row r="4478" ht="16.5" customHeight="1" x14ac:dyDescent="0.25"/>
    <row r="4479" ht="16.5" customHeight="1" x14ac:dyDescent="0.25"/>
    <row r="4480" ht="16.5" customHeight="1" x14ac:dyDescent="0.25"/>
    <row r="4481" ht="16.5" customHeight="1" x14ac:dyDescent="0.25"/>
    <row r="4482" ht="16.5" customHeight="1" x14ac:dyDescent="0.25"/>
    <row r="4483" ht="16.5" customHeight="1" x14ac:dyDescent="0.25"/>
    <row r="4484" ht="16.5" customHeight="1" x14ac:dyDescent="0.25"/>
    <row r="4485" ht="16.5" customHeight="1" x14ac:dyDescent="0.25"/>
    <row r="4486" ht="16.5" customHeight="1" x14ac:dyDescent="0.25"/>
    <row r="4487" ht="16.5" customHeight="1" x14ac:dyDescent="0.25"/>
    <row r="4488" ht="16.5" customHeight="1" x14ac:dyDescent="0.25"/>
    <row r="4489" ht="16.5" customHeight="1" x14ac:dyDescent="0.25"/>
    <row r="4490" ht="16.5" customHeight="1" x14ac:dyDescent="0.25"/>
    <row r="4491" ht="16.5" customHeight="1" x14ac:dyDescent="0.25"/>
    <row r="4492" ht="16.5" customHeight="1" x14ac:dyDescent="0.25"/>
    <row r="4493" ht="16.5" customHeight="1" x14ac:dyDescent="0.25"/>
    <row r="4494" ht="16.5" customHeight="1" x14ac:dyDescent="0.25"/>
    <row r="4495" ht="16.5" customHeight="1" x14ac:dyDescent="0.25"/>
    <row r="4496" ht="16.5" customHeight="1" x14ac:dyDescent="0.25"/>
    <row r="4497" ht="16.5" customHeight="1" x14ac:dyDescent="0.25"/>
    <row r="4498" ht="16.5" customHeight="1" x14ac:dyDescent="0.25"/>
    <row r="4499" ht="16.5" customHeight="1" x14ac:dyDescent="0.25"/>
    <row r="4500" ht="16.5" customHeight="1" x14ac:dyDescent="0.25"/>
    <row r="4501" ht="16.5" customHeight="1" x14ac:dyDescent="0.25"/>
    <row r="4502" ht="16.5" customHeight="1" x14ac:dyDescent="0.25"/>
    <row r="4503" ht="16.5" customHeight="1" x14ac:dyDescent="0.25"/>
    <row r="4504" ht="16.5" customHeight="1" x14ac:dyDescent="0.25"/>
    <row r="4505" ht="16.5" customHeight="1" x14ac:dyDescent="0.25"/>
    <row r="4506" ht="16.5" customHeight="1" x14ac:dyDescent="0.25"/>
    <row r="4507" ht="16.5" customHeight="1" x14ac:dyDescent="0.25"/>
    <row r="4508" ht="16.5" customHeight="1" x14ac:dyDescent="0.25"/>
    <row r="4509" ht="16.5" customHeight="1" x14ac:dyDescent="0.25"/>
    <row r="4510" ht="16.5" customHeight="1" x14ac:dyDescent="0.25"/>
    <row r="4511" ht="16.5" customHeight="1" x14ac:dyDescent="0.25"/>
    <row r="4512" ht="16.5" customHeight="1" x14ac:dyDescent="0.25"/>
    <row r="4513" ht="16.5" customHeight="1" x14ac:dyDescent="0.25"/>
    <row r="4514" ht="16.5" customHeight="1" x14ac:dyDescent="0.25"/>
    <row r="4515" ht="16.5" customHeight="1" x14ac:dyDescent="0.25"/>
    <row r="4516" ht="16.5" customHeight="1" x14ac:dyDescent="0.25"/>
    <row r="4517" ht="16.5" customHeight="1" x14ac:dyDescent="0.25"/>
    <row r="4518" ht="16.5" customHeight="1" x14ac:dyDescent="0.25"/>
    <row r="4519" ht="16.5" customHeight="1" x14ac:dyDescent="0.25"/>
    <row r="4520" ht="16.5" customHeight="1" x14ac:dyDescent="0.25"/>
    <row r="4521" ht="16.5" customHeight="1" x14ac:dyDescent="0.25"/>
    <row r="4522" ht="16.5" customHeight="1" x14ac:dyDescent="0.25"/>
    <row r="4523" ht="16.5" customHeight="1" x14ac:dyDescent="0.25"/>
    <row r="4524" ht="16.5" customHeight="1" x14ac:dyDescent="0.25"/>
    <row r="4525" ht="16.5" customHeight="1" x14ac:dyDescent="0.25"/>
    <row r="4526" ht="16.5" customHeight="1" x14ac:dyDescent="0.25"/>
    <row r="4527" ht="16.5" customHeight="1" x14ac:dyDescent="0.25"/>
    <row r="4528" ht="16.5" customHeight="1" x14ac:dyDescent="0.25"/>
    <row r="4529" ht="16.5" customHeight="1" x14ac:dyDescent="0.25"/>
    <row r="4530" ht="16.5" customHeight="1" x14ac:dyDescent="0.25"/>
    <row r="4531" ht="16.5" customHeight="1" x14ac:dyDescent="0.25"/>
    <row r="4532" ht="16.5" customHeight="1" x14ac:dyDescent="0.25"/>
    <row r="4533" ht="16.5" customHeight="1" x14ac:dyDescent="0.25"/>
    <row r="4534" ht="16.5" customHeight="1" x14ac:dyDescent="0.25"/>
    <row r="4535" ht="16.5" customHeight="1" x14ac:dyDescent="0.25"/>
    <row r="4536" ht="16.5" customHeight="1" x14ac:dyDescent="0.25"/>
    <row r="4537" ht="16.5" customHeight="1" x14ac:dyDescent="0.25"/>
    <row r="4538" ht="16.5" customHeight="1" x14ac:dyDescent="0.25"/>
    <row r="4539" ht="16.5" customHeight="1" x14ac:dyDescent="0.25"/>
    <row r="4540" ht="16.5" customHeight="1" x14ac:dyDescent="0.25"/>
    <row r="4541" ht="16.5" customHeight="1" x14ac:dyDescent="0.25"/>
    <row r="4542" ht="16.5" customHeight="1" x14ac:dyDescent="0.25"/>
    <row r="4543" ht="16.5" customHeight="1" x14ac:dyDescent="0.25"/>
    <row r="4544" ht="16.5" customHeight="1" x14ac:dyDescent="0.25"/>
    <row r="4545" ht="16.5" customHeight="1" x14ac:dyDescent="0.25"/>
    <row r="4546" ht="16.5" customHeight="1" x14ac:dyDescent="0.25"/>
    <row r="4547" ht="16.5" customHeight="1" x14ac:dyDescent="0.25"/>
    <row r="4548" ht="16.5" customHeight="1" x14ac:dyDescent="0.25"/>
    <row r="4549" ht="16.5" customHeight="1" x14ac:dyDescent="0.25"/>
    <row r="4550" ht="16.5" customHeight="1" x14ac:dyDescent="0.25"/>
    <row r="4551" ht="16.5" customHeight="1" x14ac:dyDescent="0.25"/>
    <row r="4552" ht="16.5" customHeight="1" x14ac:dyDescent="0.25"/>
    <row r="4553" ht="16.5" customHeight="1" x14ac:dyDescent="0.25"/>
    <row r="4554" ht="16.5" customHeight="1" x14ac:dyDescent="0.25"/>
    <row r="4555" ht="16.5" customHeight="1" x14ac:dyDescent="0.25"/>
    <row r="4556" ht="16.5" customHeight="1" x14ac:dyDescent="0.25"/>
    <row r="4557" ht="16.5" customHeight="1" x14ac:dyDescent="0.25"/>
    <row r="4558" ht="16.5" customHeight="1" x14ac:dyDescent="0.25"/>
    <row r="4559" ht="16.5" customHeight="1" x14ac:dyDescent="0.25"/>
    <row r="4560" ht="16.5" customHeight="1" x14ac:dyDescent="0.25"/>
    <row r="4561" ht="16.5" customHeight="1" x14ac:dyDescent="0.25"/>
    <row r="4562" ht="16.5" customHeight="1" x14ac:dyDescent="0.25"/>
    <row r="4563" ht="16.5" customHeight="1" x14ac:dyDescent="0.25"/>
    <row r="4564" ht="16.5" customHeight="1" x14ac:dyDescent="0.25"/>
    <row r="4565" ht="16.5" customHeight="1" x14ac:dyDescent="0.25"/>
    <row r="4566" ht="16.5" customHeight="1" x14ac:dyDescent="0.25"/>
    <row r="4567" ht="16.5" customHeight="1" x14ac:dyDescent="0.25"/>
    <row r="4568" ht="16.5" customHeight="1" x14ac:dyDescent="0.25"/>
    <row r="4569" ht="16.5" customHeight="1" x14ac:dyDescent="0.25"/>
    <row r="4570" ht="16.5" customHeight="1" x14ac:dyDescent="0.25"/>
    <row r="4571" ht="16.5" customHeight="1" x14ac:dyDescent="0.25"/>
    <row r="4572" ht="16.5" customHeight="1" x14ac:dyDescent="0.25"/>
    <row r="4573" ht="16.5" customHeight="1" x14ac:dyDescent="0.25"/>
    <row r="4574" ht="16.5" customHeight="1" x14ac:dyDescent="0.25"/>
    <row r="4575" ht="16.5" customHeight="1" x14ac:dyDescent="0.25"/>
    <row r="4576" ht="16.5" customHeight="1" x14ac:dyDescent="0.25"/>
    <row r="4577" ht="16.5" customHeight="1" x14ac:dyDescent="0.25"/>
    <row r="4578" ht="16.5" customHeight="1" x14ac:dyDescent="0.25"/>
    <row r="4579" ht="16.5" customHeight="1" x14ac:dyDescent="0.25"/>
    <row r="4580" ht="16.5" customHeight="1" x14ac:dyDescent="0.25"/>
    <row r="4581" ht="16.5" customHeight="1" x14ac:dyDescent="0.25"/>
    <row r="4582" ht="16.5" customHeight="1" x14ac:dyDescent="0.25"/>
    <row r="4583" ht="16.5" customHeight="1" x14ac:dyDescent="0.25"/>
    <row r="4584" ht="16.5" customHeight="1" x14ac:dyDescent="0.25"/>
    <row r="4585" ht="16.5" customHeight="1" x14ac:dyDescent="0.25"/>
    <row r="4586" ht="16.5" customHeight="1" x14ac:dyDescent="0.25"/>
    <row r="4587" ht="16.5" customHeight="1" x14ac:dyDescent="0.25"/>
    <row r="4588" ht="16.5" customHeight="1" x14ac:dyDescent="0.25"/>
    <row r="4589" ht="16.5" customHeight="1" x14ac:dyDescent="0.25"/>
    <row r="4590" ht="16.5" customHeight="1" x14ac:dyDescent="0.25"/>
    <row r="4591" ht="16.5" customHeight="1" x14ac:dyDescent="0.25"/>
    <row r="4592" ht="16.5" customHeight="1" x14ac:dyDescent="0.25"/>
    <row r="4593" ht="16.5" customHeight="1" x14ac:dyDescent="0.25"/>
    <row r="4594" ht="16.5" customHeight="1" x14ac:dyDescent="0.25"/>
    <row r="4595" ht="16.5" customHeight="1" x14ac:dyDescent="0.25"/>
    <row r="4596" ht="16.5" customHeight="1" x14ac:dyDescent="0.25"/>
    <row r="4597" ht="16.5" customHeight="1" x14ac:dyDescent="0.25"/>
    <row r="4598" ht="16.5" customHeight="1" x14ac:dyDescent="0.25"/>
    <row r="4599" ht="16.5" customHeight="1" x14ac:dyDescent="0.25"/>
    <row r="4600" ht="16.5" customHeight="1" x14ac:dyDescent="0.25"/>
    <row r="4601" ht="16.5" customHeight="1" x14ac:dyDescent="0.25"/>
    <row r="4602" ht="16.5" customHeight="1" x14ac:dyDescent="0.25"/>
    <row r="4603" ht="16.5" customHeight="1" x14ac:dyDescent="0.25"/>
    <row r="4604" ht="16.5" customHeight="1" x14ac:dyDescent="0.25"/>
    <row r="4605" ht="16.5" customHeight="1" x14ac:dyDescent="0.25"/>
    <row r="4606" ht="16.5" customHeight="1" x14ac:dyDescent="0.25"/>
    <row r="4607" ht="16.5" customHeight="1" x14ac:dyDescent="0.25"/>
    <row r="4608" ht="16.5" customHeight="1" x14ac:dyDescent="0.25"/>
    <row r="4609" ht="16.5" customHeight="1" x14ac:dyDescent="0.25"/>
    <row r="4610" ht="16.5" customHeight="1" x14ac:dyDescent="0.25"/>
    <row r="4611" ht="16.5" customHeight="1" x14ac:dyDescent="0.25"/>
    <row r="4612" ht="16.5" customHeight="1" x14ac:dyDescent="0.25"/>
    <row r="4613" ht="16.5" customHeight="1" x14ac:dyDescent="0.25"/>
    <row r="4614" ht="16.5" customHeight="1" x14ac:dyDescent="0.25"/>
    <row r="4615" ht="16.5" customHeight="1" x14ac:dyDescent="0.25"/>
    <row r="4616" ht="16.5" customHeight="1" x14ac:dyDescent="0.25"/>
    <row r="4617" ht="16.5" customHeight="1" x14ac:dyDescent="0.25"/>
    <row r="4618" ht="16.5" customHeight="1" x14ac:dyDescent="0.25"/>
    <row r="4619" ht="16.5" customHeight="1" x14ac:dyDescent="0.25"/>
    <row r="4620" ht="16.5" customHeight="1" x14ac:dyDescent="0.25"/>
    <row r="4621" ht="16.5" customHeight="1" x14ac:dyDescent="0.25"/>
    <row r="4622" ht="16.5" customHeight="1" x14ac:dyDescent="0.25"/>
    <row r="4623" ht="16.5" customHeight="1" x14ac:dyDescent="0.25"/>
    <row r="4624" ht="16.5" customHeight="1" x14ac:dyDescent="0.25"/>
    <row r="4625" ht="16.5" customHeight="1" x14ac:dyDescent="0.25"/>
    <row r="4626" ht="16.5" customHeight="1" x14ac:dyDescent="0.25"/>
    <row r="4627" ht="16.5" customHeight="1" x14ac:dyDescent="0.25"/>
    <row r="4628" ht="16.5" customHeight="1" x14ac:dyDescent="0.25"/>
    <row r="4629" ht="16.5" customHeight="1" x14ac:dyDescent="0.25"/>
    <row r="4630" ht="16.5" customHeight="1" x14ac:dyDescent="0.25"/>
    <row r="4631" ht="16.5" customHeight="1" x14ac:dyDescent="0.25"/>
    <row r="4632" ht="16.5" customHeight="1" x14ac:dyDescent="0.25"/>
    <row r="4633" ht="16.5" customHeight="1" x14ac:dyDescent="0.25"/>
    <row r="4634" ht="16.5" customHeight="1" x14ac:dyDescent="0.25"/>
    <row r="4635" ht="16.5" customHeight="1" x14ac:dyDescent="0.25"/>
    <row r="4636" ht="16.5" customHeight="1" x14ac:dyDescent="0.25"/>
    <row r="4637" ht="16.5" customHeight="1" x14ac:dyDescent="0.25"/>
    <row r="4638" ht="16.5" customHeight="1" x14ac:dyDescent="0.25"/>
    <row r="4639" ht="16.5" customHeight="1" x14ac:dyDescent="0.25"/>
    <row r="4640" ht="16.5" customHeight="1" x14ac:dyDescent="0.25"/>
    <row r="4641" ht="16.5" customHeight="1" x14ac:dyDescent="0.25"/>
    <row r="4642" ht="16.5" customHeight="1" x14ac:dyDescent="0.25"/>
    <row r="4643" ht="16.5" customHeight="1" x14ac:dyDescent="0.25"/>
    <row r="4644" ht="16.5" customHeight="1" x14ac:dyDescent="0.25"/>
    <row r="4645" ht="16.5" customHeight="1" x14ac:dyDescent="0.25"/>
    <row r="4646" ht="16.5" customHeight="1" x14ac:dyDescent="0.25"/>
    <row r="4647" ht="16.5" customHeight="1" x14ac:dyDescent="0.25"/>
    <row r="4648" ht="16.5" customHeight="1" x14ac:dyDescent="0.25"/>
    <row r="4649" ht="16.5" customHeight="1" x14ac:dyDescent="0.25"/>
    <row r="4650" ht="16.5" customHeight="1" x14ac:dyDescent="0.25"/>
    <row r="4651" ht="16.5" customHeight="1" x14ac:dyDescent="0.25"/>
    <row r="4652" ht="16.5" customHeight="1" x14ac:dyDescent="0.25"/>
    <row r="4653" ht="16.5" customHeight="1" x14ac:dyDescent="0.25"/>
    <row r="4654" ht="16.5" customHeight="1" x14ac:dyDescent="0.25"/>
    <row r="4655" ht="16.5" customHeight="1" x14ac:dyDescent="0.25"/>
    <row r="4656" ht="16.5" customHeight="1" x14ac:dyDescent="0.25"/>
    <row r="4657" ht="16.5" customHeight="1" x14ac:dyDescent="0.25"/>
    <row r="4658" ht="16.5" customHeight="1" x14ac:dyDescent="0.25"/>
    <row r="4659" ht="16.5" customHeight="1" x14ac:dyDescent="0.25"/>
    <row r="4660" ht="16.5" customHeight="1" x14ac:dyDescent="0.25"/>
    <row r="4661" ht="16.5" customHeight="1" x14ac:dyDescent="0.25"/>
    <row r="4662" ht="16.5" customHeight="1" x14ac:dyDescent="0.25"/>
    <row r="4663" ht="16.5" customHeight="1" x14ac:dyDescent="0.25"/>
    <row r="4664" ht="16.5" customHeight="1" x14ac:dyDescent="0.25"/>
    <row r="4665" ht="16.5" customHeight="1" x14ac:dyDescent="0.25"/>
    <row r="4666" ht="16.5" customHeight="1" x14ac:dyDescent="0.25"/>
    <row r="4667" ht="16.5" customHeight="1" x14ac:dyDescent="0.25"/>
    <row r="4668" ht="16.5" customHeight="1" x14ac:dyDescent="0.25"/>
    <row r="4669" ht="16.5" customHeight="1" x14ac:dyDescent="0.25"/>
    <row r="4670" ht="16.5" customHeight="1" x14ac:dyDescent="0.25"/>
    <row r="4671" ht="16.5" customHeight="1" x14ac:dyDescent="0.25"/>
    <row r="4672" ht="16.5" customHeight="1" x14ac:dyDescent="0.25"/>
    <row r="4673" ht="16.5" customHeight="1" x14ac:dyDescent="0.25"/>
    <row r="4674" ht="16.5" customHeight="1" x14ac:dyDescent="0.25"/>
    <row r="4675" ht="16.5" customHeight="1" x14ac:dyDescent="0.25"/>
    <row r="4676" ht="16.5" customHeight="1" x14ac:dyDescent="0.25"/>
    <row r="4677" ht="16.5" customHeight="1" x14ac:dyDescent="0.25"/>
    <row r="4678" ht="16.5" customHeight="1" x14ac:dyDescent="0.25"/>
    <row r="4679" ht="16.5" customHeight="1" x14ac:dyDescent="0.25"/>
    <row r="4680" ht="16.5" customHeight="1" x14ac:dyDescent="0.25"/>
    <row r="4681" ht="16.5" customHeight="1" x14ac:dyDescent="0.25"/>
    <row r="4682" ht="16.5" customHeight="1" x14ac:dyDescent="0.25"/>
    <row r="4683" ht="16.5" customHeight="1" x14ac:dyDescent="0.25"/>
    <row r="4684" ht="16.5" customHeight="1" x14ac:dyDescent="0.25"/>
    <row r="4685" ht="16.5" customHeight="1" x14ac:dyDescent="0.25"/>
    <row r="4686" ht="16.5" customHeight="1" x14ac:dyDescent="0.25"/>
    <row r="4687" ht="16.5" customHeight="1" x14ac:dyDescent="0.25"/>
    <row r="4688" ht="16.5" customHeight="1" x14ac:dyDescent="0.25"/>
    <row r="4689" ht="16.5" customHeight="1" x14ac:dyDescent="0.25"/>
    <row r="4690" ht="16.5" customHeight="1" x14ac:dyDescent="0.25"/>
    <row r="4691" ht="16.5" customHeight="1" x14ac:dyDescent="0.25"/>
    <row r="4692" ht="16.5" customHeight="1" x14ac:dyDescent="0.25"/>
    <row r="4693" ht="16.5" customHeight="1" x14ac:dyDescent="0.25"/>
    <row r="4694" ht="16.5" customHeight="1" x14ac:dyDescent="0.25"/>
    <row r="4695" ht="16.5" customHeight="1" x14ac:dyDescent="0.25"/>
    <row r="4696" ht="16.5" customHeight="1" x14ac:dyDescent="0.25"/>
    <row r="4697" ht="16.5" customHeight="1" x14ac:dyDescent="0.25"/>
    <row r="4698" ht="16.5" customHeight="1" x14ac:dyDescent="0.25"/>
    <row r="4699" ht="16.5" customHeight="1" x14ac:dyDescent="0.25"/>
    <row r="4700" ht="16.5" customHeight="1" x14ac:dyDescent="0.25"/>
    <row r="4701" ht="16.5" customHeight="1" x14ac:dyDescent="0.25"/>
    <row r="4702" ht="16.5" customHeight="1" x14ac:dyDescent="0.25"/>
    <row r="4703" ht="16.5" customHeight="1" x14ac:dyDescent="0.25"/>
    <row r="4704" ht="16.5" customHeight="1" x14ac:dyDescent="0.25"/>
    <row r="4705" ht="16.5" customHeight="1" x14ac:dyDescent="0.25"/>
    <row r="4706" ht="16.5" customHeight="1" x14ac:dyDescent="0.25"/>
    <row r="4707" ht="16.5" customHeight="1" x14ac:dyDescent="0.25"/>
    <row r="4708" ht="16.5" customHeight="1" x14ac:dyDescent="0.25"/>
    <row r="4709" ht="16.5" customHeight="1" x14ac:dyDescent="0.25"/>
    <row r="4710" ht="16.5" customHeight="1" x14ac:dyDescent="0.25"/>
    <row r="4711" ht="16.5" customHeight="1" x14ac:dyDescent="0.25"/>
    <row r="4712" ht="16.5" customHeight="1" x14ac:dyDescent="0.25"/>
    <row r="4713" ht="16.5" customHeight="1" x14ac:dyDescent="0.25"/>
    <row r="4714" ht="16.5" customHeight="1" x14ac:dyDescent="0.25"/>
    <row r="4715" ht="16.5" customHeight="1" x14ac:dyDescent="0.25"/>
    <row r="4716" ht="16.5" customHeight="1" x14ac:dyDescent="0.25"/>
    <row r="4717" ht="16.5" customHeight="1" x14ac:dyDescent="0.25"/>
    <row r="4718" ht="16.5" customHeight="1" x14ac:dyDescent="0.25"/>
    <row r="4719" ht="16.5" customHeight="1" x14ac:dyDescent="0.25"/>
    <row r="4720" ht="16.5" customHeight="1" x14ac:dyDescent="0.25"/>
    <row r="4721" ht="16.5" customHeight="1" x14ac:dyDescent="0.25"/>
    <row r="4722" ht="16.5" customHeight="1" x14ac:dyDescent="0.25"/>
    <row r="4723" ht="16.5" customHeight="1" x14ac:dyDescent="0.25"/>
    <row r="4724" ht="16.5" customHeight="1" x14ac:dyDescent="0.25"/>
    <row r="4725" ht="16.5" customHeight="1" x14ac:dyDescent="0.25"/>
    <row r="4726" ht="16.5" customHeight="1" x14ac:dyDescent="0.25"/>
    <row r="4727" ht="16.5" customHeight="1" x14ac:dyDescent="0.25"/>
    <row r="4728" ht="16.5" customHeight="1" x14ac:dyDescent="0.25"/>
    <row r="4729" ht="16.5" customHeight="1" x14ac:dyDescent="0.25"/>
    <row r="4730" ht="16.5" customHeight="1" x14ac:dyDescent="0.25"/>
    <row r="4731" ht="16.5" customHeight="1" x14ac:dyDescent="0.25"/>
    <row r="4732" ht="16.5" customHeight="1" x14ac:dyDescent="0.25"/>
    <row r="4733" ht="16.5" customHeight="1" x14ac:dyDescent="0.25"/>
    <row r="4734" ht="16.5" customHeight="1" x14ac:dyDescent="0.25"/>
    <row r="4735" ht="16.5" customHeight="1" x14ac:dyDescent="0.25"/>
    <row r="4736" ht="16.5" customHeight="1" x14ac:dyDescent="0.25"/>
    <row r="4737" ht="16.5" customHeight="1" x14ac:dyDescent="0.25"/>
    <row r="4738" ht="16.5" customHeight="1" x14ac:dyDescent="0.25"/>
    <row r="4739" ht="16.5" customHeight="1" x14ac:dyDescent="0.25"/>
    <row r="4740" ht="16.5" customHeight="1" x14ac:dyDescent="0.25"/>
    <row r="4741" ht="16.5" customHeight="1" x14ac:dyDescent="0.25"/>
    <row r="4742" ht="16.5" customHeight="1" x14ac:dyDescent="0.25"/>
    <row r="4743" ht="16.5" customHeight="1" x14ac:dyDescent="0.25"/>
    <row r="4744" ht="16.5" customHeight="1" x14ac:dyDescent="0.25"/>
    <row r="4745" ht="16.5" customHeight="1" x14ac:dyDescent="0.25"/>
    <row r="4746" ht="16.5" customHeight="1" x14ac:dyDescent="0.25"/>
    <row r="4747" ht="16.5" customHeight="1" x14ac:dyDescent="0.25"/>
    <row r="4748" ht="16.5" customHeight="1" x14ac:dyDescent="0.25"/>
    <row r="4749" ht="16.5" customHeight="1" x14ac:dyDescent="0.25"/>
    <row r="4750" ht="16.5" customHeight="1" x14ac:dyDescent="0.25"/>
    <row r="4751" ht="16.5" customHeight="1" x14ac:dyDescent="0.25"/>
    <row r="4752" ht="16.5" customHeight="1" x14ac:dyDescent="0.25"/>
    <row r="4753" ht="16.5" customHeight="1" x14ac:dyDescent="0.25"/>
    <row r="4754" ht="16.5" customHeight="1" x14ac:dyDescent="0.25"/>
    <row r="4755" ht="16.5" customHeight="1" x14ac:dyDescent="0.25"/>
    <row r="4756" ht="16.5" customHeight="1" x14ac:dyDescent="0.25"/>
    <row r="4757" ht="16.5" customHeight="1" x14ac:dyDescent="0.25"/>
    <row r="4758" ht="16.5" customHeight="1" x14ac:dyDescent="0.25"/>
    <row r="4759" ht="16.5" customHeight="1" x14ac:dyDescent="0.25"/>
    <row r="4760" ht="16.5" customHeight="1" x14ac:dyDescent="0.25"/>
    <row r="4761" ht="16.5" customHeight="1" x14ac:dyDescent="0.25"/>
    <row r="4762" ht="16.5" customHeight="1" x14ac:dyDescent="0.25"/>
    <row r="4763" ht="16.5" customHeight="1" x14ac:dyDescent="0.25"/>
    <row r="4764" ht="16.5" customHeight="1" x14ac:dyDescent="0.25"/>
    <row r="4765" ht="16.5" customHeight="1" x14ac:dyDescent="0.25"/>
    <row r="4766" ht="16.5" customHeight="1" x14ac:dyDescent="0.25"/>
    <row r="4767" ht="16.5" customHeight="1" x14ac:dyDescent="0.25"/>
    <row r="4768" ht="16.5" customHeight="1" x14ac:dyDescent="0.25"/>
    <row r="4769" ht="16.5" customHeight="1" x14ac:dyDescent="0.25"/>
    <row r="4770" ht="16.5" customHeight="1" x14ac:dyDescent="0.25"/>
    <row r="4771" ht="16.5" customHeight="1" x14ac:dyDescent="0.25"/>
    <row r="4772" ht="16.5" customHeight="1" x14ac:dyDescent="0.25"/>
    <row r="4773" ht="16.5" customHeight="1" x14ac:dyDescent="0.25"/>
    <row r="4774" ht="16.5" customHeight="1" x14ac:dyDescent="0.25"/>
    <row r="4775" ht="16.5" customHeight="1" x14ac:dyDescent="0.25"/>
    <row r="4776" ht="16.5" customHeight="1" x14ac:dyDescent="0.25"/>
    <row r="4777" ht="16.5" customHeight="1" x14ac:dyDescent="0.25"/>
    <row r="4778" ht="16.5" customHeight="1" x14ac:dyDescent="0.25"/>
    <row r="4779" ht="16.5" customHeight="1" x14ac:dyDescent="0.25"/>
    <row r="4780" ht="16.5" customHeight="1" x14ac:dyDescent="0.25"/>
    <row r="4781" ht="16.5" customHeight="1" x14ac:dyDescent="0.25"/>
    <row r="4782" ht="16.5" customHeight="1" x14ac:dyDescent="0.25"/>
    <row r="4783" ht="16.5" customHeight="1" x14ac:dyDescent="0.25"/>
    <row r="4784" ht="16.5" customHeight="1" x14ac:dyDescent="0.25"/>
    <row r="4785" ht="16.5" customHeight="1" x14ac:dyDescent="0.25"/>
    <row r="4786" ht="16.5" customHeight="1" x14ac:dyDescent="0.25"/>
    <row r="4787" ht="16.5" customHeight="1" x14ac:dyDescent="0.25"/>
    <row r="4788" ht="16.5" customHeight="1" x14ac:dyDescent="0.25"/>
    <row r="4789" ht="16.5" customHeight="1" x14ac:dyDescent="0.25"/>
    <row r="4790" ht="16.5" customHeight="1" x14ac:dyDescent="0.25"/>
    <row r="4791" ht="16.5" customHeight="1" x14ac:dyDescent="0.25"/>
    <row r="4792" ht="16.5" customHeight="1" x14ac:dyDescent="0.25"/>
    <row r="4793" ht="16.5" customHeight="1" x14ac:dyDescent="0.25"/>
    <row r="4794" ht="16.5" customHeight="1" x14ac:dyDescent="0.25"/>
    <row r="4795" ht="16.5" customHeight="1" x14ac:dyDescent="0.25"/>
    <row r="4796" ht="16.5" customHeight="1" x14ac:dyDescent="0.25"/>
    <row r="4797" ht="16.5" customHeight="1" x14ac:dyDescent="0.25"/>
    <row r="4798" ht="16.5" customHeight="1" x14ac:dyDescent="0.25"/>
    <row r="4799" ht="16.5" customHeight="1" x14ac:dyDescent="0.25"/>
    <row r="4800" ht="16.5" customHeight="1" x14ac:dyDescent="0.25"/>
    <row r="4801" ht="16.5" customHeight="1" x14ac:dyDescent="0.25"/>
    <row r="4802" ht="16.5" customHeight="1" x14ac:dyDescent="0.25"/>
    <row r="4803" ht="16.5" customHeight="1" x14ac:dyDescent="0.25"/>
    <row r="4804" ht="16.5" customHeight="1" x14ac:dyDescent="0.25"/>
    <row r="4805" ht="16.5" customHeight="1" x14ac:dyDescent="0.25"/>
    <row r="4806" ht="16.5" customHeight="1" x14ac:dyDescent="0.25"/>
    <row r="4807" ht="16.5" customHeight="1" x14ac:dyDescent="0.25"/>
    <row r="4808" ht="16.5" customHeight="1" x14ac:dyDescent="0.25"/>
    <row r="4809" ht="16.5" customHeight="1" x14ac:dyDescent="0.25"/>
    <row r="4810" ht="16.5" customHeight="1" x14ac:dyDescent="0.25"/>
    <row r="4811" ht="16.5" customHeight="1" x14ac:dyDescent="0.25"/>
    <row r="4812" ht="16.5" customHeight="1" x14ac:dyDescent="0.25"/>
    <row r="4813" ht="16.5" customHeight="1" x14ac:dyDescent="0.25"/>
    <row r="4814" ht="16.5" customHeight="1" x14ac:dyDescent="0.25"/>
    <row r="4815" ht="16.5" customHeight="1" x14ac:dyDescent="0.25"/>
    <row r="4816" ht="16.5" customHeight="1" x14ac:dyDescent="0.25"/>
    <row r="4817" ht="16.5" customHeight="1" x14ac:dyDescent="0.25"/>
    <row r="4818" ht="16.5" customHeight="1" x14ac:dyDescent="0.25"/>
    <row r="4819" ht="16.5" customHeight="1" x14ac:dyDescent="0.25"/>
    <row r="4820" ht="16.5" customHeight="1" x14ac:dyDescent="0.25"/>
    <row r="4821" ht="16.5" customHeight="1" x14ac:dyDescent="0.25"/>
    <row r="4822" ht="16.5" customHeight="1" x14ac:dyDescent="0.25"/>
    <row r="4823" ht="16.5" customHeight="1" x14ac:dyDescent="0.25"/>
    <row r="4824" ht="16.5" customHeight="1" x14ac:dyDescent="0.25"/>
    <row r="4825" ht="16.5" customHeight="1" x14ac:dyDescent="0.25"/>
    <row r="4826" ht="16.5" customHeight="1" x14ac:dyDescent="0.25"/>
    <row r="4827" ht="16.5" customHeight="1" x14ac:dyDescent="0.25"/>
    <row r="4828" ht="16.5" customHeight="1" x14ac:dyDescent="0.25"/>
    <row r="4829" ht="16.5" customHeight="1" x14ac:dyDescent="0.25"/>
    <row r="4830" ht="16.5" customHeight="1" x14ac:dyDescent="0.25"/>
    <row r="4831" ht="16.5" customHeight="1" x14ac:dyDescent="0.25"/>
    <row r="4832" ht="16.5" customHeight="1" x14ac:dyDescent="0.25"/>
    <row r="4833" ht="16.5" customHeight="1" x14ac:dyDescent="0.25"/>
    <row r="4834" ht="16.5" customHeight="1" x14ac:dyDescent="0.25"/>
    <row r="4835" ht="16.5" customHeight="1" x14ac:dyDescent="0.25"/>
    <row r="4836" ht="16.5" customHeight="1" x14ac:dyDescent="0.25"/>
    <row r="4837" ht="16.5" customHeight="1" x14ac:dyDescent="0.25"/>
    <row r="4838" ht="16.5" customHeight="1" x14ac:dyDescent="0.25"/>
    <row r="4839" ht="16.5" customHeight="1" x14ac:dyDescent="0.25"/>
    <row r="4840" ht="16.5" customHeight="1" x14ac:dyDescent="0.25"/>
    <row r="4841" ht="16.5" customHeight="1" x14ac:dyDescent="0.25"/>
    <row r="4842" ht="16.5" customHeight="1" x14ac:dyDescent="0.25"/>
    <row r="4843" ht="16.5" customHeight="1" x14ac:dyDescent="0.25"/>
    <row r="4844" ht="16.5" customHeight="1" x14ac:dyDescent="0.25"/>
    <row r="4845" ht="16.5" customHeight="1" x14ac:dyDescent="0.25"/>
    <row r="4846" ht="16.5" customHeight="1" x14ac:dyDescent="0.25"/>
    <row r="4847" ht="16.5" customHeight="1" x14ac:dyDescent="0.25"/>
    <row r="4848" ht="16.5" customHeight="1" x14ac:dyDescent="0.25"/>
    <row r="4849" ht="16.5" customHeight="1" x14ac:dyDescent="0.25"/>
    <row r="4850" ht="16.5" customHeight="1" x14ac:dyDescent="0.25"/>
    <row r="4851" ht="16.5" customHeight="1" x14ac:dyDescent="0.25"/>
    <row r="4852" ht="16.5" customHeight="1" x14ac:dyDescent="0.25"/>
    <row r="4853" ht="16.5" customHeight="1" x14ac:dyDescent="0.25"/>
    <row r="4854" ht="16.5" customHeight="1" x14ac:dyDescent="0.25"/>
    <row r="4855" ht="16.5" customHeight="1" x14ac:dyDescent="0.25"/>
    <row r="4856" ht="16.5" customHeight="1" x14ac:dyDescent="0.25"/>
    <row r="4857" ht="16.5" customHeight="1" x14ac:dyDescent="0.25"/>
    <row r="4858" ht="16.5" customHeight="1" x14ac:dyDescent="0.25"/>
    <row r="4859" ht="16.5" customHeight="1" x14ac:dyDescent="0.25"/>
    <row r="4860" ht="16.5" customHeight="1" x14ac:dyDescent="0.25"/>
    <row r="4861" ht="16.5" customHeight="1" x14ac:dyDescent="0.25"/>
    <row r="4862" ht="16.5" customHeight="1" x14ac:dyDescent="0.25"/>
    <row r="4863" ht="16.5" customHeight="1" x14ac:dyDescent="0.25"/>
    <row r="4864" ht="16.5" customHeight="1" x14ac:dyDescent="0.25"/>
    <row r="4865" ht="16.5" customHeight="1" x14ac:dyDescent="0.25"/>
    <row r="4866" ht="16.5" customHeight="1" x14ac:dyDescent="0.25"/>
    <row r="4867" ht="16.5" customHeight="1" x14ac:dyDescent="0.25"/>
    <row r="4868" ht="16.5" customHeight="1" x14ac:dyDescent="0.25"/>
    <row r="4869" ht="16.5" customHeight="1" x14ac:dyDescent="0.25"/>
    <row r="4870" ht="16.5" customHeight="1" x14ac:dyDescent="0.25"/>
    <row r="4871" ht="16.5" customHeight="1" x14ac:dyDescent="0.25"/>
    <row r="4872" ht="16.5" customHeight="1" x14ac:dyDescent="0.25"/>
    <row r="4873" ht="16.5" customHeight="1" x14ac:dyDescent="0.25"/>
    <row r="4874" ht="16.5" customHeight="1" x14ac:dyDescent="0.25"/>
    <row r="4875" ht="16.5" customHeight="1" x14ac:dyDescent="0.25"/>
    <row r="4876" ht="16.5" customHeight="1" x14ac:dyDescent="0.25"/>
    <row r="4877" ht="16.5" customHeight="1" x14ac:dyDescent="0.25"/>
    <row r="4878" ht="16.5" customHeight="1" x14ac:dyDescent="0.25"/>
    <row r="4879" ht="16.5" customHeight="1" x14ac:dyDescent="0.25"/>
    <row r="4880" ht="16.5" customHeight="1" x14ac:dyDescent="0.25"/>
    <row r="4881" ht="16.5" customHeight="1" x14ac:dyDescent="0.25"/>
    <row r="4882" ht="16.5" customHeight="1" x14ac:dyDescent="0.25"/>
    <row r="4883" ht="16.5" customHeight="1" x14ac:dyDescent="0.25"/>
    <row r="4884" ht="16.5" customHeight="1" x14ac:dyDescent="0.25"/>
    <row r="4885" ht="16.5" customHeight="1" x14ac:dyDescent="0.25"/>
    <row r="4886" ht="16.5" customHeight="1" x14ac:dyDescent="0.25"/>
    <row r="4887" ht="16.5" customHeight="1" x14ac:dyDescent="0.25"/>
    <row r="4888" ht="16.5" customHeight="1" x14ac:dyDescent="0.25"/>
    <row r="4889" ht="16.5" customHeight="1" x14ac:dyDescent="0.25"/>
    <row r="4890" ht="16.5" customHeight="1" x14ac:dyDescent="0.25"/>
    <row r="4891" ht="16.5" customHeight="1" x14ac:dyDescent="0.25"/>
    <row r="4892" ht="16.5" customHeight="1" x14ac:dyDescent="0.25"/>
    <row r="4893" ht="16.5" customHeight="1" x14ac:dyDescent="0.25"/>
    <row r="4894" ht="16.5" customHeight="1" x14ac:dyDescent="0.25"/>
    <row r="4895" ht="16.5" customHeight="1" x14ac:dyDescent="0.25"/>
    <row r="4896" ht="16.5" customHeight="1" x14ac:dyDescent="0.25"/>
    <row r="4897" ht="16.5" customHeight="1" x14ac:dyDescent="0.25"/>
    <row r="4898" ht="16.5" customHeight="1" x14ac:dyDescent="0.25"/>
    <row r="4899" ht="16.5" customHeight="1" x14ac:dyDescent="0.25"/>
    <row r="4900" ht="16.5" customHeight="1" x14ac:dyDescent="0.25"/>
    <row r="4901" ht="16.5" customHeight="1" x14ac:dyDescent="0.25"/>
    <row r="4902" ht="16.5" customHeight="1" x14ac:dyDescent="0.25"/>
    <row r="4903" ht="16.5" customHeight="1" x14ac:dyDescent="0.25"/>
    <row r="4904" ht="16.5" customHeight="1" x14ac:dyDescent="0.25"/>
    <row r="4905" ht="16.5" customHeight="1" x14ac:dyDescent="0.25"/>
    <row r="4906" ht="16.5" customHeight="1" x14ac:dyDescent="0.25"/>
    <row r="4907" ht="16.5" customHeight="1" x14ac:dyDescent="0.25"/>
    <row r="4908" ht="16.5" customHeight="1" x14ac:dyDescent="0.25"/>
    <row r="4909" ht="16.5" customHeight="1" x14ac:dyDescent="0.25"/>
    <row r="4910" ht="16.5" customHeight="1" x14ac:dyDescent="0.25"/>
    <row r="4911" ht="16.5" customHeight="1" x14ac:dyDescent="0.25"/>
    <row r="4912" ht="16.5" customHeight="1" x14ac:dyDescent="0.25"/>
    <row r="4913" ht="16.5" customHeight="1" x14ac:dyDescent="0.25"/>
    <row r="4914" ht="16.5" customHeight="1" x14ac:dyDescent="0.25"/>
    <row r="4915" ht="16.5" customHeight="1" x14ac:dyDescent="0.25"/>
    <row r="4916" ht="16.5" customHeight="1" x14ac:dyDescent="0.25"/>
    <row r="4917" ht="16.5" customHeight="1" x14ac:dyDescent="0.25"/>
    <row r="4918" ht="16.5" customHeight="1" x14ac:dyDescent="0.25"/>
    <row r="4919" ht="16.5" customHeight="1" x14ac:dyDescent="0.25"/>
    <row r="4920" ht="16.5" customHeight="1" x14ac:dyDescent="0.25"/>
    <row r="4921" ht="16.5" customHeight="1" x14ac:dyDescent="0.25"/>
    <row r="4922" ht="16.5" customHeight="1" x14ac:dyDescent="0.25"/>
    <row r="4923" ht="16.5" customHeight="1" x14ac:dyDescent="0.25"/>
    <row r="4924" ht="16.5" customHeight="1" x14ac:dyDescent="0.25"/>
    <row r="4925" ht="16.5" customHeight="1" x14ac:dyDescent="0.25"/>
    <row r="4926" ht="16.5" customHeight="1" x14ac:dyDescent="0.25"/>
    <row r="4927" ht="16.5" customHeight="1" x14ac:dyDescent="0.25"/>
    <row r="4928" ht="16.5" customHeight="1" x14ac:dyDescent="0.25"/>
    <row r="4929" ht="16.5" customHeight="1" x14ac:dyDescent="0.25"/>
    <row r="4930" ht="16.5" customHeight="1" x14ac:dyDescent="0.25"/>
    <row r="4931" ht="16.5" customHeight="1" x14ac:dyDescent="0.25"/>
    <row r="4932" ht="16.5" customHeight="1" x14ac:dyDescent="0.25"/>
    <row r="4933" ht="16.5" customHeight="1" x14ac:dyDescent="0.25"/>
    <row r="4934" ht="16.5" customHeight="1" x14ac:dyDescent="0.25"/>
    <row r="4935" ht="16.5" customHeight="1" x14ac:dyDescent="0.25"/>
    <row r="4936" ht="16.5" customHeight="1" x14ac:dyDescent="0.25"/>
    <row r="4937" ht="16.5" customHeight="1" x14ac:dyDescent="0.25"/>
    <row r="4938" ht="16.5" customHeight="1" x14ac:dyDescent="0.25"/>
    <row r="4939" ht="16.5" customHeight="1" x14ac:dyDescent="0.25"/>
    <row r="4940" ht="16.5" customHeight="1" x14ac:dyDescent="0.25"/>
    <row r="4941" ht="16.5" customHeight="1" x14ac:dyDescent="0.25"/>
    <row r="4942" ht="16.5" customHeight="1" x14ac:dyDescent="0.25"/>
    <row r="4943" ht="16.5" customHeight="1" x14ac:dyDescent="0.25"/>
    <row r="4944" ht="16.5" customHeight="1" x14ac:dyDescent="0.25"/>
    <row r="4945" ht="16.5" customHeight="1" x14ac:dyDescent="0.25"/>
    <row r="4946" ht="16.5" customHeight="1" x14ac:dyDescent="0.25"/>
    <row r="4947" ht="16.5" customHeight="1" x14ac:dyDescent="0.25"/>
    <row r="4948" ht="16.5" customHeight="1" x14ac:dyDescent="0.25"/>
    <row r="4949" ht="16.5" customHeight="1" x14ac:dyDescent="0.25"/>
    <row r="4950" ht="16.5" customHeight="1" x14ac:dyDescent="0.25"/>
    <row r="4951" ht="16.5" customHeight="1" x14ac:dyDescent="0.25"/>
    <row r="4952" ht="16.5" customHeight="1" x14ac:dyDescent="0.25"/>
    <row r="4953" ht="16.5" customHeight="1" x14ac:dyDescent="0.25"/>
    <row r="4954" ht="16.5" customHeight="1" x14ac:dyDescent="0.25"/>
    <row r="4955" ht="16.5" customHeight="1" x14ac:dyDescent="0.25"/>
    <row r="4956" ht="16.5" customHeight="1" x14ac:dyDescent="0.25"/>
    <row r="4957" ht="16.5" customHeight="1" x14ac:dyDescent="0.25"/>
    <row r="4958" ht="16.5" customHeight="1" x14ac:dyDescent="0.25"/>
    <row r="4959" ht="16.5" customHeight="1" x14ac:dyDescent="0.25"/>
    <row r="4960" ht="16.5" customHeight="1" x14ac:dyDescent="0.25"/>
    <row r="4961" ht="16.5" customHeight="1" x14ac:dyDescent="0.25"/>
    <row r="4962" ht="16.5" customHeight="1" x14ac:dyDescent="0.25"/>
    <row r="4963" ht="16.5" customHeight="1" x14ac:dyDescent="0.25"/>
    <row r="4964" ht="16.5" customHeight="1" x14ac:dyDescent="0.25"/>
    <row r="4965" ht="16.5" customHeight="1" x14ac:dyDescent="0.25"/>
    <row r="4966" ht="16.5" customHeight="1" x14ac:dyDescent="0.25"/>
    <row r="4967" ht="16.5" customHeight="1" x14ac:dyDescent="0.25"/>
    <row r="4968" ht="16.5" customHeight="1" x14ac:dyDescent="0.25"/>
    <row r="4969" ht="16.5" customHeight="1" x14ac:dyDescent="0.25"/>
    <row r="4970" ht="16.5" customHeight="1" x14ac:dyDescent="0.25"/>
    <row r="4971" ht="16.5" customHeight="1" x14ac:dyDescent="0.25"/>
    <row r="4972" ht="16.5" customHeight="1" x14ac:dyDescent="0.25"/>
    <row r="4973" ht="16.5" customHeight="1" x14ac:dyDescent="0.25"/>
    <row r="4974" ht="16.5" customHeight="1" x14ac:dyDescent="0.25"/>
    <row r="4975" ht="16.5" customHeight="1" x14ac:dyDescent="0.25"/>
    <row r="4976" ht="16.5" customHeight="1" x14ac:dyDescent="0.25"/>
    <row r="4977" ht="16.5" customHeight="1" x14ac:dyDescent="0.25"/>
    <row r="4978" ht="16.5" customHeight="1" x14ac:dyDescent="0.25"/>
    <row r="4979" ht="16.5" customHeight="1" x14ac:dyDescent="0.25"/>
    <row r="4980" ht="16.5" customHeight="1" x14ac:dyDescent="0.25"/>
    <row r="4981" ht="16.5" customHeight="1" x14ac:dyDescent="0.25"/>
    <row r="4982" ht="16.5" customHeight="1" x14ac:dyDescent="0.25"/>
    <row r="4983" ht="16.5" customHeight="1" x14ac:dyDescent="0.25"/>
    <row r="4984" ht="16.5" customHeight="1" x14ac:dyDescent="0.25"/>
    <row r="4985" ht="16.5" customHeight="1" x14ac:dyDescent="0.25"/>
    <row r="4986" ht="16.5" customHeight="1" x14ac:dyDescent="0.25"/>
    <row r="4987" ht="16.5" customHeight="1" x14ac:dyDescent="0.25"/>
    <row r="4988" ht="16.5" customHeight="1" x14ac:dyDescent="0.25"/>
    <row r="4989" ht="16.5" customHeight="1" x14ac:dyDescent="0.25"/>
    <row r="4990" ht="16.5" customHeight="1" x14ac:dyDescent="0.25"/>
    <row r="4991" ht="16.5" customHeight="1" x14ac:dyDescent="0.25"/>
    <row r="4992" ht="16.5" customHeight="1" x14ac:dyDescent="0.25"/>
    <row r="4993" ht="16.5" customHeight="1" x14ac:dyDescent="0.25"/>
    <row r="4994" ht="16.5" customHeight="1" x14ac:dyDescent="0.25"/>
    <row r="4995" ht="16.5" customHeight="1" x14ac:dyDescent="0.25"/>
    <row r="4996" ht="16.5" customHeight="1" x14ac:dyDescent="0.25"/>
    <row r="4997" ht="16.5" customHeight="1" x14ac:dyDescent="0.25"/>
    <row r="4998" ht="16.5" customHeight="1" x14ac:dyDescent="0.25"/>
    <row r="4999" ht="16.5" customHeight="1" x14ac:dyDescent="0.25"/>
    <row r="5000" ht="16.5" customHeight="1" x14ac:dyDescent="0.25"/>
    <row r="5001" ht="16.5" customHeight="1" x14ac:dyDescent="0.25"/>
    <row r="5002" ht="16.5" customHeight="1" x14ac:dyDescent="0.25"/>
    <row r="5003" ht="16.5" customHeight="1" x14ac:dyDescent="0.25"/>
    <row r="5004" ht="16.5" customHeight="1" x14ac:dyDescent="0.25"/>
    <row r="5005" ht="16.5" customHeight="1" x14ac:dyDescent="0.25"/>
    <row r="5006" ht="16.5" customHeight="1" x14ac:dyDescent="0.25"/>
    <row r="5007" ht="16.5" customHeight="1" x14ac:dyDescent="0.25"/>
    <row r="5008" ht="16.5" customHeight="1" x14ac:dyDescent="0.25"/>
    <row r="5009" ht="16.5" customHeight="1" x14ac:dyDescent="0.25"/>
    <row r="5010" ht="16.5" customHeight="1" x14ac:dyDescent="0.25"/>
    <row r="5011" ht="16.5" customHeight="1" x14ac:dyDescent="0.25"/>
    <row r="5012" ht="16.5" customHeight="1" x14ac:dyDescent="0.25"/>
    <row r="5013" ht="16.5" customHeight="1" x14ac:dyDescent="0.25"/>
    <row r="5014" ht="16.5" customHeight="1" x14ac:dyDescent="0.25"/>
    <row r="5015" ht="16.5" customHeight="1" x14ac:dyDescent="0.25"/>
    <row r="5016" ht="16.5" customHeight="1" x14ac:dyDescent="0.25"/>
    <row r="5017" ht="16.5" customHeight="1" x14ac:dyDescent="0.25"/>
    <row r="5018" ht="16.5" customHeight="1" x14ac:dyDescent="0.25"/>
    <row r="5019" ht="16.5" customHeight="1" x14ac:dyDescent="0.25"/>
    <row r="5020" ht="16.5" customHeight="1" x14ac:dyDescent="0.25"/>
    <row r="5021" ht="16.5" customHeight="1" x14ac:dyDescent="0.25"/>
    <row r="5022" ht="16.5" customHeight="1" x14ac:dyDescent="0.25"/>
    <row r="5023" ht="16.5" customHeight="1" x14ac:dyDescent="0.25"/>
    <row r="5024" ht="16.5" customHeight="1" x14ac:dyDescent="0.25"/>
    <row r="5025" ht="16.5" customHeight="1" x14ac:dyDescent="0.25"/>
    <row r="5026" ht="16.5" customHeight="1" x14ac:dyDescent="0.25"/>
    <row r="5027" ht="16.5" customHeight="1" x14ac:dyDescent="0.25"/>
    <row r="5028" ht="16.5" customHeight="1" x14ac:dyDescent="0.25"/>
    <row r="5029" ht="16.5" customHeight="1" x14ac:dyDescent="0.25"/>
    <row r="5030" ht="16.5" customHeight="1" x14ac:dyDescent="0.25"/>
    <row r="5031" ht="16.5" customHeight="1" x14ac:dyDescent="0.25"/>
    <row r="5032" ht="16.5" customHeight="1" x14ac:dyDescent="0.25"/>
    <row r="5033" ht="16.5" customHeight="1" x14ac:dyDescent="0.25"/>
    <row r="5034" ht="16.5" customHeight="1" x14ac:dyDescent="0.25"/>
    <row r="5035" ht="16.5" customHeight="1" x14ac:dyDescent="0.25"/>
    <row r="5036" ht="16.5" customHeight="1" x14ac:dyDescent="0.25"/>
    <row r="5037" ht="16.5" customHeight="1" x14ac:dyDescent="0.25"/>
    <row r="5038" ht="16.5" customHeight="1" x14ac:dyDescent="0.25"/>
    <row r="5039" ht="16.5" customHeight="1" x14ac:dyDescent="0.25"/>
    <row r="5040" ht="16.5" customHeight="1" x14ac:dyDescent="0.25"/>
    <row r="5041" ht="16.5" customHeight="1" x14ac:dyDescent="0.25"/>
    <row r="5042" ht="16.5" customHeight="1" x14ac:dyDescent="0.25"/>
    <row r="5043" ht="16.5" customHeight="1" x14ac:dyDescent="0.25"/>
    <row r="5044" ht="16.5" customHeight="1" x14ac:dyDescent="0.25"/>
    <row r="5045" ht="16.5" customHeight="1" x14ac:dyDescent="0.25"/>
    <row r="5046" ht="16.5" customHeight="1" x14ac:dyDescent="0.25"/>
    <row r="5047" ht="16.5" customHeight="1" x14ac:dyDescent="0.25"/>
    <row r="5048" ht="16.5" customHeight="1" x14ac:dyDescent="0.25"/>
    <row r="5049" ht="16.5" customHeight="1" x14ac:dyDescent="0.25"/>
    <row r="5050" ht="16.5" customHeight="1" x14ac:dyDescent="0.25"/>
    <row r="5051" ht="16.5" customHeight="1" x14ac:dyDescent="0.25"/>
    <row r="5052" ht="16.5" customHeight="1" x14ac:dyDescent="0.25"/>
    <row r="5053" ht="16.5" customHeight="1" x14ac:dyDescent="0.25"/>
    <row r="5054" ht="16.5" customHeight="1" x14ac:dyDescent="0.25"/>
    <row r="5055" ht="16.5" customHeight="1" x14ac:dyDescent="0.25"/>
    <row r="5056" ht="16.5" customHeight="1" x14ac:dyDescent="0.25"/>
    <row r="5057" ht="16.5" customHeight="1" x14ac:dyDescent="0.25"/>
    <row r="5058" ht="16.5" customHeight="1" x14ac:dyDescent="0.25"/>
    <row r="5059" ht="16.5" customHeight="1" x14ac:dyDescent="0.25"/>
    <row r="5060" ht="16.5" customHeight="1" x14ac:dyDescent="0.25"/>
    <row r="5061" ht="16.5" customHeight="1" x14ac:dyDescent="0.25"/>
    <row r="5062" ht="16.5" customHeight="1" x14ac:dyDescent="0.25"/>
    <row r="5063" ht="16.5" customHeight="1" x14ac:dyDescent="0.25"/>
    <row r="5064" ht="16.5" customHeight="1" x14ac:dyDescent="0.25"/>
    <row r="5065" ht="16.5" customHeight="1" x14ac:dyDescent="0.25"/>
    <row r="5066" ht="16.5" customHeight="1" x14ac:dyDescent="0.25"/>
    <row r="5067" ht="16.5" customHeight="1" x14ac:dyDescent="0.25"/>
    <row r="5068" ht="16.5" customHeight="1" x14ac:dyDescent="0.25"/>
    <row r="5069" ht="16.5" customHeight="1" x14ac:dyDescent="0.25"/>
    <row r="5070" ht="16.5" customHeight="1" x14ac:dyDescent="0.25"/>
    <row r="5071" ht="16.5" customHeight="1" x14ac:dyDescent="0.25"/>
    <row r="5072" ht="16.5" customHeight="1" x14ac:dyDescent="0.25"/>
    <row r="5073" ht="16.5" customHeight="1" x14ac:dyDescent="0.25"/>
    <row r="5074" ht="16.5" customHeight="1" x14ac:dyDescent="0.25"/>
    <row r="5075" ht="16.5" customHeight="1" x14ac:dyDescent="0.25"/>
    <row r="5076" ht="16.5" customHeight="1" x14ac:dyDescent="0.25"/>
    <row r="5077" ht="16.5" customHeight="1" x14ac:dyDescent="0.25"/>
    <row r="5078" ht="16.5" customHeight="1" x14ac:dyDescent="0.25"/>
    <row r="5079" ht="16.5" customHeight="1" x14ac:dyDescent="0.25"/>
    <row r="5080" ht="16.5" customHeight="1" x14ac:dyDescent="0.25"/>
    <row r="5081" ht="16.5" customHeight="1" x14ac:dyDescent="0.25"/>
    <row r="5082" ht="16.5" customHeight="1" x14ac:dyDescent="0.25"/>
    <row r="5083" ht="16.5" customHeight="1" x14ac:dyDescent="0.25"/>
    <row r="5084" ht="16.5" customHeight="1" x14ac:dyDescent="0.25"/>
    <row r="5085" ht="16.5" customHeight="1" x14ac:dyDescent="0.25"/>
    <row r="5086" ht="16.5" customHeight="1" x14ac:dyDescent="0.25"/>
    <row r="5087" ht="16.5" customHeight="1" x14ac:dyDescent="0.25"/>
    <row r="5088" ht="16.5" customHeight="1" x14ac:dyDescent="0.25"/>
    <row r="5089" ht="16.5" customHeight="1" x14ac:dyDescent="0.25"/>
    <row r="5090" ht="16.5" customHeight="1" x14ac:dyDescent="0.25"/>
    <row r="5091" ht="16.5" customHeight="1" x14ac:dyDescent="0.25"/>
    <row r="5092" ht="16.5" customHeight="1" x14ac:dyDescent="0.25"/>
    <row r="5093" ht="16.5" customHeight="1" x14ac:dyDescent="0.25"/>
    <row r="5094" ht="16.5" customHeight="1" x14ac:dyDescent="0.25"/>
    <row r="5095" ht="16.5" customHeight="1" x14ac:dyDescent="0.25"/>
    <row r="5096" ht="16.5" customHeight="1" x14ac:dyDescent="0.25"/>
    <row r="5097" ht="16.5" customHeight="1" x14ac:dyDescent="0.25"/>
    <row r="5098" ht="16.5" customHeight="1" x14ac:dyDescent="0.25"/>
    <row r="5099" ht="16.5" customHeight="1" x14ac:dyDescent="0.25"/>
    <row r="5100" ht="16.5" customHeight="1" x14ac:dyDescent="0.25"/>
    <row r="5101" ht="16.5" customHeight="1" x14ac:dyDescent="0.25"/>
    <row r="5102" ht="16.5" customHeight="1" x14ac:dyDescent="0.25"/>
    <row r="5103" ht="16.5" customHeight="1" x14ac:dyDescent="0.25"/>
    <row r="5104" ht="16.5" customHeight="1" x14ac:dyDescent="0.25"/>
    <row r="5105" ht="16.5" customHeight="1" x14ac:dyDescent="0.25"/>
    <row r="5106" ht="16.5" customHeight="1" x14ac:dyDescent="0.25"/>
    <row r="5107" ht="16.5" customHeight="1" x14ac:dyDescent="0.25"/>
    <row r="5108" ht="16.5" customHeight="1" x14ac:dyDescent="0.25"/>
    <row r="5109" ht="16.5" customHeight="1" x14ac:dyDescent="0.25"/>
    <row r="5110" ht="16.5" customHeight="1" x14ac:dyDescent="0.25"/>
    <row r="5111" ht="16.5" customHeight="1" x14ac:dyDescent="0.25"/>
    <row r="5112" ht="16.5" customHeight="1" x14ac:dyDescent="0.25"/>
    <row r="5113" ht="16.5" customHeight="1" x14ac:dyDescent="0.25"/>
    <row r="5114" ht="16.5" customHeight="1" x14ac:dyDescent="0.25"/>
    <row r="5115" ht="16.5" customHeight="1" x14ac:dyDescent="0.25"/>
    <row r="5116" ht="16.5" customHeight="1" x14ac:dyDescent="0.25"/>
    <row r="5117" ht="16.5" customHeight="1" x14ac:dyDescent="0.25"/>
    <row r="5118" ht="16.5" customHeight="1" x14ac:dyDescent="0.25"/>
    <row r="5119" ht="16.5" customHeight="1" x14ac:dyDescent="0.25"/>
    <row r="5120" ht="16.5" customHeight="1" x14ac:dyDescent="0.25"/>
    <row r="5121" ht="16.5" customHeight="1" x14ac:dyDescent="0.25"/>
    <row r="5122" ht="16.5" customHeight="1" x14ac:dyDescent="0.25"/>
    <row r="5123" ht="16.5" customHeight="1" x14ac:dyDescent="0.25"/>
    <row r="5124" ht="16.5" customHeight="1" x14ac:dyDescent="0.25"/>
    <row r="5125" ht="16.5" customHeight="1" x14ac:dyDescent="0.25"/>
    <row r="5126" ht="16.5" customHeight="1" x14ac:dyDescent="0.25"/>
    <row r="5127" ht="16.5" customHeight="1" x14ac:dyDescent="0.25"/>
    <row r="5128" ht="16.5" customHeight="1" x14ac:dyDescent="0.25"/>
    <row r="5129" ht="16.5" customHeight="1" x14ac:dyDescent="0.25"/>
    <row r="5130" ht="16.5" customHeight="1" x14ac:dyDescent="0.25"/>
    <row r="5131" ht="16.5" customHeight="1" x14ac:dyDescent="0.25"/>
    <row r="5132" ht="16.5" customHeight="1" x14ac:dyDescent="0.25"/>
    <row r="5133" ht="16.5" customHeight="1" x14ac:dyDescent="0.25"/>
    <row r="5134" ht="16.5" customHeight="1" x14ac:dyDescent="0.25"/>
    <row r="5135" ht="16.5" customHeight="1" x14ac:dyDescent="0.25"/>
    <row r="5136" ht="16.5" customHeight="1" x14ac:dyDescent="0.25"/>
    <row r="5137" ht="16.5" customHeight="1" x14ac:dyDescent="0.25"/>
    <row r="5138" ht="16.5" customHeight="1" x14ac:dyDescent="0.25"/>
    <row r="5139" ht="16.5" customHeight="1" x14ac:dyDescent="0.25"/>
    <row r="5140" ht="16.5" customHeight="1" x14ac:dyDescent="0.25"/>
    <row r="5141" ht="16.5" customHeight="1" x14ac:dyDescent="0.25"/>
    <row r="5142" ht="16.5" customHeight="1" x14ac:dyDescent="0.25"/>
    <row r="5143" ht="16.5" customHeight="1" x14ac:dyDescent="0.25"/>
    <row r="5144" ht="16.5" customHeight="1" x14ac:dyDescent="0.25"/>
    <row r="5145" ht="16.5" customHeight="1" x14ac:dyDescent="0.25"/>
    <row r="5146" ht="16.5" customHeight="1" x14ac:dyDescent="0.25"/>
    <row r="5147" ht="16.5" customHeight="1" x14ac:dyDescent="0.25"/>
    <row r="5148" ht="16.5" customHeight="1" x14ac:dyDescent="0.25"/>
    <row r="5149" ht="16.5" customHeight="1" x14ac:dyDescent="0.25"/>
    <row r="5150" ht="16.5" customHeight="1" x14ac:dyDescent="0.25"/>
    <row r="5151" ht="16.5" customHeight="1" x14ac:dyDescent="0.25"/>
    <row r="5152" ht="16.5" customHeight="1" x14ac:dyDescent="0.25"/>
    <row r="5153" ht="16.5" customHeight="1" x14ac:dyDescent="0.25"/>
    <row r="5154" ht="16.5" customHeight="1" x14ac:dyDescent="0.25"/>
    <row r="5155" ht="16.5" customHeight="1" x14ac:dyDescent="0.25"/>
    <row r="5156" ht="16.5" customHeight="1" x14ac:dyDescent="0.25"/>
    <row r="5157" ht="16.5" customHeight="1" x14ac:dyDescent="0.25"/>
    <row r="5158" ht="16.5" customHeight="1" x14ac:dyDescent="0.25"/>
    <row r="5159" ht="16.5" customHeight="1" x14ac:dyDescent="0.25"/>
    <row r="5160" ht="16.5" customHeight="1" x14ac:dyDescent="0.25"/>
    <row r="5161" ht="16.5" customHeight="1" x14ac:dyDescent="0.25"/>
    <row r="5162" ht="16.5" customHeight="1" x14ac:dyDescent="0.25"/>
    <row r="5163" ht="16.5" customHeight="1" x14ac:dyDescent="0.25"/>
    <row r="5164" ht="16.5" customHeight="1" x14ac:dyDescent="0.25"/>
    <row r="5165" ht="16.5" customHeight="1" x14ac:dyDescent="0.25"/>
    <row r="5166" ht="16.5" customHeight="1" x14ac:dyDescent="0.25"/>
    <row r="5167" ht="16.5" customHeight="1" x14ac:dyDescent="0.25"/>
    <row r="5168" ht="16.5" customHeight="1" x14ac:dyDescent="0.25"/>
    <row r="5169" ht="16.5" customHeight="1" x14ac:dyDescent="0.25"/>
    <row r="5170" ht="16.5" customHeight="1" x14ac:dyDescent="0.25"/>
    <row r="5171" ht="16.5" customHeight="1" x14ac:dyDescent="0.25"/>
    <row r="5172" ht="16.5" customHeight="1" x14ac:dyDescent="0.25"/>
    <row r="5173" ht="16.5" customHeight="1" x14ac:dyDescent="0.25"/>
    <row r="5174" ht="16.5" customHeight="1" x14ac:dyDescent="0.25"/>
    <row r="5175" ht="16.5" customHeight="1" x14ac:dyDescent="0.25"/>
    <row r="5176" ht="16.5" customHeight="1" x14ac:dyDescent="0.25"/>
    <row r="5177" ht="16.5" customHeight="1" x14ac:dyDescent="0.25"/>
    <row r="5178" ht="16.5" customHeight="1" x14ac:dyDescent="0.25"/>
    <row r="5179" ht="16.5" customHeight="1" x14ac:dyDescent="0.25"/>
    <row r="5180" ht="16.5" customHeight="1" x14ac:dyDescent="0.25"/>
    <row r="5181" ht="16.5" customHeight="1" x14ac:dyDescent="0.25"/>
    <row r="5182" ht="16.5" customHeight="1" x14ac:dyDescent="0.25"/>
    <row r="5183" ht="16.5" customHeight="1" x14ac:dyDescent="0.25"/>
    <row r="5184" ht="16.5" customHeight="1" x14ac:dyDescent="0.25"/>
    <row r="5185" ht="16.5" customHeight="1" x14ac:dyDescent="0.25"/>
    <row r="5186" ht="16.5" customHeight="1" x14ac:dyDescent="0.25"/>
    <row r="5187" ht="16.5" customHeight="1" x14ac:dyDescent="0.25"/>
    <row r="5188" ht="16.5" customHeight="1" x14ac:dyDescent="0.25"/>
    <row r="5189" ht="16.5" customHeight="1" x14ac:dyDescent="0.25"/>
    <row r="5190" ht="16.5" customHeight="1" x14ac:dyDescent="0.25"/>
    <row r="5191" ht="16.5" customHeight="1" x14ac:dyDescent="0.25"/>
    <row r="5192" ht="16.5" customHeight="1" x14ac:dyDescent="0.25"/>
    <row r="5193" ht="16.5" customHeight="1" x14ac:dyDescent="0.25"/>
    <row r="5194" ht="16.5" customHeight="1" x14ac:dyDescent="0.25"/>
    <row r="5195" ht="16.5" customHeight="1" x14ac:dyDescent="0.25"/>
    <row r="5196" ht="16.5" customHeight="1" x14ac:dyDescent="0.25"/>
    <row r="5197" ht="16.5" customHeight="1" x14ac:dyDescent="0.25"/>
    <row r="5198" ht="16.5" customHeight="1" x14ac:dyDescent="0.25"/>
    <row r="5199" ht="16.5" customHeight="1" x14ac:dyDescent="0.25"/>
    <row r="5200" ht="16.5" customHeight="1" x14ac:dyDescent="0.25"/>
    <row r="5201" ht="16.5" customHeight="1" x14ac:dyDescent="0.25"/>
    <row r="5202" ht="16.5" customHeight="1" x14ac:dyDescent="0.25"/>
    <row r="5203" ht="16.5" customHeight="1" x14ac:dyDescent="0.25"/>
    <row r="5204" ht="16.5" customHeight="1" x14ac:dyDescent="0.25"/>
    <row r="5205" ht="16.5" customHeight="1" x14ac:dyDescent="0.25"/>
    <row r="5206" ht="16.5" customHeight="1" x14ac:dyDescent="0.25"/>
    <row r="5207" ht="16.5" customHeight="1" x14ac:dyDescent="0.25"/>
    <row r="5208" ht="16.5" customHeight="1" x14ac:dyDescent="0.25"/>
    <row r="5209" ht="16.5" customHeight="1" x14ac:dyDescent="0.25"/>
    <row r="5210" ht="16.5" customHeight="1" x14ac:dyDescent="0.25"/>
    <row r="5211" ht="16.5" customHeight="1" x14ac:dyDescent="0.25"/>
    <row r="5212" ht="16.5" customHeight="1" x14ac:dyDescent="0.25"/>
    <row r="5213" ht="16.5" customHeight="1" x14ac:dyDescent="0.25"/>
    <row r="5214" ht="16.5" customHeight="1" x14ac:dyDescent="0.25"/>
    <row r="5215" ht="16.5" customHeight="1" x14ac:dyDescent="0.25"/>
    <row r="5216" ht="16.5" customHeight="1" x14ac:dyDescent="0.25"/>
    <row r="5217" ht="16.5" customHeight="1" x14ac:dyDescent="0.25"/>
    <row r="5218" ht="16.5" customHeight="1" x14ac:dyDescent="0.25"/>
    <row r="5219" ht="16.5" customHeight="1" x14ac:dyDescent="0.25"/>
    <row r="5220" ht="16.5" customHeight="1" x14ac:dyDescent="0.25"/>
    <row r="5221" ht="16.5" customHeight="1" x14ac:dyDescent="0.25"/>
    <row r="5222" ht="16.5" customHeight="1" x14ac:dyDescent="0.25"/>
    <row r="5223" ht="16.5" customHeight="1" x14ac:dyDescent="0.25"/>
    <row r="5224" ht="16.5" customHeight="1" x14ac:dyDescent="0.25"/>
    <row r="5225" ht="16.5" customHeight="1" x14ac:dyDescent="0.25"/>
    <row r="5226" ht="16.5" customHeight="1" x14ac:dyDescent="0.25"/>
    <row r="5227" ht="16.5" customHeight="1" x14ac:dyDescent="0.25"/>
    <row r="5228" ht="16.5" customHeight="1" x14ac:dyDescent="0.25"/>
    <row r="5229" ht="16.5" customHeight="1" x14ac:dyDescent="0.25"/>
    <row r="5230" ht="16.5" customHeight="1" x14ac:dyDescent="0.25"/>
    <row r="5231" ht="16.5" customHeight="1" x14ac:dyDescent="0.25"/>
    <row r="5232" ht="16.5" customHeight="1" x14ac:dyDescent="0.25"/>
    <row r="5233" ht="16.5" customHeight="1" x14ac:dyDescent="0.25"/>
    <row r="5234" ht="16.5" customHeight="1" x14ac:dyDescent="0.25"/>
    <row r="5235" ht="16.5" customHeight="1" x14ac:dyDescent="0.25"/>
    <row r="5236" ht="16.5" customHeight="1" x14ac:dyDescent="0.25"/>
    <row r="5237" ht="16.5" customHeight="1" x14ac:dyDescent="0.25"/>
    <row r="5238" ht="16.5" customHeight="1" x14ac:dyDescent="0.25"/>
    <row r="5239" ht="16.5" customHeight="1" x14ac:dyDescent="0.25"/>
    <row r="5240" ht="16.5" customHeight="1" x14ac:dyDescent="0.25"/>
    <row r="5241" ht="16.5" customHeight="1" x14ac:dyDescent="0.25"/>
    <row r="5242" ht="16.5" customHeight="1" x14ac:dyDescent="0.25"/>
    <row r="5243" ht="16.5" customHeight="1" x14ac:dyDescent="0.25"/>
    <row r="5244" ht="16.5" customHeight="1" x14ac:dyDescent="0.25"/>
    <row r="5245" ht="16.5" customHeight="1" x14ac:dyDescent="0.25"/>
    <row r="5246" ht="16.5" customHeight="1" x14ac:dyDescent="0.25"/>
    <row r="5247" ht="16.5" customHeight="1" x14ac:dyDescent="0.25"/>
    <row r="5248" ht="16.5" customHeight="1" x14ac:dyDescent="0.25"/>
    <row r="5249" ht="16.5" customHeight="1" x14ac:dyDescent="0.25"/>
    <row r="5250" ht="16.5" customHeight="1" x14ac:dyDescent="0.25"/>
    <row r="5251" ht="16.5" customHeight="1" x14ac:dyDescent="0.25"/>
    <row r="5252" ht="16.5" customHeight="1" x14ac:dyDescent="0.25"/>
    <row r="5253" ht="16.5" customHeight="1" x14ac:dyDescent="0.25"/>
    <row r="5254" ht="16.5" customHeight="1" x14ac:dyDescent="0.25"/>
    <row r="5255" ht="16.5" customHeight="1" x14ac:dyDescent="0.25"/>
    <row r="5256" ht="16.5" customHeight="1" x14ac:dyDescent="0.25"/>
    <row r="5257" ht="16.5" customHeight="1" x14ac:dyDescent="0.25"/>
    <row r="5258" ht="16.5" customHeight="1" x14ac:dyDescent="0.25"/>
    <row r="5259" ht="16.5" customHeight="1" x14ac:dyDescent="0.25"/>
    <row r="5260" ht="16.5" customHeight="1" x14ac:dyDescent="0.25"/>
    <row r="5261" ht="16.5" customHeight="1" x14ac:dyDescent="0.25"/>
    <row r="5262" ht="16.5" customHeight="1" x14ac:dyDescent="0.25"/>
    <row r="5263" ht="16.5" customHeight="1" x14ac:dyDescent="0.25"/>
    <row r="5264" ht="16.5" customHeight="1" x14ac:dyDescent="0.25"/>
    <row r="5265" ht="16.5" customHeight="1" x14ac:dyDescent="0.25"/>
    <row r="5266" ht="16.5" customHeight="1" x14ac:dyDescent="0.25"/>
    <row r="5267" ht="16.5" customHeight="1" x14ac:dyDescent="0.25"/>
    <row r="5268" ht="16.5" customHeight="1" x14ac:dyDescent="0.25"/>
    <row r="5269" ht="16.5" customHeight="1" x14ac:dyDescent="0.25"/>
    <row r="5270" ht="16.5" customHeight="1" x14ac:dyDescent="0.25"/>
    <row r="5271" ht="16.5" customHeight="1" x14ac:dyDescent="0.25"/>
    <row r="5272" ht="16.5" customHeight="1" x14ac:dyDescent="0.25"/>
    <row r="5273" ht="16.5" customHeight="1" x14ac:dyDescent="0.25"/>
    <row r="5274" ht="16.5" customHeight="1" x14ac:dyDescent="0.25"/>
    <row r="5275" ht="16.5" customHeight="1" x14ac:dyDescent="0.25"/>
    <row r="5276" ht="16.5" customHeight="1" x14ac:dyDescent="0.25"/>
    <row r="5277" ht="16.5" customHeight="1" x14ac:dyDescent="0.25"/>
    <row r="5278" ht="16.5" customHeight="1" x14ac:dyDescent="0.25"/>
    <row r="5279" ht="16.5" customHeight="1" x14ac:dyDescent="0.25"/>
    <row r="5280" ht="16.5" customHeight="1" x14ac:dyDescent="0.25"/>
    <row r="5281" ht="16.5" customHeight="1" x14ac:dyDescent="0.25"/>
    <row r="5282" ht="16.5" customHeight="1" x14ac:dyDescent="0.25"/>
    <row r="5283" ht="16.5" customHeight="1" x14ac:dyDescent="0.25"/>
    <row r="5284" ht="16.5" customHeight="1" x14ac:dyDescent="0.25"/>
    <row r="5285" ht="16.5" customHeight="1" x14ac:dyDescent="0.25"/>
    <row r="5286" ht="16.5" customHeight="1" x14ac:dyDescent="0.25"/>
    <row r="5287" ht="16.5" customHeight="1" x14ac:dyDescent="0.25"/>
    <row r="5288" ht="16.5" customHeight="1" x14ac:dyDescent="0.25"/>
    <row r="5289" ht="16.5" customHeight="1" x14ac:dyDescent="0.25"/>
    <row r="5290" ht="16.5" customHeight="1" x14ac:dyDescent="0.25"/>
    <row r="5291" ht="16.5" customHeight="1" x14ac:dyDescent="0.25"/>
    <row r="5292" ht="16.5" customHeight="1" x14ac:dyDescent="0.25"/>
    <row r="5293" ht="16.5" customHeight="1" x14ac:dyDescent="0.25"/>
    <row r="5294" ht="16.5" customHeight="1" x14ac:dyDescent="0.25"/>
    <row r="5295" ht="16.5" customHeight="1" x14ac:dyDescent="0.25"/>
    <row r="5296" ht="16.5" customHeight="1" x14ac:dyDescent="0.25"/>
    <row r="5297" ht="16.5" customHeight="1" x14ac:dyDescent="0.25"/>
    <row r="5298" ht="16.5" customHeight="1" x14ac:dyDescent="0.25"/>
    <row r="5299" ht="16.5" customHeight="1" x14ac:dyDescent="0.25"/>
    <row r="5300" ht="16.5" customHeight="1" x14ac:dyDescent="0.25"/>
    <row r="5301" ht="16.5" customHeight="1" x14ac:dyDescent="0.25"/>
    <row r="5302" ht="16.5" customHeight="1" x14ac:dyDescent="0.25"/>
    <row r="5303" ht="16.5" customHeight="1" x14ac:dyDescent="0.25"/>
    <row r="5304" ht="16.5" customHeight="1" x14ac:dyDescent="0.25"/>
    <row r="5305" ht="16.5" customHeight="1" x14ac:dyDescent="0.25"/>
    <row r="5306" ht="16.5" customHeight="1" x14ac:dyDescent="0.25"/>
    <row r="5307" ht="16.5" customHeight="1" x14ac:dyDescent="0.25"/>
    <row r="5308" ht="16.5" customHeight="1" x14ac:dyDescent="0.25"/>
    <row r="5309" ht="16.5" customHeight="1" x14ac:dyDescent="0.25"/>
    <row r="5310" ht="16.5" customHeight="1" x14ac:dyDescent="0.25"/>
    <row r="5311" ht="16.5" customHeight="1" x14ac:dyDescent="0.25"/>
    <row r="5312" ht="16.5" customHeight="1" x14ac:dyDescent="0.25"/>
    <row r="5313" ht="16.5" customHeight="1" x14ac:dyDescent="0.25"/>
    <row r="5314" ht="16.5" customHeight="1" x14ac:dyDescent="0.25"/>
    <row r="5315" ht="16.5" customHeight="1" x14ac:dyDescent="0.25"/>
    <row r="5316" ht="16.5" customHeight="1" x14ac:dyDescent="0.25"/>
    <row r="5317" ht="16.5" customHeight="1" x14ac:dyDescent="0.25"/>
    <row r="5318" ht="16.5" customHeight="1" x14ac:dyDescent="0.25"/>
    <row r="5319" ht="16.5" customHeight="1" x14ac:dyDescent="0.25"/>
    <row r="5320" ht="16.5" customHeight="1" x14ac:dyDescent="0.25"/>
    <row r="5321" ht="16.5" customHeight="1" x14ac:dyDescent="0.25"/>
    <row r="5322" ht="16.5" customHeight="1" x14ac:dyDescent="0.25"/>
    <row r="5323" ht="16.5" customHeight="1" x14ac:dyDescent="0.25"/>
    <row r="5324" ht="16.5" customHeight="1" x14ac:dyDescent="0.25"/>
    <row r="5325" ht="16.5" customHeight="1" x14ac:dyDescent="0.25"/>
    <row r="5326" ht="16.5" customHeight="1" x14ac:dyDescent="0.25"/>
    <row r="5327" ht="16.5" customHeight="1" x14ac:dyDescent="0.25"/>
    <row r="5328" ht="16.5" customHeight="1" x14ac:dyDescent="0.25"/>
    <row r="5329" ht="16.5" customHeight="1" x14ac:dyDescent="0.25"/>
    <row r="5330" ht="16.5" customHeight="1" x14ac:dyDescent="0.25"/>
    <row r="5331" ht="16.5" customHeight="1" x14ac:dyDescent="0.25"/>
    <row r="5332" ht="16.5" customHeight="1" x14ac:dyDescent="0.25"/>
    <row r="5333" ht="16.5" customHeight="1" x14ac:dyDescent="0.25"/>
    <row r="5334" ht="16.5" customHeight="1" x14ac:dyDescent="0.25"/>
    <row r="5335" ht="16.5" customHeight="1" x14ac:dyDescent="0.25"/>
    <row r="5336" ht="16.5" customHeight="1" x14ac:dyDescent="0.25"/>
    <row r="5337" ht="16.5" customHeight="1" x14ac:dyDescent="0.25"/>
    <row r="5338" ht="16.5" customHeight="1" x14ac:dyDescent="0.25"/>
    <row r="5339" ht="16.5" customHeight="1" x14ac:dyDescent="0.25"/>
    <row r="5340" ht="16.5" customHeight="1" x14ac:dyDescent="0.25"/>
    <row r="5341" ht="16.5" customHeight="1" x14ac:dyDescent="0.25"/>
    <row r="5342" ht="16.5" customHeight="1" x14ac:dyDescent="0.25"/>
    <row r="5343" ht="16.5" customHeight="1" x14ac:dyDescent="0.25"/>
    <row r="5344" ht="16.5" customHeight="1" x14ac:dyDescent="0.25"/>
    <row r="5345" ht="16.5" customHeight="1" x14ac:dyDescent="0.25"/>
    <row r="5346" ht="16.5" customHeight="1" x14ac:dyDescent="0.25"/>
    <row r="5347" ht="16.5" customHeight="1" x14ac:dyDescent="0.25"/>
    <row r="5348" ht="16.5" customHeight="1" x14ac:dyDescent="0.25"/>
    <row r="5349" ht="16.5" customHeight="1" x14ac:dyDescent="0.25"/>
    <row r="5350" ht="16.5" customHeight="1" x14ac:dyDescent="0.25"/>
    <row r="5351" ht="16.5" customHeight="1" x14ac:dyDescent="0.25"/>
    <row r="5352" ht="16.5" customHeight="1" x14ac:dyDescent="0.25"/>
    <row r="5353" ht="16.5" customHeight="1" x14ac:dyDescent="0.25"/>
    <row r="5354" ht="16.5" customHeight="1" x14ac:dyDescent="0.25"/>
    <row r="5355" ht="16.5" customHeight="1" x14ac:dyDescent="0.25"/>
    <row r="5356" ht="16.5" customHeight="1" x14ac:dyDescent="0.25"/>
    <row r="5357" ht="16.5" customHeight="1" x14ac:dyDescent="0.25"/>
    <row r="5358" ht="16.5" customHeight="1" x14ac:dyDescent="0.25"/>
    <row r="5359" ht="16.5" customHeight="1" x14ac:dyDescent="0.25"/>
    <row r="5360" ht="16.5" customHeight="1" x14ac:dyDescent="0.25"/>
    <row r="5361" ht="16.5" customHeight="1" x14ac:dyDescent="0.25"/>
    <row r="5362" ht="16.5" customHeight="1" x14ac:dyDescent="0.25"/>
    <row r="5363" ht="16.5" customHeight="1" x14ac:dyDescent="0.25"/>
    <row r="5364" ht="16.5" customHeight="1" x14ac:dyDescent="0.25"/>
    <row r="5365" ht="16.5" customHeight="1" x14ac:dyDescent="0.25"/>
    <row r="5366" ht="16.5" customHeight="1" x14ac:dyDescent="0.25"/>
    <row r="5367" ht="16.5" customHeight="1" x14ac:dyDescent="0.25"/>
    <row r="5368" ht="16.5" customHeight="1" x14ac:dyDescent="0.25"/>
    <row r="5369" ht="16.5" customHeight="1" x14ac:dyDescent="0.25"/>
    <row r="5370" ht="16.5" customHeight="1" x14ac:dyDescent="0.25"/>
    <row r="5371" ht="16.5" customHeight="1" x14ac:dyDescent="0.25"/>
    <row r="5372" ht="16.5" customHeight="1" x14ac:dyDescent="0.25"/>
    <row r="5373" ht="16.5" customHeight="1" x14ac:dyDescent="0.25"/>
    <row r="5374" ht="16.5" customHeight="1" x14ac:dyDescent="0.25"/>
    <row r="5375" ht="16.5" customHeight="1" x14ac:dyDescent="0.25"/>
    <row r="5376" ht="16.5" customHeight="1" x14ac:dyDescent="0.25"/>
    <row r="5377" ht="16.5" customHeight="1" x14ac:dyDescent="0.25"/>
    <row r="5378" ht="16.5" customHeight="1" x14ac:dyDescent="0.25"/>
    <row r="5379" ht="16.5" customHeight="1" x14ac:dyDescent="0.25"/>
    <row r="5380" ht="16.5" customHeight="1" x14ac:dyDescent="0.25"/>
    <row r="5381" ht="16.5" customHeight="1" x14ac:dyDescent="0.25"/>
    <row r="5382" ht="16.5" customHeight="1" x14ac:dyDescent="0.25"/>
    <row r="5383" ht="16.5" customHeight="1" x14ac:dyDescent="0.25"/>
    <row r="5384" ht="16.5" customHeight="1" x14ac:dyDescent="0.25"/>
    <row r="5385" ht="16.5" customHeight="1" x14ac:dyDescent="0.25"/>
    <row r="5386" ht="16.5" customHeight="1" x14ac:dyDescent="0.25"/>
    <row r="5387" ht="16.5" customHeight="1" x14ac:dyDescent="0.25"/>
    <row r="5388" ht="16.5" customHeight="1" x14ac:dyDescent="0.25"/>
    <row r="5389" ht="16.5" customHeight="1" x14ac:dyDescent="0.25"/>
    <row r="5390" ht="16.5" customHeight="1" x14ac:dyDescent="0.25"/>
    <row r="5391" ht="16.5" customHeight="1" x14ac:dyDescent="0.25"/>
    <row r="5392" ht="16.5" customHeight="1" x14ac:dyDescent="0.25"/>
    <row r="5393" ht="16.5" customHeight="1" x14ac:dyDescent="0.25"/>
    <row r="5394" ht="16.5" customHeight="1" x14ac:dyDescent="0.25"/>
    <row r="5395" ht="16.5" customHeight="1" x14ac:dyDescent="0.25"/>
    <row r="5396" ht="16.5" customHeight="1" x14ac:dyDescent="0.25"/>
    <row r="5397" ht="16.5" customHeight="1" x14ac:dyDescent="0.25"/>
    <row r="5398" ht="16.5" customHeight="1" x14ac:dyDescent="0.25"/>
    <row r="5399" ht="16.5" customHeight="1" x14ac:dyDescent="0.25"/>
    <row r="5400" ht="16.5" customHeight="1" x14ac:dyDescent="0.25"/>
    <row r="5401" ht="16.5" customHeight="1" x14ac:dyDescent="0.25"/>
    <row r="5402" ht="16.5" customHeight="1" x14ac:dyDescent="0.25"/>
    <row r="5403" ht="16.5" customHeight="1" x14ac:dyDescent="0.25"/>
    <row r="5404" ht="16.5" customHeight="1" x14ac:dyDescent="0.25"/>
    <row r="5405" ht="16.5" customHeight="1" x14ac:dyDescent="0.25"/>
    <row r="5406" ht="16.5" customHeight="1" x14ac:dyDescent="0.25"/>
    <row r="5407" ht="16.5" customHeight="1" x14ac:dyDescent="0.25"/>
    <row r="5408" ht="16.5" customHeight="1" x14ac:dyDescent="0.25"/>
    <row r="5409" ht="16.5" customHeight="1" x14ac:dyDescent="0.25"/>
    <row r="5410" ht="16.5" customHeight="1" x14ac:dyDescent="0.25"/>
    <row r="5411" ht="16.5" customHeight="1" x14ac:dyDescent="0.25"/>
    <row r="5412" ht="16.5" customHeight="1" x14ac:dyDescent="0.25"/>
    <row r="5413" ht="16.5" customHeight="1" x14ac:dyDescent="0.25"/>
    <row r="5414" ht="16.5" customHeight="1" x14ac:dyDescent="0.25"/>
    <row r="5415" ht="16.5" customHeight="1" x14ac:dyDescent="0.25"/>
    <row r="5416" ht="16.5" customHeight="1" x14ac:dyDescent="0.25"/>
    <row r="5417" ht="16.5" customHeight="1" x14ac:dyDescent="0.25"/>
    <row r="5418" ht="16.5" customHeight="1" x14ac:dyDescent="0.25"/>
    <row r="5419" ht="16.5" customHeight="1" x14ac:dyDescent="0.25"/>
    <row r="5420" ht="16.5" customHeight="1" x14ac:dyDescent="0.25"/>
    <row r="5421" ht="16.5" customHeight="1" x14ac:dyDescent="0.25"/>
    <row r="5422" ht="16.5" customHeight="1" x14ac:dyDescent="0.25"/>
    <row r="5423" ht="16.5" customHeight="1" x14ac:dyDescent="0.25"/>
    <row r="5424" ht="16.5" customHeight="1" x14ac:dyDescent="0.25"/>
    <row r="5425" ht="16.5" customHeight="1" x14ac:dyDescent="0.25"/>
    <row r="5426" ht="16.5" customHeight="1" x14ac:dyDescent="0.25"/>
    <row r="5427" ht="16.5" customHeight="1" x14ac:dyDescent="0.25"/>
    <row r="5428" ht="16.5" customHeight="1" x14ac:dyDescent="0.25"/>
    <row r="5429" ht="16.5" customHeight="1" x14ac:dyDescent="0.25"/>
    <row r="5430" ht="16.5" customHeight="1" x14ac:dyDescent="0.25"/>
    <row r="5431" ht="16.5" customHeight="1" x14ac:dyDescent="0.25"/>
    <row r="5432" ht="16.5" customHeight="1" x14ac:dyDescent="0.25"/>
    <row r="5433" ht="16.5" customHeight="1" x14ac:dyDescent="0.25"/>
    <row r="5434" ht="16.5" customHeight="1" x14ac:dyDescent="0.25"/>
    <row r="5435" ht="16.5" customHeight="1" x14ac:dyDescent="0.25"/>
    <row r="5436" ht="16.5" customHeight="1" x14ac:dyDescent="0.25"/>
    <row r="5437" ht="16.5" customHeight="1" x14ac:dyDescent="0.25"/>
    <row r="5438" ht="16.5" customHeight="1" x14ac:dyDescent="0.25"/>
    <row r="5439" ht="16.5" customHeight="1" x14ac:dyDescent="0.25"/>
    <row r="5440" ht="16.5" customHeight="1" x14ac:dyDescent="0.25"/>
    <row r="5441" ht="16.5" customHeight="1" x14ac:dyDescent="0.25"/>
    <row r="5442" ht="16.5" customHeight="1" x14ac:dyDescent="0.25"/>
    <row r="5443" ht="16.5" customHeight="1" x14ac:dyDescent="0.25"/>
    <row r="5444" ht="16.5" customHeight="1" x14ac:dyDescent="0.25"/>
    <row r="5445" ht="16.5" customHeight="1" x14ac:dyDescent="0.25"/>
    <row r="5446" ht="16.5" customHeight="1" x14ac:dyDescent="0.25"/>
    <row r="5447" ht="16.5" customHeight="1" x14ac:dyDescent="0.25"/>
    <row r="5448" ht="16.5" customHeight="1" x14ac:dyDescent="0.25"/>
    <row r="5449" ht="16.5" customHeight="1" x14ac:dyDescent="0.25"/>
    <row r="5450" ht="16.5" customHeight="1" x14ac:dyDescent="0.25"/>
    <row r="5451" ht="16.5" customHeight="1" x14ac:dyDescent="0.25"/>
    <row r="5452" ht="16.5" customHeight="1" x14ac:dyDescent="0.25"/>
    <row r="5453" ht="16.5" customHeight="1" x14ac:dyDescent="0.25"/>
    <row r="5454" ht="16.5" customHeight="1" x14ac:dyDescent="0.25"/>
    <row r="5455" ht="16.5" customHeight="1" x14ac:dyDescent="0.25"/>
    <row r="5456" ht="16.5" customHeight="1" x14ac:dyDescent="0.25"/>
    <row r="5457" ht="16.5" customHeight="1" x14ac:dyDescent="0.25"/>
    <row r="5458" ht="16.5" customHeight="1" x14ac:dyDescent="0.25"/>
    <row r="5459" ht="16.5" customHeight="1" x14ac:dyDescent="0.25"/>
    <row r="5460" ht="16.5" customHeight="1" x14ac:dyDescent="0.25"/>
    <row r="5461" ht="16.5" customHeight="1" x14ac:dyDescent="0.25"/>
    <row r="5462" ht="16.5" customHeight="1" x14ac:dyDescent="0.25"/>
    <row r="5463" ht="16.5" customHeight="1" x14ac:dyDescent="0.25"/>
    <row r="5464" ht="16.5" customHeight="1" x14ac:dyDescent="0.25"/>
    <row r="5465" ht="16.5" customHeight="1" x14ac:dyDescent="0.25"/>
    <row r="5466" ht="16.5" customHeight="1" x14ac:dyDescent="0.25"/>
    <row r="5467" ht="16.5" customHeight="1" x14ac:dyDescent="0.25"/>
    <row r="5468" ht="16.5" customHeight="1" x14ac:dyDescent="0.25"/>
    <row r="5469" ht="16.5" customHeight="1" x14ac:dyDescent="0.25"/>
    <row r="5470" ht="16.5" customHeight="1" x14ac:dyDescent="0.25"/>
    <row r="5471" ht="16.5" customHeight="1" x14ac:dyDescent="0.25"/>
    <row r="5472" ht="16.5" customHeight="1" x14ac:dyDescent="0.25"/>
    <row r="5473" ht="16.5" customHeight="1" x14ac:dyDescent="0.25"/>
    <row r="5474" ht="16.5" customHeight="1" x14ac:dyDescent="0.25"/>
    <row r="5475" ht="16.5" customHeight="1" x14ac:dyDescent="0.25"/>
    <row r="5476" ht="16.5" customHeight="1" x14ac:dyDescent="0.25"/>
    <row r="5477" ht="16.5" customHeight="1" x14ac:dyDescent="0.25"/>
    <row r="5478" ht="16.5" customHeight="1" x14ac:dyDescent="0.25"/>
    <row r="5479" ht="16.5" customHeight="1" x14ac:dyDescent="0.25"/>
    <row r="5480" ht="16.5" customHeight="1" x14ac:dyDescent="0.25"/>
    <row r="5481" ht="16.5" customHeight="1" x14ac:dyDescent="0.25"/>
    <row r="5482" ht="16.5" customHeight="1" x14ac:dyDescent="0.25"/>
    <row r="5483" ht="16.5" customHeight="1" x14ac:dyDescent="0.25"/>
    <row r="5484" ht="16.5" customHeight="1" x14ac:dyDescent="0.25"/>
    <row r="5485" ht="16.5" customHeight="1" x14ac:dyDescent="0.25"/>
    <row r="5486" ht="16.5" customHeight="1" x14ac:dyDescent="0.25"/>
    <row r="5487" ht="16.5" customHeight="1" x14ac:dyDescent="0.25"/>
    <row r="5488" ht="16.5" customHeight="1" x14ac:dyDescent="0.25"/>
    <row r="5489" ht="16.5" customHeight="1" x14ac:dyDescent="0.25"/>
    <row r="5490" ht="16.5" customHeight="1" x14ac:dyDescent="0.25"/>
    <row r="5491" ht="16.5" customHeight="1" x14ac:dyDescent="0.25"/>
    <row r="5492" ht="16.5" customHeight="1" x14ac:dyDescent="0.25"/>
    <row r="5493" ht="16.5" customHeight="1" x14ac:dyDescent="0.25"/>
    <row r="5494" ht="16.5" customHeight="1" x14ac:dyDescent="0.25"/>
    <row r="5495" ht="16.5" customHeight="1" x14ac:dyDescent="0.25"/>
    <row r="5496" ht="16.5" customHeight="1" x14ac:dyDescent="0.25"/>
    <row r="5497" ht="16.5" customHeight="1" x14ac:dyDescent="0.25"/>
    <row r="5498" ht="16.5" customHeight="1" x14ac:dyDescent="0.25"/>
    <row r="5499" ht="16.5" customHeight="1" x14ac:dyDescent="0.25"/>
    <row r="5500" ht="16.5" customHeight="1" x14ac:dyDescent="0.25"/>
    <row r="5501" ht="16.5" customHeight="1" x14ac:dyDescent="0.25"/>
    <row r="5502" ht="16.5" customHeight="1" x14ac:dyDescent="0.25"/>
    <row r="5503" ht="16.5" customHeight="1" x14ac:dyDescent="0.25"/>
    <row r="5504" ht="16.5" customHeight="1" x14ac:dyDescent="0.25"/>
    <row r="5505" ht="16.5" customHeight="1" x14ac:dyDescent="0.25"/>
    <row r="5506" ht="16.5" customHeight="1" x14ac:dyDescent="0.25"/>
    <row r="5507" ht="16.5" customHeight="1" x14ac:dyDescent="0.25"/>
    <row r="5508" ht="16.5" customHeight="1" x14ac:dyDescent="0.25"/>
    <row r="5509" ht="16.5" customHeight="1" x14ac:dyDescent="0.25"/>
    <row r="5510" ht="16.5" customHeight="1" x14ac:dyDescent="0.25"/>
    <row r="5511" ht="16.5" customHeight="1" x14ac:dyDescent="0.25"/>
    <row r="5512" ht="16.5" customHeight="1" x14ac:dyDescent="0.25"/>
    <row r="5513" ht="16.5" customHeight="1" x14ac:dyDescent="0.25"/>
    <row r="5514" ht="16.5" customHeight="1" x14ac:dyDescent="0.25"/>
    <row r="5515" ht="16.5" customHeight="1" x14ac:dyDescent="0.25"/>
    <row r="5516" ht="16.5" customHeight="1" x14ac:dyDescent="0.25"/>
    <row r="5517" ht="16.5" customHeight="1" x14ac:dyDescent="0.25"/>
    <row r="5518" ht="16.5" customHeight="1" x14ac:dyDescent="0.25"/>
    <row r="5519" ht="16.5" customHeight="1" x14ac:dyDescent="0.25"/>
    <row r="5520" ht="16.5" customHeight="1" x14ac:dyDescent="0.25"/>
    <row r="5521" ht="16.5" customHeight="1" x14ac:dyDescent="0.25"/>
    <row r="5522" ht="16.5" customHeight="1" x14ac:dyDescent="0.25"/>
    <row r="5523" ht="16.5" customHeight="1" x14ac:dyDescent="0.25"/>
    <row r="5524" ht="16.5" customHeight="1" x14ac:dyDescent="0.25"/>
    <row r="5525" ht="16.5" customHeight="1" x14ac:dyDescent="0.25"/>
    <row r="5526" ht="16.5" customHeight="1" x14ac:dyDescent="0.25"/>
    <row r="5527" ht="16.5" customHeight="1" x14ac:dyDescent="0.25"/>
    <row r="5528" ht="16.5" customHeight="1" x14ac:dyDescent="0.25"/>
    <row r="5529" ht="16.5" customHeight="1" x14ac:dyDescent="0.25"/>
    <row r="5530" ht="16.5" customHeight="1" x14ac:dyDescent="0.25"/>
    <row r="5531" ht="16.5" customHeight="1" x14ac:dyDescent="0.25"/>
    <row r="5532" ht="16.5" customHeight="1" x14ac:dyDescent="0.25"/>
    <row r="5533" ht="16.5" customHeight="1" x14ac:dyDescent="0.25"/>
    <row r="5534" ht="16.5" customHeight="1" x14ac:dyDescent="0.25"/>
    <row r="5535" ht="16.5" customHeight="1" x14ac:dyDescent="0.25"/>
    <row r="5536" ht="16.5" customHeight="1" x14ac:dyDescent="0.25"/>
    <row r="5537" ht="16.5" customHeight="1" x14ac:dyDescent="0.25"/>
    <row r="5538" ht="16.5" customHeight="1" x14ac:dyDescent="0.25"/>
    <row r="5539" ht="16.5" customHeight="1" x14ac:dyDescent="0.25"/>
    <row r="5540" ht="16.5" customHeight="1" x14ac:dyDescent="0.25"/>
    <row r="5541" ht="16.5" customHeight="1" x14ac:dyDescent="0.25"/>
    <row r="5542" ht="16.5" customHeight="1" x14ac:dyDescent="0.25"/>
    <row r="5543" ht="16.5" customHeight="1" x14ac:dyDescent="0.25"/>
    <row r="5544" ht="16.5" customHeight="1" x14ac:dyDescent="0.25"/>
    <row r="5545" ht="16.5" customHeight="1" x14ac:dyDescent="0.25"/>
    <row r="5546" ht="16.5" customHeight="1" x14ac:dyDescent="0.25"/>
    <row r="5547" ht="16.5" customHeight="1" x14ac:dyDescent="0.25"/>
    <row r="5548" ht="16.5" customHeight="1" x14ac:dyDescent="0.25"/>
    <row r="5549" ht="16.5" customHeight="1" x14ac:dyDescent="0.25"/>
    <row r="5550" ht="16.5" customHeight="1" x14ac:dyDescent="0.25"/>
    <row r="5551" ht="16.5" customHeight="1" x14ac:dyDescent="0.25"/>
    <row r="5552" ht="16.5" customHeight="1" x14ac:dyDescent="0.25"/>
    <row r="5553" ht="16.5" customHeight="1" x14ac:dyDescent="0.25"/>
    <row r="5554" ht="16.5" customHeight="1" x14ac:dyDescent="0.25"/>
    <row r="5555" ht="16.5" customHeight="1" x14ac:dyDescent="0.25"/>
    <row r="5556" ht="16.5" customHeight="1" x14ac:dyDescent="0.25"/>
    <row r="5557" ht="16.5" customHeight="1" x14ac:dyDescent="0.25"/>
    <row r="5558" ht="16.5" customHeight="1" x14ac:dyDescent="0.25"/>
    <row r="5559" ht="16.5" customHeight="1" x14ac:dyDescent="0.25"/>
    <row r="5560" ht="16.5" customHeight="1" x14ac:dyDescent="0.25"/>
    <row r="5561" ht="16.5" customHeight="1" x14ac:dyDescent="0.25"/>
    <row r="5562" ht="16.5" customHeight="1" x14ac:dyDescent="0.25"/>
    <row r="5563" ht="16.5" customHeight="1" x14ac:dyDescent="0.25"/>
    <row r="5564" ht="16.5" customHeight="1" x14ac:dyDescent="0.25"/>
    <row r="5565" ht="16.5" customHeight="1" x14ac:dyDescent="0.25"/>
    <row r="5566" ht="16.5" customHeight="1" x14ac:dyDescent="0.25"/>
    <row r="5567" ht="16.5" customHeight="1" x14ac:dyDescent="0.25"/>
    <row r="5568" ht="16.5" customHeight="1" x14ac:dyDescent="0.25"/>
    <row r="5569" ht="16.5" customHeight="1" x14ac:dyDescent="0.25"/>
    <row r="5570" ht="16.5" customHeight="1" x14ac:dyDescent="0.25"/>
    <row r="5571" ht="16.5" customHeight="1" x14ac:dyDescent="0.25"/>
    <row r="5572" ht="16.5" customHeight="1" x14ac:dyDescent="0.25"/>
    <row r="5573" ht="16.5" customHeight="1" x14ac:dyDescent="0.25"/>
    <row r="5574" ht="16.5" customHeight="1" x14ac:dyDescent="0.25"/>
    <row r="5575" ht="16.5" customHeight="1" x14ac:dyDescent="0.25"/>
    <row r="5576" ht="16.5" customHeight="1" x14ac:dyDescent="0.25"/>
    <row r="5577" ht="16.5" customHeight="1" x14ac:dyDescent="0.25"/>
    <row r="5578" ht="16.5" customHeight="1" x14ac:dyDescent="0.25"/>
    <row r="5579" ht="16.5" customHeight="1" x14ac:dyDescent="0.25"/>
    <row r="5580" ht="16.5" customHeight="1" x14ac:dyDescent="0.25"/>
    <row r="5581" ht="16.5" customHeight="1" x14ac:dyDescent="0.25"/>
    <row r="5582" ht="16.5" customHeight="1" x14ac:dyDescent="0.25"/>
    <row r="5583" ht="16.5" customHeight="1" x14ac:dyDescent="0.25"/>
    <row r="5584" ht="16.5" customHeight="1" x14ac:dyDescent="0.25"/>
    <row r="5585" ht="16.5" customHeight="1" x14ac:dyDescent="0.25"/>
    <row r="5586" ht="16.5" customHeight="1" x14ac:dyDescent="0.25"/>
    <row r="5587" ht="16.5" customHeight="1" x14ac:dyDescent="0.25"/>
    <row r="5588" ht="16.5" customHeight="1" x14ac:dyDescent="0.25"/>
    <row r="5589" ht="16.5" customHeight="1" x14ac:dyDescent="0.25"/>
    <row r="5590" ht="16.5" customHeight="1" x14ac:dyDescent="0.25"/>
    <row r="5591" ht="16.5" customHeight="1" x14ac:dyDescent="0.25"/>
    <row r="5592" ht="16.5" customHeight="1" x14ac:dyDescent="0.25"/>
    <row r="5593" ht="16.5" customHeight="1" x14ac:dyDescent="0.25"/>
    <row r="5594" ht="16.5" customHeight="1" x14ac:dyDescent="0.25"/>
    <row r="5595" ht="16.5" customHeight="1" x14ac:dyDescent="0.25"/>
    <row r="5596" ht="16.5" customHeight="1" x14ac:dyDescent="0.25"/>
    <row r="5597" ht="16.5" customHeight="1" x14ac:dyDescent="0.25"/>
    <row r="5598" ht="16.5" customHeight="1" x14ac:dyDescent="0.25"/>
    <row r="5599" ht="16.5" customHeight="1" x14ac:dyDescent="0.25"/>
    <row r="5600" ht="16.5" customHeight="1" x14ac:dyDescent="0.25"/>
    <row r="5601" ht="16.5" customHeight="1" x14ac:dyDescent="0.25"/>
    <row r="5602" ht="16.5" customHeight="1" x14ac:dyDescent="0.25"/>
    <row r="5603" ht="16.5" customHeight="1" x14ac:dyDescent="0.25"/>
    <row r="5604" ht="16.5" customHeight="1" x14ac:dyDescent="0.25"/>
    <row r="5605" ht="16.5" customHeight="1" x14ac:dyDescent="0.25"/>
    <row r="5606" ht="16.5" customHeight="1" x14ac:dyDescent="0.25"/>
    <row r="5607" ht="16.5" customHeight="1" x14ac:dyDescent="0.25"/>
    <row r="5608" ht="16.5" customHeight="1" x14ac:dyDescent="0.25"/>
    <row r="5609" ht="16.5" customHeight="1" x14ac:dyDescent="0.25"/>
    <row r="5610" ht="16.5" customHeight="1" x14ac:dyDescent="0.25"/>
    <row r="5611" ht="16.5" customHeight="1" x14ac:dyDescent="0.25"/>
    <row r="5612" ht="16.5" customHeight="1" x14ac:dyDescent="0.25"/>
    <row r="5613" ht="16.5" customHeight="1" x14ac:dyDescent="0.25"/>
    <row r="5614" ht="16.5" customHeight="1" x14ac:dyDescent="0.25"/>
    <row r="5615" ht="16.5" customHeight="1" x14ac:dyDescent="0.25"/>
    <row r="5616" ht="16.5" customHeight="1" x14ac:dyDescent="0.25"/>
    <row r="5617" ht="16.5" customHeight="1" x14ac:dyDescent="0.25"/>
    <row r="5618" ht="16.5" customHeight="1" x14ac:dyDescent="0.25"/>
    <row r="5619" ht="16.5" customHeight="1" x14ac:dyDescent="0.25"/>
    <row r="5620" ht="16.5" customHeight="1" x14ac:dyDescent="0.25"/>
    <row r="5621" ht="16.5" customHeight="1" x14ac:dyDescent="0.25"/>
    <row r="5622" ht="16.5" customHeight="1" x14ac:dyDescent="0.25"/>
    <row r="5623" ht="16.5" customHeight="1" x14ac:dyDescent="0.25"/>
    <row r="5624" ht="16.5" customHeight="1" x14ac:dyDescent="0.25"/>
    <row r="5625" ht="16.5" customHeight="1" x14ac:dyDescent="0.25"/>
    <row r="5626" ht="16.5" customHeight="1" x14ac:dyDescent="0.25"/>
    <row r="5627" ht="16.5" customHeight="1" x14ac:dyDescent="0.25"/>
    <row r="5628" ht="16.5" customHeight="1" x14ac:dyDescent="0.25"/>
    <row r="5629" ht="16.5" customHeight="1" x14ac:dyDescent="0.25"/>
    <row r="5630" ht="16.5" customHeight="1" x14ac:dyDescent="0.25"/>
    <row r="5631" ht="16.5" customHeight="1" x14ac:dyDescent="0.25"/>
    <row r="5632" ht="16.5" customHeight="1" x14ac:dyDescent="0.25"/>
    <row r="5633" ht="16.5" customHeight="1" x14ac:dyDescent="0.25"/>
    <row r="5634" ht="16.5" customHeight="1" x14ac:dyDescent="0.25"/>
    <row r="5635" ht="16.5" customHeight="1" x14ac:dyDescent="0.25"/>
    <row r="5636" ht="16.5" customHeight="1" x14ac:dyDescent="0.25"/>
    <row r="5637" ht="16.5" customHeight="1" x14ac:dyDescent="0.25"/>
    <row r="5638" ht="16.5" customHeight="1" x14ac:dyDescent="0.25"/>
    <row r="5639" ht="16.5" customHeight="1" x14ac:dyDescent="0.25"/>
    <row r="5640" ht="16.5" customHeight="1" x14ac:dyDescent="0.25"/>
    <row r="5641" ht="16.5" customHeight="1" x14ac:dyDescent="0.25"/>
    <row r="5642" ht="16.5" customHeight="1" x14ac:dyDescent="0.25"/>
    <row r="5643" ht="16.5" customHeight="1" x14ac:dyDescent="0.25"/>
    <row r="5644" ht="16.5" customHeight="1" x14ac:dyDescent="0.25"/>
    <row r="5645" ht="16.5" customHeight="1" x14ac:dyDescent="0.25"/>
    <row r="5646" ht="16.5" customHeight="1" x14ac:dyDescent="0.25"/>
    <row r="5647" ht="16.5" customHeight="1" x14ac:dyDescent="0.25"/>
    <row r="5648" ht="16.5" customHeight="1" x14ac:dyDescent="0.25"/>
    <row r="5649" ht="16.5" customHeight="1" x14ac:dyDescent="0.25"/>
    <row r="5650" ht="16.5" customHeight="1" x14ac:dyDescent="0.25"/>
    <row r="5651" ht="16.5" customHeight="1" x14ac:dyDescent="0.25"/>
    <row r="5652" ht="16.5" customHeight="1" x14ac:dyDescent="0.25"/>
    <row r="5653" ht="16.5" customHeight="1" x14ac:dyDescent="0.25"/>
    <row r="5654" ht="16.5" customHeight="1" x14ac:dyDescent="0.25"/>
    <row r="5655" ht="16.5" customHeight="1" x14ac:dyDescent="0.25"/>
    <row r="5656" ht="16.5" customHeight="1" x14ac:dyDescent="0.25"/>
    <row r="5657" ht="16.5" customHeight="1" x14ac:dyDescent="0.25"/>
    <row r="5658" ht="16.5" customHeight="1" x14ac:dyDescent="0.25"/>
    <row r="5659" ht="16.5" customHeight="1" x14ac:dyDescent="0.25"/>
    <row r="5660" ht="16.5" customHeight="1" x14ac:dyDescent="0.25"/>
    <row r="5661" ht="16.5" customHeight="1" x14ac:dyDescent="0.25"/>
    <row r="5662" ht="16.5" customHeight="1" x14ac:dyDescent="0.25"/>
    <row r="5663" ht="16.5" customHeight="1" x14ac:dyDescent="0.25"/>
    <row r="5664" ht="16.5" customHeight="1" x14ac:dyDescent="0.25"/>
    <row r="5665" ht="16.5" customHeight="1" x14ac:dyDescent="0.25"/>
    <row r="5666" ht="16.5" customHeight="1" x14ac:dyDescent="0.25"/>
    <row r="5667" ht="16.5" customHeight="1" x14ac:dyDescent="0.25"/>
    <row r="5668" ht="16.5" customHeight="1" x14ac:dyDescent="0.25"/>
    <row r="5669" ht="16.5" customHeight="1" x14ac:dyDescent="0.25"/>
    <row r="5670" ht="16.5" customHeight="1" x14ac:dyDescent="0.25"/>
    <row r="5671" ht="16.5" customHeight="1" x14ac:dyDescent="0.25"/>
    <row r="5672" ht="16.5" customHeight="1" x14ac:dyDescent="0.25"/>
    <row r="5673" ht="16.5" customHeight="1" x14ac:dyDescent="0.25"/>
    <row r="5674" ht="16.5" customHeight="1" x14ac:dyDescent="0.25"/>
    <row r="5675" ht="16.5" customHeight="1" x14ac:dyDescent="0.25"/>
    <row r="5676" ht="16.5" customHeight="1" x14ac:dyDescent="0.25"/>
    <row r="5677" ht="16.5" customHeight="1" x14ac:dyDescent="0.25"/>
    <row r="5678" ht="16.5" customHeight="1" x14ac:dyDescent="0.25"/>
    <row r="5679" ht="16.5" customHeight="1" x14ac:dyDescent="0.25"/>
    <row r="5680" ht="16.5" customHeight="1" x14ac:dyDescent="0.25"/>
    <row r="5681" ht="16.5" customHeight="1" x14ac:dyDescent="0.25"/>
    <row r="5682" ht="16.5" customHeight="1" x14ac:dyDescent="0.25"/>
    <row r="5683" ht="16.5" customHeight="1" x14ac:dyDescent="0.25"/>
    <row r="5684" ht="16.5" customHeight="1" x14ac:dyDescent="0.25"/>
    <row r="5685" ht="16.5" customHeight="1" x14ac:dyDescent="0.25"/>
    <row r="5686" ht="16.5" customHeight="1" x14ac:dyDescent="0.25"/>
    <row r="5687" ht="16.5" customHeight="1" x14ac:dyDescent="0.25"/>
    <row r="5688" ht="16.5" customHeight="1" x14ac:dyDescent="0.25"/>
    <row r="5689" ht="16.5" customHeight="1" x14ac:dyDescent="0.25"/>
    <row r="5690" ht="16.5" customHeight="1" x14ac:dyDescent="0.25"/>
    <row r="5691" ht="16.5" customHeight="1" x14ac:dyDescent="0.25"/>
    <row r="5692" ht="16.5" customHeight="1" x14ac:dyDescent="0.25"/>
    <row r="5693" ht="16.5" customHeight="1" x14ac:dyDescent="0.25"/>
    <row r="5694" ht="16.5" customHeight="1" x14ac:dyDescent="0.25"/>
    <row r="5695" ht="16.5" customHeight="1" x14ac:dyDescent="0.25"/>
    <row r="5696" ht="16.5" customHeight="1" x14ac:dyDescent="0.25"/>
    <row r="5697" ht="16.5" customHeight="1" x14ac:dyDescent="0.25"/>
    <row r="5698" ht="16.5" customHeight="1" x14ac:dyDescent="0.25"/>
    <row r="5699" ht="16.5" customHeight="1" x14ac:dyDescent="0.25"/>
    <row r="5700" ht="16.5" customHeight="1" x14ac:dyDescent="0.25"/>
    <row r="5701" ht="16.5" customHeight="1" x14ac:dyDescent="0.25"/>
    <row r="5702" ht="16.5" customHeight="1" x14ac:dyDescent="0.25"/>
    <row r="5703" ht="16.5" customHeight="1" x14ac:dyDescent="0.25"/>
    <row r="5704" ht="16.5" customHeight="1" x14ac:dyDescent="0.25"/>
    <row r="5705" ht="16.5" customHeight="1" x14ac:dyDescent="0.25"/>
    <row r="5706" ht="16.5" customHeight="1" x14ac:dyDescent="0.25"/>
    <row r="5707" ht="16.5" customHeight="1" x14ac:dyDescent="0.25"/>
    <row r="5708" ht="16.5" customHeight="1" x14ac:dyDescent="0.25"/>
    <row r="5709" ht="16.5" customHeight="1" x14ac:dyDescent="0.25"/>
    <row r="5710" ht="16.5" customHeight="1" x14ac:dyDescent="0.25"/>
    <row r="5711" ht="16.5" customHeight="1" x14ac:dyDescent="0.25"/>
    <row r="5712" ht="16.5" customHeight="1" x14ac:dyDescent="0.25"/>
    <row r="5713" ht="16.5" customHeight="1" x14ac:dyDescent="0.25"/>
    <row r="5714" ht="16.5" customHeight="1" x14ac:dyDescent="0.25"/>
    <row r="5715" ht="16.5" customHeight="1" x14ac:dyDescent="0.25"/>
    <row r="5716" ht="16.5" customHeight="1" x14ac:dyDescent="0.25"/>
    <row r="5717" ht="16.5" customHeight="1" x14ac:dyDescent="0.25"/>
    <row r="5718" ht="16.5" customHeight="1" x14ac:dyDescent="0.25"/>
    <row r="5719" ht="16.5" customHeight="1" x14ac:dyDescent="0.25"/>
    <row r="5720" ht="16.5" customHeight="1" x14ac:dyDescent="0.25"/>
    <row r="5721" ht="16.5" customHeight="1" x14ac:dyDescent="0.25"/>
    <row r="5722" ht="16.5" customHeight="1" x14ac:dyDescent="0.25"/>
    <row r="5723" ht="16.5" customHeight="1" x14ac:dyDescent="0.25"/>
    <row r="5724" ht="16.5" customHeight="1" x14ac:dyDescent="0.25"/>
    <row r="5725" ht="16.5" customHeight="1" x14ac:dyDescent="0.25"/>
    <row r="5726" ht="16.5" customHeight="1" x14ac:dyDescent="0.25"/>
    <row r="5727" ht="16.5" customHeight="1" x14ac:dyDescent="0.25"/>
    <row r="5728" ht="16.5" customHeight="1" x14ac:dyDescent="0.25"/>
    <row r="5729" ht="16.5" customHeight="1" x14ac:dyDescent="0.25"/>
    <row r="5730" ht="16.5" customHeight="1" x14ac:dyDescent="0.25"/>
    <row r="5731" ht="16.5" customHeight="1" x14ac:dyDescent="0.25"/>
    <row r="5732" ht="16.5" customHeight="1" x14ac:dyDescent="0.25"/>
    <row r="5733" ht="16.5" customHeight="1" x14ac:dyDescent="0.25"/>
    <row r="5734" ht="16.5" customHeight="1" x14ac:dyDescent="0.25"/>
    <row r="5735" ht="16.5" customHeight="1" x14ac:dyDescent="0.25"/>
    <row r="5736" ht="16.5" customHeight="1" x14ac:dyDescent="0.25"/>
    <row r="5737" ht="16.5" customHeight="1" x14ac:dyDescent="0.25"/>
    <row r="5738" ht="16.5" customHeight="1" x14ac:dyDescent="0.25"/>
    <row r="5739" ht="16.5" customHeight="1" x14ac:dyDescent="0.25"/>
    <row r="5740" ht="16.5" customHeight="1" x14ac:dyDescent="0.25"/>
    <row r="5741" ht="16.5" customHeight="1" x14ac:dyDescent="0.25"/>
    <row r="5742" ht="16.5" customHeight="1" x14ac:dyDescent="0.25"/>
    <row r="5743" ht="16.5" customHeight="1" x14ac:dyDescent="0.25"/>
    <row r="5744" ht="16.5" customHeight="1" x14ac:dyDescent="0.25"/>
    <row r="5745" ht="16.5" customHeight="1" x14ac:dyDescent="0.25"/>
    <row r="5746" ht="16.5" customHeight="1" x14ac:dyDescent="0.25"/>
    <row r="5747" ht="16.5" customHeight="1" x14ac:dyDescent="0.25"/>
    <row r="5748" ht="16.5" customHeight="1" x14ac:dyDescent="0.25"/>
    <row r="5749" ht="16.5" customHeight="1" x14ac:dyDescent="0.25"/>
    <row r="5750" ht="16.5" customHeight="1" x14ac:dyDescent="0.25"/>
    <row r="5751" ht="16.5" customHeight="1" x14ac:dyDescent="0.25"/>
    <row r="5752" ht="16.5" customHeight="1" x14ac:dyDescent="0.25"/>
    <row r="5753" ht="16.5" customHeight="1" x14ac:dyDescent="0.25"/>
    <row r="5754" ht="16.5" customHeight="1" x14ac:dyDescent="0.25"/>
    <row r="5755" ht="16.5" customHeight="1" x14ac:dyDescent="0.25"/>
    <row r="5756" ht="16.5" customHeight="1" x14ac:dyDescent="0.25"/>
    <row r="5757" ht="16.5" customHeight="1" x14ac:dyDescent="0.25"/>
    <row r="5758" ht="16.5" customHeight="1" x14ac:dyDescent="0.25"/>
    <row r="5759" ht="16.5" customHeight="1" x14ac:dyDescent="0.25"/>
    <row r="5760" ht="16.5" customHeight="1" x14ac:dyDescent="0.25"/>
    <row r="5761" ht="16.5" customHeight="1" x14ac:dyDescent="0.25"/>
    <row r="5762" ht="16.5" customHeight="1" x14ac:dyDescent="0.25"/>
    <row r="5763" ht="16.5" customHeight="1" x14ac:dyDescent="0.25"/>
    <row r="5764" ht="16.5" customHeight="1" x14ac:dyDescent="0.25"/>
    <row r="5765" ht="16.5" customHeight="1" x14ac:dyDescent="0.25"/>
    <row r="5766" ht="16.5" customHeight="1" x14ac:dyDescent="0.25"/>
    <row r="5767" ht="16.5" customHeight="1" x14ac:dyDescent="0.25"/>
    <row r="5768" ht="16.5" customHeight="1" x14ac:dyDescent="0.25"/>
    <row r="5769" ht="16.5" customHeight="1" x14ac:dyDescent="0.25"/>
    <row r="5770" ht="16.5" customHeight="1" x14ac:dyDescent="0.25"/>
    <row r="5771" ht="16.5" customHeight="1" x14ac:dyDescent="0.25"/>
    <row r="5772" ht="16.5" customHeight="1" x14ac:dyDescent="0.25"/>
    <row r="5773" ht="16.5" customHeight="1" x14ac:dyDescent="0.25"/>
    <row r="5774" ht="16.5" customHeight="1" x14ac:dyDescent="0.25"/>
    <row r="5775" ht="16.5" customHeight="1" x14ac:dyDescent="0.25"/>
    <row r="5776" ht="16.5" customHeight="1" x14ac:dyDescent="0.25"/>
    <row r="5777" ht="16.5" customHeight="1" x14ac:dyDescent="0.25"/>
    <row r="5778" ht="16.5" customHeight="1" x14ac:dyDescent="0.25"/>
    <row r="5779" ht="16.5" customHeight="1" x14ac:dyDescent="0.25"/>
    <row r="5780" ht="16.5" customHeight="1" x14ac:dyDescent="0.25"/>
    <row r="5781" ht="16.5" customHeight="1" x14ac:dyDescent="0.25"/>
    <row r="5782" ht="16.5" customHeight="1" x14ac:dyDescent="0.25"/>
    <row r="5783" ht="16.5" customHeight="1" x14ac:dyDescent="0.25"/>
    <row r="5784" ht="16.5" customHeight="1" x14ac:dyDescent="0.25"/>
    <row r="5785" ht="16.5" customHeight="1" x14ac:dyDescent="0.25"/>
    <row r="5786" ht="16.5" customHeight="1" x14ac:dyDescent="0.25"/>
    <row r="5787" ht="16.5" customHeight="1" x14ac:dyDescent="0.25"/>
    <row r="5788" ht="16.5" customHeight="1" x14ac:dyDescent="0.25"/>
    <row r="5789" ht="16.5" customHeight="1" x14ac:dyDescent="0.25"/>
    <row r="5790" ht="16.5" customHeight="1" x14ac:dyDescent="0.25"/>
    <row r="5791" ht="16.5" customHeight="1" x14ac:dyDescent="0.25"/>
    <row r="5792" ht="16.5" customHeight="1" x14ac:dyDescent="0.25"/>
    <row r="5793" ht="16.5" customHeight="1" x14ac:dyDescent="0.25"/>
    <row r="5794" ht="16.5" customHeight="1" x14ac:dyDescent="0.25"/>
    <row r="5795" ht="16.5" customHeight="1" x14ac:dyDescent="0.25"/>
    <row r="5796" ht="16.5" customHeight="1" x14ac:dyDescent="0.25"/>
    <row r="5797" ht="16.5" customHeight="1" x14ac:dyDescent="0.25"/>
    <row r="5798" ht="16.5" customHeight="1" x14ac:dyDescent="0.25"/>
    <row r="5799" ht="16.5" customHeight="1" x14ac:dyDescent="0.25"/>
    <row r="5800" ht="16.5" customHeight="1" x14ac:dyDescent="0.25"/>
    <row r="5801" ht="16.5" customHeight="1" x14ac:dyDescent="0.25"/>
    <row r="5802" ht="16.5" customHeight="1" x14ac:dyDescent="0.25"/>
    <row r="5803" ht="16.5" customHeight="1" x14ac:dyDescent="0.25"/>
    <row r="5804" ht="16.5" customHeight="1" x14ac:dyDescent="0.25"/>
    <row r="5805" ht="16.5" customHeight="1" x14ac:dyDescent="0.25"/>
    <row r="5806" ht="16.5" customHeight="1" x14ac:dyDescent="0.25"/>
    <row r="5807" ht="16.5" customHeight="1" x14ac:dyDescent="0.25"/>
    <row r="5808" ht="16.5" customHeight="1" x14ac:dyDescent="0.25"/>
    <row r="5809" ht="16.5" customHeight="1" x14ac:dyDescent="0.25"/>
    <row r="5810" ht="16.5" customHeight="1" x14ac:dyDescent="0.25"/>
    <row r="5811" ht="16.5" customHeight="1" x14ac:dyDescent="0.25"/>
    <row r="5812" ht="16.5" customHeight="1" x14ac:dyDescent="0.25"/>
    <row r="5813" ht="16.5" customHeight="1" x14ac:dyDescent="0.25"/>
    <row r="5814" ht="16.5" customHeight="1" x14ac:dyDescent="0.25"/>
    <row r="5815" ht="16.5" customHeight="1" x14ac:dyDescent="0.25"/>
    <row r="5816" ht="16.5" customHeight="1" x14ac:dyDescent="0.25"/>
    <row r="5817" ht="16.5" customHeight="1" x14ac:dyDescent="0.25"/>
    <row r="5818" ht="16.5" customHeight="1" x14ac:dyDescent="0.25"/>
    <row r="5819" ht="16.5" customHeight="1" x14ac:dyDescent="0.25"/>
    <row r="5820" ht="16.5" customHeight="1" x14ac:dyDescent="0.25"/>
    <row r="5821" ht="16.5" customHeight="1" x14ac:dyDescent="0.25"/>
    <row r="5822" ht="16.5" customHeight="1" x14ac:dyDescent="0.25"/>
    <row r="5823" ht="16.5" customHeight="1" x14ac:dyDescent="0.25"/>
    <row r="5824" ht="16.5" customHeight="1" x14ac:dyDescent="0.25"/>
    <row r="5825" ht="16.5" customHeight="1" x14ac:dyDescent="0.25"/>
    <row r="5826" ht="16.5" customHeight="1" x14ac:dyDescent="0.25"/>
    <row r="5827" ht="16.5" customHeight="1" x14ac:dyDescent="0.25"/>
    <row r="5828" ht="16.5" customHeight="1" x14ac:dyDescent="0.25"/>
    <row r="5829" ht="16.5" customHeight="1" x14ac:dyDescent="0.25"/>
    <row r="5830" ht="16.5" customHeight="1" x14ac:dyDescent="0.25"/>
    <row r="5831" ht="16.5" customHeight="1" x14ac:dyDescent="0.25"/>
    <row r="5832" ht="16.5" customHeight="1" x14ac:dyDescent="0.25"/>
    <row r="5833" ht="16.5" customHeight="1" x14ac:dyDescent="0.25"/>
    <row r="5834" ht="16.5" customHeight="1" x14ac:dyDescent="0.25"/>
    <row r="5835" ht="16.5" customHeight="1" x14ac:dyDescent="0.25"/>
    <row r="5836" ht="16.5" customHeight="1" x14ac:dyDescent="0.25"/>
    <row r="5837" ht="16.5" customHeight="1" x14ac:dyDescent="0.25"/>
    <row r="5838" ht="16.5" customHeight="1" x14ac:dyDescent="0.25"/>
    <row r="5839" ht="16.5" customHeight="1" x14ac:dyDescent="0.25"/>
    <row r="5840" ht="16.5" customHeight="1" x14ac:dyDescent="0.25"/>
    <row r="5841" ht="16.5" customHeight="1" x14ac:dyDescent="0.25"/>
    <row r="5842" ht="16.5" customHeight="1" x14ac:dyDescent="0.25"/>
    <row r="5843" ht="16.5" customHeight="1" x14ac:dyDescent="0.25"/>
    <row r="5844" ht="16.5" customHeight="1" x14ac:dyDescent="0.25"/>
    <row r="5845" ht="16.5" customHeight="1" x14ac:dyDescent="0.25"/>
    <row r="5846" ht="16.5" customHeight="1" x14ac:dyDescent="0.25"/>
    <row r="5847" ht="16.5" customHeight="1" x14ac:dyDescent="0.25"/>
    <row r="5848" ht="16.5" customHeight="1" x14ac:dyDescent="0.25"/>
    <row r="5849" ht="16.5" customHeight="1" x14ac:dyDescent="0.25"/>
    <row r="5850" ht="16.5" customHeight="1" x14ac:dyDescent="0.25"/>
    <row r="5851" ht="16.5" customHeight="1" x14ac:dyDescent="0.25"/>
    <row r="5852" ht="16.5" customHeight="1" x14ac:dyDescent="0.25"/>
    <row r="5853" ht="16.5" customHeight="1" x14ac:dyDescent="0.25"/>
    <row r="5854" ht="16.5" customHeight="1" x14ac:dyDescent="0.25"/>
    <row r="5855" ht="16.5" customHeight="1" x14ac:dyDescent="0.25"/>
    <row r="5856" ht="16.5" customHeight="1" x14ac:dyDescent="0.25"/>
    <row r="5857" ht="16.5" customHeight="1" x14ac:dyDescent="0.25"/>
    <row r="5858" ht="16.5" customHeight="1" x14ac:dyDescent="0.25"/>
    <row r="5859" ht="16.5" customHeight="1" x14ac:dyDescent="0.25"/>
    <row r="5860" ht="16.5" customHeight="1" x14ac:dyDescent="0.25"/>
    <row r="5861" ht="16.5" customHeight="1" x14ac:dyDescent="0.25"/>
    <row r="5862" ht="16.5" customHeight="1" x14ac:dyDescent="0.25"/>
    <row r="5863" ht="16.5" customHeight="1" x14ac:dyDescent="0.25"/>
    <row r="5864" ht="16.5" customHeight="1" x14ac:dyDescent="0.25"/>
    <row r="5865" ht="16.5" customHeight="1" x14ac:dyDescent="0.25"/>
    <row r="5866" ht="16.5" customHeight="1" x14ac:dyDescent="0.25"/>
    <row r="5867" ht="16.5" customHeight="1" x14ac:dyDescent="0.25"/>
    <row r="5868" ht="16.5" customHeight="1" x14ac:dyDescent="0.25"/>
    <row r="5869" ht="16.5" customHeight="1" x14ac:dyDescent="0.25"/>
    <row r="5870" ht="16.5" customHeight="1" x14ac:dyDescent="0.25"/>
    <row r="5871" ht="16.5" customHeight="1" x14ac:dyDescent="0.25"/>
    <row r="5872" ht="16.5" customHeight="1" x14ac:dyDescent="0.25"/>
    <row r="5873" ht="16.5" customHeight="1" x14ac:dyDescent="0.25"/>
    <row r="5874" ht="16.5" customHeight="1" x14ac:dyDescent="0.25"/>
    <row r="5875" ht="16.5" customHeight="1" x14ac:dyDescent="0.25"/>
    <row r="5876" ht="16.5" customHeight="1" x14ac:dyDescent="0.25"/>
    <row r="5877" ht="16.5" customHeight="1" x14ac:dyDescent="0.25"/>
    <row r="5878" ht="16.5" customHeight="1" x14ac:dyDescent="0.25"/>
    <row r="5879" ht="16.5" customHeight="1" x14ac:dyDescent="0.25"/>
    <row r="5880" ht="16.5" customHeight="1" x14ac:dyDescent="0.25"/>
    <row r="5881" ht="16.5" customHeight="1" x14ac:dyDescent="0.25"/>
    <row r="5882" ht="16.5" customHeight="1" x14ac:dyDescent="0.25"/>
    <row r="5883" ht="16.5" customHeight="1" x14ac:dyDescent="0.25"/>
    <row r="5884" ht="16.5" customHeight="1" x14ac:dyDescent="0.25"/>
    <row r="5885" ht="16.5" customHeight="1" x14ac:dyDescent="0.25"/>
    <row r="5886" ht="16.5" customHeight="1" x14ac:dyDescent="0.25"/>
    <row r="5887" ht="16.5" customHeight="1" x14ac:dyDescent="0.25"/>
    <row r="5888" ht="16.5" customHeight="1" x14ac:dyDescent="0.25"/>
    <row r="5889" ht="16.5" customHeight="1" x14ac:dyDescent="0.25"/>
    <row r="5890" ht="16.5" customHeight="1" x14ac:dyDescent="0.25"/>
    <row r="5891" ht="16.5" customHeight="1" x14ac:dyDescent="0.25"/>
    <row r="5892" ht="16.5" customHeight="1" x14ac:dyDescent="0.25"/>
    <row r="5893" ht="16.5" customHeight="1" x14ac:dyDescent="0.25"/>
    <row r="5894" ht="16.5" customHeight="1" x14ac:dyDescent="0.25"/>
    <row r="5895" ht="16.5" customHeight="1" x14ac:dyDescent="0.25"/>
    <row r="5896" ht="16.5" customHeight="1" x14ac:dyDescent="0.25"/>
    <row r="5897" ht="16.5" customHeight="1" x14ac:dyDescent="0.25"/>
    <row r="5898" ht="16.5" customHeight="1" x14ac:dyDescent="0.25"/>
    <row r="5899" ht="16.5" customHeight="1" x14ac:dyDescent="0.25"/>
    <row r="5900" ht="16.5" customHeight="1" x14ac:dyDescent="0.25"/>
    <row r="5901" ht="16.5" customHeight="1" x14ac:dyDescent="0.25"/>
    <row r="5902" ht="16.5" customHeight="1" x14ac:dyDescent="0.25"/>
    <row r="5903" ht="16.5" customHeight="1" x14ac:dyDescent="0.25"/>
    <row r="5904" ht="16.5" customHeight="1" x14ac:dyDescent="0.25"/>
    <row r="5905" ht="16.5" customHeight="1" x14ac:dyDescent="0.25"/>
    <row r="5906" ht="16.5" customHeight="1" x14ac:dyDescent="0.25"/>
    <row r="5907" ht="16.5" customHeight="1" x14ac:dyDescent="0.25"/>
    <row r="5908" ht="16.5" customHeight="1" x14ac:dyDescent="0.25"/>
    <row r="5909" ht="16.5" customHeight="1" x14ac:dyDescent="0.25"/>
    <row r="5910" ht="16.5" customHeight="1" x14ac:dyDescent="0.25"/>
    <row r="5911" ht="16.5" customHeight="1" x14ac:dyDescent="0.25"/>
    <row r="5912" ht="16.5" customHeight="1" x14ac:dyDescent="0.25"/>
    <row r="5913" ht="16.5" customHeight="1" x14ac:dyDescent="0.25"/>
    <row r="5914" ht="16.5" customHeight="1" x14ac:dyDescent="0.25"/>
    <row r="5915" ht="16.5" customHeight="1" x14ac:dyDescent="0.25"/>
    <row r="5916" ht="16.5" customHeight="1" x14ac:dyDescent="0.25"/>
    <row r="5917" ht="16.5" customHeight="1" x14ac:dyDescent="0.25"/>
    <row r="5918" ht="16.5" customHeight="1" x14ac:dyDescent="0.25"/>
    <row r="5919" ht="16.5" customHeight="1" x14ac:dyDescent="0.25"/>
    <row r="5920" ht="16.5" customHeight="1" x14ac:dyDescent="0.25"/>
    <row r="5921" ht="16.5" customHeight="1" x14ac:dyDescent="0.25"/>
    <row r="5922" ht="16.5" customHeight="1" x14ac:dyDescent="0.25"/>
    <row r="5923" ht="16.5" customHeight="1" x14ac:dyDescent="0.25"/>
    <row r="5924" ht="16.5" customHeight="1" x14ac:dyDescent="0.25"/>
    <row r="5925" ht="16.5" customHeight="1" x14ac:dyDescent="0.25"/>
    <row r="5926" ht="16.5" customHeight="1" x14ac:dyDescent="0.25"/>
    <row r="5927" ht="16.5" customHeight="1" x14ac:dyDescent="0.25"/>
    <row r="5928" ht="16.5" customHeight="1" x14ac:dyDescent="0.25"/>
    <row r="5929" ht="16.5" customHeight="1" x14ac:dyDescent="0.25"/>
    <row r="5930" ht="16.5" customHeight="1" x14ac:dyDescent="0.25"/>
    <row r="5931" ht="16.5" customHeight="1" x14ac:dyDescent="0.25"/>
    <row r="5932" ht="16.5" customHeight="1" x14ac:dyDescent="0.25"/>
    <row r="5933" ht="16.5" customHeight="1" x14ac:dyDescent="0.25"/>
    <row r="5934" ht="16.5" customHeight="1" x14ac:dyDescent="0.25"/>
    <row r="5935" ht="16.5" customHeight="1" x14ac:dyDescent="0.25"/>
    <row r="5936" ht="16.5" customHeight="1" x14ac:dyDescent="0.25"/>
    <row r="5937" ht="16.5" customHeight="1" x14ac:dyDescent="0.25"/>
    <row r="5938" ht="16.5" customHeight="1" x14ac:dyDescent="0.25"/>
    <row r="5939" ht="16.5" customHeight="1" x14ac:dyDescent="0.25"/>
    <row r="5940" ht="16.5" customHeight="1" x14ac:dyDescent="0.25"/>
    <row r="5941" ht="16.5" customHeight="1" x14ac:dyDescent="0.25"/>
    <row r="5942" ht="16.5" customHeight="1" x14ac:dyDescent="0.25"/>
    <row r="5943" ht="16.5" customHeight="1" x14ac:dyDescent="0.25"/>
    <row r="5944" ht="16.5" customHeight="1" x14ac:dyDescent="0.25"/>
    <row r="5945" ht="16.5" customHeight="1" x14ac:dyDescent="0.25"/>
    <row r="5946" ht="16.5" customHeight="1" x14ac:dyDescent="0.25"/>
    <row r="5947" ht="16.5" customHeight="1" x14ac:dyDescent="0.25"/>
    <row r="5948" ht="16.5" customHeight="1" x14ac:dyDescent="0.25"/>
    <row r="5949" ht="16.5" customHeight="1" x14ac:dyDescent="0.25"/>
    <row r="5950" ht="16.5" customHeight="1" x14ac:dyDescent="0.25"/>
    <row r="5951" ht="16.5" customHeight="1" x14ac:dyDescent="0.25"/>
    <row r="5952" ht="16.5" customHeight="1" x14ac:dyDescent="0.25"/>
    <row r="5953" ht="16.5" customHeight="1" x14ac:dyDescent="0.25"/>
    <row r="5954" ht="16.5" customHeight="1" x14ac:dyDescent="0.25"/>
    <row r="5955" ht="16.5" customHeight="1" x14ac:dyDescent="0.25"/>
    <row r="5956" ht="16.5" customHeight="1" x14ac:dyDescent="0.25"/>
    <row r="5957" ht="16.5" customHeight="1" x14ac:dyDescent="0.25"/>
    <row r="5958" ht="16.5" customHeight="1" x14ac:dyDescent="0.25"/>
    <row r="5959" ht="16.5" customHeight="1" x14ac:dyDescent="0.25"/>
    <row r="5960" ht="16.5" customHeight="1" x14ac:dyDescent="0.25"/>
    <row r="5961" ht="16.5" customHeight="1" x14ac:dyDescent="0.25"/>
    <row r="5962" ht="16.5" customHeight="1" x14ac:dyDescent="0.25"/>
    <row r="5963" ht="16.5" customHeight="1" x14ac:dyDescent="0.25"/>
    <row r="5964" ht="16.5" customHeight="1" x14ac:dyDescent="0.25"/>
    <row r="5965" ht="16.5" customHeight="1" x14ac:dyDescent="0.25"/>
    <row r="5966" ht="16.5" customHeight="1" x14ac:dyDescent="0.25"/>
    <row r="5967" ht="16.5" customHeight="1" x14ac:dyDescent="0.25"/>
    <row r="5968" ht="16.5" customHeight="1" x14ac:dyDescent="0.25"/>
    <row r="5969" ht="16.5" customHeight="1" x14ac:dyDescent="0.25"/>
    <row r="5970" ht="16.5" customHeight="1" x14ac:dyDescent="0.25"/>
    <row r="5971" ht="16.5" customHeight="1" x14ac:dyDescent="0.25"/>
    <row r="5972" ht="16.5" customHeight="1" x14ac:dyDescent="0.25"/>
    <row r="5973" ht="16.5" customHeight="1" x14ac:dyDescent="0.25"/>
    <row r="5974" ht="16.5" customHeight="1" x14ac:dyDescent="0.25"/>
    <row r="5975" ht="16.5" customHeight="1" x14ac:dyDescent="0.25"/>
    <row r="5976" ht="16.5" customHeight="1" x14ac:dyDescent="0.25"/>
    <row r="5977" ht="16.5" customHeight="1" x14ac:dyDescent="0.25"/>
    <row r="5978" ht="16.5" customHeight="1" x14ac:dyDescent="0.25"/>
    <row r="5979" ht="16.5" customHeight="1" x14ac:dyDescent="0.25"/>
    <row r="5980" ht="16.5" customHeight="1" x14ac:dyDescent="0.25"/>
    <row r="5981" ht="16.5" customHeight="1" x14ac:dyDescent="0.25"/>
    <row r="5982" ht="16.5" customHeight="1" x14ac:dyDescent="0.25"/>
    <row r="5983" ht="16.5" customHeight="1" x14ac:dyDescent="0.25"/>
    <row r="5984" ht="16.5" customHeight="1" x14ac:dyDescent="0.25"/>
    <row r="5985" ht="16.5" customHeight="1" x14ac:dyDescent="0.25"/>
    <row r="5986" ht="16.5" customHeight="1" x14ac:dyDescent="0.25"/>
    <row r="5987" ht="16.5" customHeight="1" x14ac:dyDescent="0.25"/>
    <row r="5988" ht="16.5" customHeight="1" x14ac:dyDescent="0.25"/>
    <row r="5989" ht="16.5" customHeight="1" x14ac:dyDescent="0.25"/>
    <row r="5990" ht="16.5" customHeight="1" x14ac:dyDescent="0.25"/>
    <row r="5991" ht="16.5" customHeight="1" x14ac:dyDescent="0.25"/>
    <row r="5992" ht="16.5" customHeight="1" x14ac:dyDescent="0.25"/>
    <row r="5993" ht="16.5" customHeight="1" x14ac:dyDescent="0.25"/>
    <row r="5994" ht="16.5" customHeight="1" x14ac:dyDescent="0.25"/>
    <row r="5995" ht="16.5" customHeight="1" x14ac:dyDescent="0.25"/>
    <row r="5996" ht="16.5" customHeight="1" x14ac:dyDescent="0.25"/>
    <row r="5997" ht="16.5" customHeight="1" x14ac:dyDescent="0.25"/>
    <row r="5998" ht="16.5" customHeight="1" x14ac:dyDescent="0.25"/>
    <row r="5999" ht="16.5" customHeight="1" x14ac:dyDescent="0.25"/>
    <row r="6000" ht="16.5" customHeight="1" x14ac:dyDescent="0.25"/>
    <row r="6001" ht="16.5" customHeight="1" x14ac:dyDescent="0.25"/>
    <row r="6002" ht="16.5" customHeight="1" x14ac:dyDescent="0.25"/>
    <row r="6003" ht="16.5" customHeight="1" x14ac:dyDescent="0.25"/>
    <row r="6004" ht="16.5" customHeight="1" x14ac:dyDescent="0.25"/>
    <row r="6005" ht="16.5" customHeight="1" x14ac:dyDescent="0.25"/>
    <row r="6006" ht="16.5" customHeight="1" x14ac:dyDescent="0.25"/>
    <row r="6007" ht="16.5" customHeight="1" x14ac:dyDescent="0.25"/>
    <row r="6008" ht="16.5" customHeight="1" x14ac:dyDescent="0.25"/>
    <row r="6009" ht="16.5" customHeight="1" x14ac:dyDescent="0.25"/>
    <row r="6010" ht="16.5" customHeight="1" x14ac:dyDescent="0.25"/>
    <row r="6011" ht="16.5" customHeight="1" x14ac:dyDescent="0.25"/>
    <row r="6012" ht="16.5" customHeight="1" x14ac:dyDescent="0.25"/>
    <row r="6013" ht="16.5" customHeight="1" x14ac:dyDescent="0.25"/>
    <row r="6014" ht="16.5" customHeight="1" x14ac:dyDescent="0.25"/>
    <row r="6015" ht="16.5" customHeight="1" x14ac:dyDescent="0.25"/>
    <row r="6016" ht="16.5" customHeight="1" x14ac:dyDescent="0.25"/>
    <row r="6017" ht="16.5" customHeight="1" x14ac:dyDescent="0.25"/>
    <row r="6018" ht="16.5" customHeight="1" x14ac:dyDescent="0.25"/>
    <row r="6019" ht="16.5" customHeight="1" x14ac:dyDescent="0.25"/>
    <row r="6020" ht="16.5" customHeight="1" x14ac:dyDescent="0.25"/>
    <row r="6021" ht="16.5" customHeight="1" x14ac:dyDescent="0.25"/>
    <row r="6022" ht="16.5" customHeight="1" x14ac:dyDescent="0.25"/>
    <row r="6023" ht="16.5" customHeight="1" x14ac:dyDescent="0.25"/>
    <row r="6024" ht="16.5" customHeight="1" x14ac:dyDescent="0.25"/>
    <row r="6025" ht="16.5" customHeight="1" x14ac:dyDescent="0.25"/>
    <row r="6026" ht="16.5" customHeight="1" x14ac:dyDescent="0.25"/>
    <row r="6027" ht="16.5" customHeight="1" x14ac:dyDescent="0.25"/>
    <row r="6028" ht="16.5" customHeight="1" x14ac:dyDescent="0.25"/>
    <row r="6029" ht="16.5" customHeight="1" x14ac:dyDescent="0.25"/>
    <row r="6030" ht="16.5" customHeight="1" x14ac:dyDescent="0.25"/>
    <row r="6031" ht="16.5" customHeight="1" x14ac:dyDescent="0.25"/>
    <row r="6032" ht="16.5" customHeight="1" x14ac:dyDescent="0.25"/>
    <row r="6033" ht="16.5" customHeight="1" x14ac:dyDescent="0.25"/>
    <row r="6034" ht="16.5" customHeight="1" x14ac:dyDescent="0.25"/>
    <row r="6035" ht="16.5" customHeight="1" x14ac:dyDescent="0.25"/>
    <row r="6036" ht="16.5" customHeight="1" x14ac:dyDescent="0.25"/>
    <row r="6037" ht="16.5" customHeight="1" x14ac:dyDescent="0.25"/>
    <row r="6038" ht="16.5" customHeight="1" x14ac:dyDescent="0.25"/>
    <row r="6039" ht="16.5" customHeight="1" x14ac:dyDescent="0.25"/>
    <row r="6040" ht="16.5" customHeight="1" x14ac:dyDescent="0.25"/>
    <row r="6041" ht="16.5" customHeight="1" x14ac:dyDescent="0.25"/>
    <row r="6042" ht="16.5" customHeight="1" x14ac:dyDescent="0.25"/>
    <row r="6043" ht="16.5" customHeight="1" x14ac:dyDescent="0.25"/>
    <row r="6044" ht="16.5" customHeight="1" x14ac:dyDescent="0.25"/>
    <row r="6045" ht="16.5" customHeight="1" x14ac:dyDescent="0.25"/>
    <row r="6046" ht="16.5" customHeight="1" x14ac:dyDescent="0.25"/>
    <row r="6047" ht="16.5" customHeight="1" x14ac:dyDescent="0.25"/>
    <row r="6048" ht="16.5" customHeight="1" x14ac:dyDescent="0.25"/>
    <row r="6049" ht="16.5" customHeight="1" x14ac:dyDescent="0.25"/>
    <row r="6050" ht="16.5" customHeight="1" x14ac:dyDescent="0.25"/>
    <row r="6051" ht="16.5" customHeight="1" x14ac:dyDescent="0.25"/>
    <row r="6052" ht="16.5" customHeight="1" x14ac:dyDescent="0.25"/>
    <row r="6053" ht="16.5" customHeight="1" x14ac:dyDescent="0.25"/>
    <row r="6054" ht="16.5" customHeight="1" x14ac:dyDescent="0.25"/>
    <row r="6055" ht="16.5" customHeight="1" x14ac:dyDescent="0.25"/>
    <row r="6056" ht="16.5" customHeight="1" x14ac:dyDescent="0.25"/>
    <row r="6057" ht="16.5" customHeight="1" x14ac:dyDescent="0.25"/>
    <row r="6058" ht="16.5" customHeight="1" x14ac:dyDescent="0.25"/>
    <row r="6059" ht="16.5" customHeight="1" x14ac:dyDescent="0.25"/>
    <row r="6060" ht="16.5" customHeight="1" x14ac:dyDescent="0.25"/>
    <row r="6061" ht="16.5" customHeight="1" x14ac:dyDescent="0.25"/>
    <row r="6062" ht="16.5" customHeight="1" x14ac:dyDescent="0.25"/>
    <row r="6063" ht="16.5" customHeight="1" x14ac:dyDescent="0.25"/>
    <row r="6064" ht="16.5" customHeight="1" x14ac:dyDescent="0.25"/>
    <row r="6065" ht="16.5" customHeight="1" x14ac:dyDescent="0.25"/>
    <row r="6066" ht="16.5" customHeight="1" x14ac:dyDescent="0.25"/>
    <row r="6067" ht="16.5" customHeight="1" x14ac:dyDescent="0.25"/>
    <row r="6068" ht="16.5" customHeight="1" x14ac:dyDescent="0.25"/>
    <row r="6069" ht="16.5" customHeight="1" x14ac:dyDescent="0.25"/>
    <row r="6070" ht="16.5" customHeight="1" x14ac:dyDescent="0.25"/>
    <row r="6071" ht="16.5" customHeight="1" x14ac:dyDescent="0.25"/>
    <row r="6072" ht="16.5" customHeight="1" x14ac:dyDescent="0.25"/>
    <row r="6073" ht="16.5" customHeight="1" x14ac:dyDescent="0.25"/>
    <row r="6074" ht="16.5" customHeight="1" x14ac:dyDescent="0.25"/>
    <row r="6075" ht="16.5" customHeight="1" x14ac:dyDescent="0.25"/>
    <row r="6076" ht="16.5" customHeight="1" x14ac:dyDescent="0.25"/>
    <row r="6077" ht="16.5" customHeight="1" x14ac:dyDescent="0.25"/>
    <row r="6078" ht="16.5" customHeight="1" x14ac:dyDescent="0.25"/>
    <row r="6079" ht="16.5" customHeight="1" x14ac:dyDescent="0.25"/>
    <row r="6080" ht="16.5" customHeight="1" x14ac:dyDescent="0.25"/>
    <row r="6081" ht="16.5" customHeight="1" x14ac:dyDescent="0.25"/>
    <row r="6082" ht="16.5" customHeight="1" x14ac:dyDescent="0.25"/>
    <row r="6083" ht="16.5" customHeight="1" x14ac:dyDescent="0.25"/>
    <row r="6084" ht="16.5" customHeight="1" x14ac:dyDescent="0.25"/>
    <row r="6085" ht="16.5" customHeight="1" x14ac:dyDescent="0.25"/>
    <row r="6086" ht="16.5" customHeight="1" x14ac:dyDescent="0.25"/>
    <row r="6087" ht="16.5" customHeight="1" x14ac:dyDescent="0.25"/>
    <row r="6088" ht="16.5" customHeight="1" x14ac:dyDescent="0.25"/>
    <row r="6089" ht="16.5" customHeight="1" x14ac:dyDescent="0.25"/>
    <row r="6090" ht="16.5" customHeight="1" x14ac:dyDescent="0.25"/>
    <row r="6091" ht="16.5" customHeight="1" x14ac:dyDescent="0.25"/>
    <row r="6092" ht="16.5" customHeight="1" x14ac:dyDescent="0.25"/>
    <row r="6093" ht="16.5" customHeight="1" x14ac:dyDescent="0.25"/>
    <row r="6094" ht="16.5" customHeight="1" x14ac:dyDescent="0.25"/>
    <row r="6095" ht="16.5" customHeight="1" x14ac:dyDescent="0.25"/>
    <row r="6096" ht="16.5" customHeight="1" x14ac:dyDescent="0.25"/>
    <row r="6097" ht="16.5" customHeight="1" x14ac:dyDescent="0.25"/>
    <row r="6098" ht="16.5" customHeight="1" x14ac:dyDescent="0.25"/>
    <row r="6099" ht="16.5" customHeight="1" x14ac:dyDescent="0.25"/>
    <row r="6100" ht="16.5" customHeight="1" x14ac:dyDescent="0.25"/>
    <row r="6101" ht="16.5" customHeight="1" x14ac:dyDescent="0.25"/>
    <row r="6102" ht="16.5" customHeight="1" x14ac:dyDescent="0.25"/>
    <row r="6103" ht="16.5" customHeight="1" x14ac:dyDescent="0.25"/>
    <row r="6104" ht="16.5" customHeight="1" x14ac:dyDescent="0.25"/>
    <row r="6105" ht="16.5" customHeight="1" x14ac:dyDescent="0.25"/>
    <row r="6106" ht="16.5" customHeight="1" x14ac:dyDescent="0.25"/>
    <row r="6107" ht="16.5" customHeight="1" x14ac:dyDescent="0.25"/>
    <row r="6108" ht="16.5" customHeight="1" x14ac:dyDescent="0.25"/>
    <row r="6109" ht="16.5" customHeight="1" x14ac:dyDescent="0.25"/>
    <row r="6110" ht="16.5" customHeight="1" x14ac:dyDescent="0.25"/>
    <row r="6111" ht="16.5" customHeight="1" x14ac:dyDescent="0.25"/>
    <row r="6112" ht="16.5" customHeight="1" x14ac:dyDescent="0.25"/>
    <row r="6113" ht="16.5" customHeight="1" x14ac:dyDescent="0.25"/>
    <row r="6114" ht="16.5" customHeight="1" x14ac:dyDescent="0.25"/>
    <row r="6115" ht="16.5" customHeight="1" x14ac:dyDescent="0.25"/>
    <row r="6116" ht="16.5" customHeight="1" x14ac:dyDescent="0.25"/>
    <row r="6117" ht="16.5" customHeight="1" x14ac:dyDescent="0.25"/>
    <row r="6118" ht="16.5" customHeight="1" x14ac:dyDescent="0.25"/>
    <row r="6119" ht="16.5" customHeight="1" x14ac:dyDescent="0.25"/>
    <row r="6120" ht="16.5" customHeight="1" x14ac:dyDescent="0.25"/>
    <row r="6121" ht="16.5" customHeight="1" x14ac:dyDescent="0.25"/>
    <row r="6122" ht="16.5" customHeight="1" x14ac:dyDescent="0.25"/>
    <row r="6123" ht="16.5" customHeight="1" x14ac:dyDescent="0.25"/>
    <row r="6124" ht="16.5" customHeight="1" x14ac:dyDescent="0.25"/>
    <row r="6125" ht="16.5" customHeight="1" x14ac:dyDescent="0.25"/>
    <row r="6126" ht="16.5" customHeight="1" x14ac:dyDescent="0.25"/>
    <row r="6127" ht="16.5" customHeight="1" x14ac:dyDescent="0.25"/>
    <row r="6128" ht="16.5" customHeight="1" x14ac:dyDescent="0.25"/>
    <row r="6129" ht="16.5" customHeight="1" x14ac:dyDescent="0.25"/>
    <row r="6130" ht="16.5" customHeight="1" x14ac:dyDescent="0.25"/>
    <row r="6131" ht="16.5" customHeight="1" x14ac:dyDescent="0.25"/>
    <row r="6132" ht="16.5" customHeight="1" x14ac:dyDescent="0.25"/>
    <row r="6133" ht="16.5" customHeight="1" x14ac:dyDescent="0.25"/>
    <row r="6134" ht="16.5" customHeight="1" x14ac:dyDescent="0.25"/>
    <row r="6135" ht="16.5" customHeight="1" x14ac:dyDescent="0.25"/>
    <row r="6136" ht="16.5" customHeight="1" x14ac:dyDescent="0.25"/>
    <row r="6137" ht="16.5" customHeight="1" x14ac:dyDescent="0.25"/>
    <row r="6138" ht="16.5" customHeight="1" x14ac:dyDescent="0.25"/>
    <row r="6139" ht="16.5" customHeight="1" x14ac:dyDescent="0.25"/>
    <row r="6140" ht="16.5" customHeight="1" x14ac:dyDescent="0.25"/>
    <row r="6141" ht="16.5" customHeight="1" x14ac:dyDescent="0.25"/>
    <row r="6142" ht="16.5" customHeight="1" x14ac:dyDescent="0.25"/>
    <row r="6143" ht="16.5" customHeight="1" x14ac:dyDescent="0.25"/>
    <row r="6144" ht="16.5" customHeight="1" x14ac:dyDescent="0.25"/>
    <row r="6145" ht="16.5" customHeight="1" x14ac:dyDescent="0.25"/>
    <row r="6146" ht="16.5" customHeight="1" x14ac:dyDescent="0.25"/>
    <row r="6147" ht="16.5" customHeight="1" x14ac:dyDescent="0.25"/>
    <row r="6148" ht="16.5" customHeight="1" x14ac:dyDescent="0.25"/>
    <row r="6149" ht="16.5" customHeight="1" x14ac:dyDescent="0.25"/>
    <row r="6150" ht="16.5" customHeight="1" x14ac:dyDescent="0.25"/>
    <row r="6151" ht="16.5" customHeight="1" x14ac:dyDescent="0.25"/>
    <row r="6152" ht="16.5" customHeight="1" x14ac:dyDescent="0.25"/>
    <row r="6153" ht="16.5" customHeight="1" x14ac:dyDescent="0.25"/>
    <row r="6154" ht="16.5" customHeight="1" x14ac:dyDescent="0.25"/>
    <row r="6155" ht="16.5" customHeight="1" x14ac:dyDescent="0.25"/>
    <row r="6156" ht="16.5" customHeight="1" x14ac:dyDescent="0.25"/>
    <row r="6157" ht="16.5" customHeight="1" x14ac:dyDescent="0.25"/>
    <row r="6158" ht="16.5" customHeight="1" x14ac:dyDescent="0.25"/>
    <row r="6159" ht="16.5" customHeight="1" x14ac:dyDescent="0.25"/>
    <row r="6160" ht="16.5" customHeight="1" x14ac:dyDescent="0.25"/>
    <row r="6161" ht="16.5" customHeight="1" x14ac:dyDescent="0.25"/>
    <row r="6162" ht="16.5" customHeight="1" x14ac:dyDescent="0.25"/>
    <row r="6163" ht="16.5" customHeight="1" x14ac:dyDescent="0.25"/>
    <row r="6164" ht="16.5" customHeight="1" x14ac:dyDescent="0.25"/>
    <row r="6165" ht="16.5" customHeight="1" x14ac:dyDescent="0.25"/>
    <row r="6166" ht="16.5" customHeight="1" x14ac:dyDescent="0.25"/>
    <row r="6167" ht="16.5" customHeight="1" x14ac:dyDescent="0.25"/>
    <row r="6168" ht="16.5" customHeight="1" x14ac:dyDescent="0.25"/>
    <row r="6169" ht="16.5" customHeight="1" x14ac:dyDescent="0.25"/>
    <row r="6170" ht="16.5" customHeight="1" x14ac:dyDescent="0.25"/>
    <row r="6171" ht="16.5" customHeight="1" x14ac:dyDescent="0.25"/>
    <row r="6172" ht="16.5" customHeight="1" x14ac:dyDescent="0.25"/>
    <row r="6173" ht="16.5" customHeight="1" x14ac:dyDescent="0.25"/>
    <row r="6174" ht="16.5" customHeight="1" x14ac:dyDescent="0.25"/>
    <row r="6175" ht="16.5" customHeight="1" x14ac:dyDescent="0.25"/>
    <row r="6176" ht="16.5" customHeight="1" x14ac:dyDescent="0.25"/>
    <row r="6177" ht="16.5" customHeight="1" x14ac:dyDescent="0.25"/>
    <row r="6178" ht="16.5" customHeight="1" x14ac:dyDescent="0.25"/>
    <row r="6179" ht="16.5" customHeight="1" x14ac:dyDescent="0.25"/>
    <row r="6180" ht="16.5" customHeight="1" x14ac:dyDescent="0.25"/>
    <row r="6181" ht="16.5" customHeight="1" x14ac:dyDescent="0.25"/>
    <row r="6182" ht="16.5" customHeight="1" x14ac:dyDescent="0.25"/>
    <row r="6183" ht="16.5" customHeight="1" x14ac:dyDescent="0.25"/>
    <row r="6184" ht="16.5" customHeight="1" x14ac:dyDescent="0.25"/>
    <row r="6185" ht="16.5" customHeight="1" x14ac:dyDescent="0.25"/>
    <row r="6186" ht="16.5" customHeight="1" x14ac:dyDescent="0.25"/>
    <row r="6187" ht="16.5" customHeight="1" x14ac:dyDescent="0.25"/>
    <row r="6188" ht="16.5" customHeight="1" x14ac:dyDescent="0.25"/>
    <row r="6189" ht="16.5" customHeight="1" x14ac:dyDescent="0.25"/>
    <row r="6190" ht="16.5" customHeight="1" x14ac:dyDescent="0.25"/>
    <row r="6191" ht="16.5" customHeight="1" x14ac:dyDescent="0.25"/>
    <row r="6192" ht="16.5" customHeight="1" x14ac:dyDescent="0.25"/>
    <row r="6193" ht="16.5" customHeight="1" x14ac:dyDescent="0.25"/>
    <row r="6194" ht="16.5" customHeight="1" x14ac:dyDescent="0.25"/>
    <row r="6195" ht="16.5" customHeight="1" x14ac:dyDescent="0.25"/>
    <row r="6196" ht="16.5" customHeight="1" x14ac:dyDescent="0.25"/>
    <row r="6197" ht="16.5" customHeight="1" x14ac:dyDescent="0.25"/>
    <row r="6198" ht="16.5" customHeight="1" x14ac:dyDescent="0.25"/>
    <row r="6199" ht="16.5" customHeight="1" x14ac:dyDescent="0.25"/>
    <row r="6200" ht="16.5" customHeight="1" x14ac:dyDescent="0.25"/>
    <row r="6201" ht="16.5" customHeight="1" x14ac:dyDescent="0.25"/>
    <row r="6202" ht="16.5" customHeight="1" x14ac:dyDescent="0.25"/>
    <row r="6203" ht="16.5" customHeight="1" x14ac:dyDescent="0.25"/>
    <row r="6204" ht="16.5" customHeight="1" x14ac:dyDescent="0.25"/>
    <row r="6205" ht="16.5" customHeight="1" x14ac:dyDescent="0.25"/>
    <row r="6206" ht="16.5" customHeight="1" x14ac:dyDescent="0.25"/>
    <row r="6207" ht="16.5" customHeight="1" x14ac:dyDescent="0.25"/>
    <row r="6208" ht="16.5" customHeight="1" x14ac:dyDescent="0.25"/>
    <row r="6209" ht="16.5" customHeight="1" x14ac:dyDescent="0.25"/>
    <row r="6210" ht="16.5" customHeight="1" x14ac:dyDescent="0.25"/>
    <row r="6211" ht="16.5" customHeight="1" x14ac:dyDescent="0.25"/>
    <row r="6212" ht="16.5" customHeight="1" x14ac:dyDescent="0.25"/>
    <row r="6213" ht="16.5" customHeight="1" x14ac:dyDescent="0.25"/>
    <row r="6214" ht="16.5" customHeight="1" x14ac:dyDescent="0.25"/>
    <row r="6215" ht="16.5" customHeight="1" x14ac:dyDescent="0.25"/>
    <row r="6216" ht="16.5" customHeight="1" x14ac:dyDescent="0.25"/>
    <row r="6217" ht="16.5" customHeight="1" x14ac:dyDescent="0.25"/>
    <row r="6218" ht="16.5" customHeight="1" x14ac:dyDescent="0.25"/>
    <row r="6219" ht="16.5" customHeight="1" x14ac:dyDescent="0.25"/>
    <row r="6220" ht="16.5" customHeight="1" x14ac:dyDescent="0.25"/>
    <row r="6221" ht="16.5" customHeight="1" x14ac:dyDescent="0.25"/>
    <row r="6222" ht="16.5" customHeight="1" x14ac:dyDescent="0.25"/>
    <row r="6223" ht="16.5" customHeight="1" x14ac:dyDescent="0.25"/>
    <row r="6224" ht="16.5" customHeight="1" x14ac:dyDescent="0.25"/>
    <row r="6225" ht="16.5" customHeight="1" x14ac:dyDescent="0.25"/>
    <row r="6226" ht="16.5" customHeight="1" x14ac:dyDescent="0.25"/>
    <row r="6227" ht="16.5" customHeight="1" x14ac:dyDescent="0.25"/>
    <row r="6228" ht="16.5" customHeight="1" x14ac:dyDescent="0.25"/>
    <row r="6229" ht="16.5" customHeight="1" x14ac:dyDescent="0.25"/>
    <row r="6230" ht="16.5" customHeight="1" x14ac:dyDescent="0.25"/>
    <row r="6231" ht="16.5" customHeight="1" x14ac:dyDescent="0.25"/>
    <row r="6232" ht="16.5" customHeight="1" x14ac:dyDescent="0.25"/>
    <row r="6233" ht="16.5" customHeight="1" x14ac:dyDescent="0.25"/>
    <row r="6234" ht="16.5" customHeight="1" x14ac:dyDescent="0.25"/>
    <row r="6235" ht="16.5" customHeight="1" x14ac:dyDescent="0.25"/>
    <row r="6236" ht="16.5" customHeight="1" x14ac:dyDescent="0.25"/>
    <row r="6237" ht="16.5" customHeight="1" x14ac:dyDescent="0.25"/>
    <row r="6238" ht="16.5" customHeight="1" x14ac:dyDescent="0.25"/>
    <row r="6239" ht="16.5" customHeight="1" x14ac:dyDescent="0.25"/>
    <row r="6240" ht="16.5" customHeight="1" x14ac:dyDescent="0.25"/>
    <row r="6241" ht="16.5" customHeight="1" x14ac:dyDescent="0.25"/>
    <row r="6242" ht="16.5" customHeight="1" x14ac:dyDescent="0.25"/>
    <row r="6243" ht="16.5" customHeight="1" x14ac:dyDescent="0.25"/>
    <row r="6244" ht="16.5" customHeight="1" x14ac:dyDescent="0.25"/>
    <row r="6245" ht="16.5" customHeight="1" x14ac:dyDescent="0.25"/>
    <row r="6246" ht="16.5" customHeight="1" x14ac:dyDescent="0.25"/>
    <row r="6247" ht="16.5" customHeight="1" x14ac:dyDescent="0.25"/>
    <row r="6248" ht="16.5" customHeight="1" x14ac:dyDescent="0.25"/>
    <row r="6249" ht="16.5" customHeight="1" x14ac:dyDescent="0.25"/>
    <row r="6250" ht="16.5" customHeight="1" x14ac:dyDescent="0.25"/>
    <row r="6251" ht="16.5" customHeight="1" x14ac:dyDescent="0.25"/>
    <row r="6252" ht="16.5" customHeight="1" x14ac:dyDescent="0.25"/>
    <row r="6253" ht="16.5" customHeight="1" x14ac:dyDescent="0.25"/>
    <row r="6254" ht="16.5" customHeight="1" x14ac:dyDescent="0.25"/>
    <row r="6255" ht="16.5" customHeight="1" x14ac:dyDescent="0.25"/>
    <row r="6256" ht="16.5" customHeight="1" x14ac:dyDescent="0.25"/>
    <row r="6257" ht="16.5" customHeight="1" x14ac:dyDescent="0.25"/>
    <row r="6258" ht="16.5" customHeight="1" x14ac:dyDescent="0.25"/>
    <row r="6259" ht="16.5" customHeight="1" x14ac:dyDescent="0.25"/>
    <row r="6260" ht="16.5" customHeight="1" x14ac:dyDescent="0.25"/>
    <row r="6261" ht="16.5" customHeight="1" x14ac:dyDescent="0.25"/>
    <row r="6262" ht="16.5" customHeight="1" x14ac:dyDescent="0.25"/>
    <row r="6263" ht="16.5" customHeight="1" x14ac:dyDescent="0.25"/>
    <row r="6264" ht="16.5" customHeight="1" x14ac:dyDescent="0.25"/>
    <row r="6265" ht="16.5" customHeight="1" x14ac:dyDescent="0.25"/>
    <row r="6266" ht="16.5" customHeight="1" x14ac:dyDescent="0.25"/>
    <row r="6267" ht="16.5" customHeight="1" x14ac:dyDescent="0.25"/>
    <row r="6268" ht="16.5" customHeight="1" x14ac:dyDescent="0.25"/>
    <row r="6269" ht="16.5" customHeight="1" x14ac:dyDescent="0.25"/>
    <row r="6270" ht="16.5" customHeight="1" x14ac:dyDescent="0.25"/>
    <row r="6271" ht="16.5" customHeight="1" x14ac:dyDescent="0.25"/>
    <row r="6272" ht="16.5" customHeight="1" x14ac:dyDescent="0.25"/>
    <row r="6273" ht="16.5" customHeight="1" x14ac:dyDescent="0.25"/>
    <row r="6274" ht="16.5" customHeight="1" x14ac:dyDescent="0.25"/>
    <row r="6275" ht="16.5" customHeight="1" x14ac:dyDescent="0.25"/>
    <row r="6276" ht="16.5" customHeight="1" x14ac:dyDescent="0.25"/>
    <row r="6277" ht="16.5" customHeight="1" x14ac:dyDescent="0.25"/>
    <row r="6278" ht="16.5" customHeight="1" x14ac:dyDescent="0.25"/>
    <row r="6279" ht="16.5" customHeight="1" x14ac:dyDescent="0.25"/>
    <row r="6280" ht="16.5" customHeight="1" x14ac:dyDescent="0.25"/>
    <row r="6281" ht="16.5" customHeight="1" x14ac:dyDescent="0.25"/>
    <row r="6282" ht="16.5" customHeight="1" x14ac:dyDescent="0.25"/>
    <row r="6283" ht="16.5" customHeight="1" x14ac:dyDescent="0.25"/>
    <row r="6284" ht="16.5" customHeight="1" x14ac:dyDescent="0.25"/>
    <row r="6285" ht="16.5" customHeight="1" x14ac:dyDescent="0.25"/>
    <row r="6286" ht="16.5" customHeight="1" x14ac:dyDescent="0.25"/>
    <row r="6287" ht="16.5" customHeight="1" x14ac:dyDescent="0.25"/>
    <row r="6288" ht="16.5" customHeight="1" x14ac:dyDescent="0.25"/>
    <row r="6289" ht="16.5" customHeight="1" x14ac:dyDescent="0.25"/>
    <row r="6290" ht="16.5" customHeight="1" x14ac:dyDescent="0.25"/>
    <row r="6291" ht="16.5" customHeight="1" x14ac:dyDescent="0.25"/>
    <row r="6292" ht="16.5" customHeight="1" x14ac:dyDescent="0.25"/>
    <row r="6293" ht="16.5" customHeight="1" x14ac:dyDescent="0.25"/>
    <row r="6294" ht="16.5" customHeight="1" x14ac:dyDescent="0.25"/>
    <row r="6295" ht="16.5" customHeight="1" x14ac:dyDescent="0.25"/>
    <row r="6296" ht="16.5" customHeight="1" x14ac:dyDescent="0.25"/>
    <row r="6297" ht="16.5" customHeight="1" x14ac:dyDescent="0.25"/>
    <row r="6298" ht="16.5" customHeight="1" x14ac:dyDescent="0.25"/>
    <row r="6299" ht="16.5" customHeight="1" x14ac:dyDescent="0.25"/>
    <row r="6300" ht="16.5" customHeight="1" x14ac:dyDescent="0.25"/>
    <row r="6301" ht="16.5" customHeight="1" x14ac:dyDescent="0.25"/>
    <row r="6302" ht="16.5" customHeight="1" x14ac:dyDescent="0.25"/>
    <row r="6303" ht="16.5" customHeight="1" x14ac:dyDescent="0.25"/>
    <row r="6304" ht="16.5" customHeight="1" x14ac:dyDescent="0.25"/>
    <row r="6305" ht="16.5" customHeight="1" x14ac:dyDescent="0.25"/>
    <row r="6306" ht="16.5" customHeight="1" x14ac:dyDescent="0.25"/>
    <row r="6307" ht="16.5" customHeight="1" x14ac:dyDescent="0.25"/>
    <row r="6308" ht="16.5" customHeight="1" x14ac:dyDescent="0.25"/>
    <row r="6309" ht="16.5" customHeight="1" x14ac:dyDescent="0.25"/>
    <row r="6310" ht="16.5" customHeight="1" x14ac:dyDescent="0.25"/>
    <row r="6311" ht="16.5" customHeight="1" x14ac:dyDescent="0.25"/>
    <row r="6312" ht="16.5" customHeight="1" x14ac:dyDescent="0.25"/>
    <row r="6313" ht="16.5" customHeight="1" x14ac:dyDescent="0.25"/>
    <row r="6314" ht="16.5" customHeight="1" x14ac:dyDescent="0.25"/>
    <row r="6315" ht="16.5" customHeight="1" x14ac:dyDescent="0.25"/>
    <row r="6316" ht="16.5" customHeight="1" x14ac:dyDescent="0.25"/>
    <row r="6317" ht="16.5" customHeight="1" x14ac:dyDescent="0.25"/>
    <row r="6318" ht="16.5" customHeight="1" x14ac:dyDescent="0.25"/>
    <row r="6319" ht="16.5" customHeight="1" x14ac:dyDescent="0.25"/>
    <row r="6320" ht="16.5" customHeight="1" x14ac:dyDescent="0.25"/>
    <row r="6321" ht="16.5" customHeight="1" x14ac:dyDescent="0.25"/>
    <row r="6322" ht="16.5" customHeight="1" x14ac:dyDescent="0.25"/>
    <row r="6323" ht="16.5" customHeight="1" x14ac:dyDescent="0.25"/>
    <row r="6324" ht="16.5" customHeight="1" x14ac:dyDescent="0.25"/>
    <row r="6325" ht="16.5" customHeight="1" x14ac:dyDescent="0.25"/>
    <row r="6326" ht="16.5" customHeight="1" x14ac:dyDescent="0.25"/>
    <row r="6327" ht="16.5" customHeight="1" x14ac:dyDescent="0.25"/>
    <row r="6328" ht="16.5" customHeight="1" x14ac:dyDescent="0.25"/>
    <row r="6329" ht="16.5" customHeight="1" x14ac:dyDescent="0.25"/>
    <row r="6330" ht="16.5" customHeight="1" x14ac:dyDescent="0.25"/>
    <row r="6331" ht="16.5" customHeight="1" x14ac:dyDescent="0.25"/>
    <row r="6332" ht="16.5" customHeight="1" x14ac:dyDescent="0.25"/>
    <row r="6333" ht="16.5" customHeight="1" x14ac:dyDescent="0.25"/>
    <row r="6334" ht="16.5" customHeight="1" x14ac:dyDescent="0.25"/>
    <row r="6335" ht="16.5" customHeight="1" x14ac:dyDescent="0.25"/>
    <row r="6336" ht="16.5" customHeight="1" x14ac:dyDescent="0.25"/>
    <row r="6337" ht="16.5" customHeight="1" x14ac:dyDescent="0.25"/>
    <row r="6338" ht="16.5" customHeight="1" x14ac:dyDescent="0.25"/>
    <row r="6339" ht="16.5" customHeight="1" x14ac:dyDescent="0.25"/>
    <row r="6340" ht="16.5" customHeight="1" x14ac:dyDescent="0.25"/>
    <row r="6341" ht="16.5" customHeight="1" x14ac:dyDescent="0.25"/>
    <row r="6342" ht="16.5" customHeight="1" x14ac:dyDescent="0.25"/>
    <row r="6343" ht="16.5" customHeight="1" x14ac:dyDescent="0.25"/>
    <row r="6344" ht="16.5" customHeight="1" x14ac:dyDescent="0.25"/>
    <row r="6345" ht="16.5" customHeight="1" x14ac:dyDescent="0.25"/>
    <row r="6346" ht="16.5" customHeight="1" x14ac:dyDescent="0.25"/>
    <row r="6347" ht="16.5" customHeight="1" x14ac:dyDescent="0.25"/>
    <row r="6348" ht="16.5" customHeight="1" x14ac:dyDescent="0.25"/>
    <row r="6349" ht="16.5" customHeight="1" x14ac:dyDescent="0.25"/>
    <row r="6350" ht="16.5" customHeight="1" x14ac:dyDescent="0.25"/>
    <row r="6351" ht="16.5" customHeight="1" x14ac:dyDescent="0.25"/>
    <row r="6352" ht="16.5" customHeight="1" x14ac:dyDescent="0.25"/>
    <row r="6353" ht="16.5" customHeight="1" x14ac:dyDescent="0.25"/>
    <row r="6354" ht="16.5" customHeight="1" x14ac:dyDescent="0.25"/>
    <row r="6355" ht="16.5" customHeight="1" x14ac:dyDescent="0.25"/>
    <row r="6356" ht="16.5" customHeight="1" x14ac:dyDescent="0.25"/>
    <row r="6357" ht="16.5" customHeight="1" x14ac:dyDescent="0.25"/>
    <row r="6358" ht="16.5" customHeight="1" x14ac:dyDescent="0.25"/>
    <row r="6359" ht="16.5" customHeight="1" x14ac:dyDescent="0.25"/>
    <row r="6360" ht="16.5" customHeight="1" x14ac:dyDescent="0.25"/>
    <row r="6361" ht="16.5" customHeight="1" x14ac:dyDescent="0.25"/>
    <row r="6362" ht="16.5" customHeight="1" x14ac:dyDescent="0.25"/>
    <row r="6363" ht="16.5" customHeight="1" x14ac:dyDescent="0.25"/>
    <row r="6364" ht="16.5" customHeight="1" x14ac:dyDescent="0.25"/>
    <row r="6365" ht="16.5" customHeight="1" x14ac:dyDescent="0.25"/>
    <row r="6366" ht="16.5" customHeight="1" x14ac:dyDescent="0.25"/>
    <row r="6367" ht="16.5" customHeight="1" x14ac:dyDescent="0.25"/>
    <row r="6368" ht="16.5" customHeight="1" x14ac:dyDescent="0.25"/>
    <row r="6369" ht="16.5" customHeight="1" x14ac:dyDescent="0.25"/>
    <row r="6370" ht="16.5" customHeight="1" x14ac:dyDescent="0.25"/>
    <row r="6371" ht="16.5" customHeight="1" x14ac:dyDescent="0.25"/>
    <row r="6372" ht="16.5" customHeight="1" x14ac:dyDescent="0.25"/>
    <row r="6373" ht="16.5" customHeight="1" x14ac:dyDescent="0.25"/>
    <row r="6374" ht="16.5" customHeight="1" x14ac:dyDescent="0.25"/>
    <row r="6375" ht="16.5" customHeight="1" x14ac:dyDescent="0.25"/>
    <row r="6376" ht="16.5" customHeight="1" x14ac:dyDescent="0.25"/>
    <row r="6377" ht="16.5" customHeight="1" x14ac:dyDescent="0.25"/>
    <row r="6378" ht="16.5" customHeight="1" x14ac:dyDescent="0.25"/>
    <row r="6379" ht="16.5" customHeight="1" x14ac:dyDescent="0.25"/>
    <row r="6380" ht="16.5" customHeight="1" x14ac:dyDescent="0.25"/>
    <row r="6381" ht="16.5" customHeight="1" x14ac:dyDescent="0.25"/>
    <row r="6382" ht="16.5" customHeight="1" x14ac:dyDescent="0.25"/>
    <row r="6383" ht="16.5" customHeight="1" x14ac:dyDescent="0.25"/>
    <row r="6384" ht="16.5" customHeight="1" x14ac:dyDescent="0.25"/>
    <row r="6385" ht="16.5" customHeight="1" x14ac:dyDescent="0.25"/>
    <row r="6386" ht="16.5" customHeight="1" x14ac:dyDescent="0.25"/>
    <row r="6387" ht="16.5" customHeight="1" x14ac:dyDescent="0.25"/>
    <row r="6388" ht="16.5" customHeight="1" x14ac:dyDescent="0.25"/>
    <row r="6389" ht="16.5" customHeight="1" x14ac:dyDescent="0.25"/>
    <row r="6390" ht="16.5" customHeight="1" x14ac:dyDescent="0.25"/>
    <row r="6391" ht="16.5" customHeight="1" x14ac:dyDescent="0.25"/>
    <row r="6392" ht="16.5" customHeight="1" x14ac:dyDescent="0.25"/>
    <row r="6393" ht="16.5" customHeight="1" x14ac:dyDescent="0.25"/>
    <row r="6394" ht="16.5" customHeight="1" x14ac:dyDescent="0.25"/>
    <row r="6395" ht="16.5" customHeight="1" x14ac:dyDescent="0.25"/>
    <row r="6396" ht="16.5" customHeight="1" x14ac:dyDescent="0.25"/>
    <row r="6397" ht="16.5" customHeight="1" x14ac:dyDescent="0.25"/>
    <row r="6398" ht="16.5" customHeight="1" x14ac:dyDescent="0.25"/>
    <row r="6399" ht="16.5" customHeight="1" x14ac:dyDescent="0.25"/>
    <row r="6400" ht="16.5" customHeight="1" x14ac:dyDescent="0.25"/>
    <row r="6401" ht="16.5" customHeight="1" x14ac:dyDescent="0.25"/>
    <row r="6402" ht="16.5" customHeight="1" x14ac:dyDescent="0.25"/>
    <row r="6403" ht="16.5" customHeight="1" x14ac:dyDescent="0.25"/>
    <row r="6404" ht="16.5" customHeight="1" x14ac:dyDescent="0.25"/>
    <row r="6405" ht="16.5" customHeight="1" x14ac:dyDescent="0.25"/>
    <row r="6406" ht="16.5" customHeight="1" x14ac:dyDescent="0.25"/>
    <row r="6407" ht="16.5" customHeight="1" x14ac:dyDescent="0.25"/>
    <row r="6408" ht="16.5" customHeight="1" x14ac:dyDescent="0.25"/>
    <row r="6409" ht="16.5" customHeight="1" x14ac:dyDescent="0.25"/>
    <row r="6410" ht="16.5" customHeight="1" x14ac:dyDescent="0.25"/>
    <row r="6411" ht="16.5" customHeight="1" x14ac:dyDescent="0.25"/>
    <row r="6412" ht="16.5" customHeight="1" x14ac:dyDescent="0.25"/>
    <row r="6413" ht="16.5" customHeight="1" x14ac:dyDescent="0.25"/>
    <row r="6414" ht="16.5" customHeight="1" x14ac:dyDescent="0.25"/>
    <row r="6415" ht="16.5" customHeight="1" x14ac:dyDescent="0.25"/>
    <row r="6416" ht="16.5" customHeight="1" x14ac:dyDescent="0.25"/>
    <row r="6417" ht="16.5" customHeight="1" x14ac:dyDescent="0.25"/>
    <row r="6418" ht="16.5" customHeight="1" x14ac:dyDescent="0.25"/>
    <row r="6419" ht="16.5" customHeight="1" x14ac:dyDescent="0.25"/>
    <row r="6420" ht="16.5" customHeight="1" x14ac:dyDescent="0.25"/>
    <row r="6421" ht="16.5" customHeight="1" x14ac:dyDescent="0.25"/>
    <row r="6422" ht="16.5" customHeight="1" x14ac:dyDescent="0.25"/>
    <row r="6423" ht="16.5" customHeight="1" x14ac:dyDescent="0.25"/>
    <row r="6424" ht="16.5" customHeight="1" x14ac:dyDescent="0.25"/>
    <row r="6425" ht="16.5" customHeight="1" x14ac:dyDescent="0.25"/>
    <row r="6426" ht="16.5" customHeight="1" x14ac:dyDescent="0.25"/>
    <row r="6427" ht="16.5" customHeight="1" x14ac:dyDescent="0.25"/>
    <row r="6428" ht="16.5" customHeight="1" x14ac:dyDescent="0.25"/>
    <row r="6429" ht="16.5" customHeight="1" x14ac:dyDescent="0.25"/>
    <row r="6430" ht="16.5" customHeight="1" x14ac:dyDescent="0.25"/>
    <row r="6431" ht="16.5" customHeight="1" x14ac:dyDescent="0.25"/>
    <row r="6432" ht="16.5" customHeight="1" x14ac:dyDescent="0.25"/>
    <row r="6433" ht="16.5" customHeight="1" x14ac:dyDescent="0.25"/>
    <row r="6434" ht="16.5" customHeight="1" x14ac:dyDescent="0.25"/>
    <row r="6435" ht="16.5" customHeight="1" x14ac:dyDescent="0.25"/>
    <row r="6436" ht="16.5" customHeight="1" x14ac:dyDescent="0.25"/>
    <row r="6437" ht="16.5" customHeight="1" x14ac:dyDescent="0.25"/>
    <row r="6438" ht="16.5" customHeight="1" x14ac:dyDescent="0.25"/>
    <row r="6439" ht="16.5" customHeight="1" x14ac:dyDescent="0.25"/>
    <row r="6440" ht="16.5" customHeight="1" x14ac:dyDescent="0.25"/>
    <row r="6441" ht="16.5" customHeight="1" x14ac:dyDescent="0.25"/>
    <row r="6442" ht="16.5" customHeight="1" x14ac:dyDescent="0.25"/>
    <row r="6443" ht="16.5" customHeight="1" x14ac:dyDescent="0.25"/>
    <row r="6444" ht="16.5" customHeight="1" x14ac:dyDescent="0.25"/>
    <row r="6445" ht="16.5" customHeight="1" x14ac:dyDescent="0.25"/>
    <row r="6446" ht="16.5" customHeight="1" x14ac:dyDescent="0.25"/>
    <row r="6447" ht="16.5" customHeight="1" x14ac:dyDescent="0.25"/>
    <row r="6448" ht="16.5" customHeight="1" x14ac:dyDescent="0.25"/>
    <row r="6449" ht="16.5" customHeight="1" x14ac:dyDescent="0.25"/>
    <row r="6450" ht="16.5" customHeight="1" x14ac:dyDescent="0.25"/>
    <row r="6451" ht="16.5" customHeight="1" x14ac:dyDescent="0.25"/>
    <row r="6452" ht="16.5" customHeight="1" x14ac:dyDescent="0.25"/>
    <row r="6453" ht="16.5" customHeight="1" x14ac:dyDescent="0.25"/>
    <row r="6454" ht="16.5" customHeight="1" x14ac:dyDescent="0.25"/>
    <row r="6455" ht="16.5" customHeight="1" x14ac:dyDescent="0.25"/>
    <row r="6456" ht="16.5" customHeight="1" x14ac:dyDescent="0.25"/>
    <row r="6457" ht="16.5" customHeight="1" x14ac:dyDescent="0.25"/>
    <row r="6458" ht="16.5" customHeight="1" x14ac:dyDescent="0.25"/>
    <row r="6459" ht="16.5" customHeight="1" x14ac:dyDescent="0.25"/>
    <row r="6460" ht="16.5" customHeight="1" x14ac:dyDescent="0.25"/>
    <row r="6461" ht="16.5" customHeight="1" x14ac:dyDescent="0.25"/>
    <row r="6462" ht="16.5" customHeight="1" x14ac:dyDescent="0.25"/>
    <row r="6463" ht="16.5" customHeight="1" x14ac:dyDescent="0.25"/>
    <row r="6464" ht="16.5" customHeight="1" x14ac:dyDescent="0.25"/>
    <row r="6465" ht="16.5" customHeight="1" x14ac:dyDescent="0.25"/>
    <row r="6466" ht="16.5" customHeight="1" x14ac:dyDescent="0.25"/>
    <row r="6467" ht="16.5" customHeight="1" x14ac:dyDescent="0.25"/>
    <row r="6468" ht="16.5" customHeight="1" x14ac:dyDescent="0.25"/>
    <row r="6469" ht="16.5" customHeight="1" x14ac:dyDescent="0.25"/>
    <row r="6470" ht="16.5" customHeight="1" x14ac:dyDescent="0.25"/>
    <row r="6471" ht="16.5" customHeight="1" x14ac:dyDescent="0.25"/>
    <row r="6472" ht="16.5" customHeight="1" x14ac:dyDescent="0.25"/>
    <row r="6473" ht="16.5" customHeight="1" x14ac:dyDescent="0.25"/>
    <row r="6474" ht="16.5" customHeight="1" x14ac:dyDescent="0.25"/>
    <row r="6475" ht="16.5" customHeight="1" x14ac:dyDescent="0.25"/>
    <row r="6476" ht="16.5" customHeight="1" x14ac:dyDescent="0.25"/>
    <row r="6477" ht="16.5" customHeight="1" x14ac:dyDescent="0.25"/>
    <row r="6478" ht="16.5" customHeight="1" x14ac:dyDescent="0.25"/>
    <row r="6479" ht="16.5" customHeight="1" x14ac:dyDescent="0.25"/>
    <row r="6480" ht="16.5" customHeight="1" x14ac:dyDescent="0.25"/>
    <row r="6481" ht="16.5" customHeight="1" x14ac:dyDescent="0.25"/>
    <row r="6482" ht="16.5" customHeight="1" x14ac:dyDescent="0.25"/>
    <row r="6483" ht="16.5" customHeight="1" x14ac:dyDescent="0.25"/>
    <row r="6484" ht="16.5" customHeight="1" x14ac:dyDescent="0.25"/>
    <row r="6485" ht="16.5" customHeight="1" x14ac:dyDescent="0.25"/>
    <row r="6486" ht="16.5" customHeight="1" x14ac:dyDescent="0.25"/>
    <row r="6487" ht="16.5" customHeight="1" x14ac:dyDescent="0.25"/>
    <row r="6488" ht="16.5" customHeight="1" x14ac:dyDescent="0.25"/>
    <row r="6489" ht="16.5" customHeight="1" x14ac:dyDescent="0.25"/>
    <row r="6490" ht="16.5" customHeight="1" x14ac:dyDescent="0.25"/>
    <row r="6491" ht="16.5" customHeight="1" x14ac:dyDescent="0.25"/>
    <row r="6492" ht="16.5" customHeight="1" x14ac:dyDescent="0.25"/>
    <row r="6493" ht="16.5" customHeight="1" x14ac:dyDescent="0.25"/>
    <row r="6494" ht="16.5" customHeight="1" x14ac:dyDescent="0.25"/>
    <row r="6495" ht="16.5" customHeight="1" x14ac:dyDescent="0.25"/>
    <row r="6496" ht="16.5" customHeight="1" x14ac:dyDescent="0.25"/>
    <row r="6497" ht="16.5" customHeight="1" x14ac:dyDescent="0.25"/>
    <row r="6498" ht="16.5" customHeight="1" x14ac:dyDescent="0.25"/>
    <row r="6499" ht="16.5" customHeight="1" x14ac:dyDescent="0.25"/>
    <row r="6500" ht="16.5" customHeight="1" x14ac:dyDescent="0.25"/>
    <row r="6501" ht="16.5" customHeight="1" x14ac:dyDescent="0.25"/>
    <row r="6502" ht="16.5" customHeight="1" x14ac:dyDescent="0.25"/>
    <row r="6503" ht="16.5" customHeight="1" x14ac:dyDescent="0.25"/>
    <row r="6504" ht="16.5" customHeight="1" x14ac:dyDescent="0.25"/>
    <row r="6505" ht="16.5" customHeight="1" x14ac:dyDescent="0.25"/>
    <row r="6506" ht="16.5" customHeight="1" x14ac:dyDescent="0.25"/>
    <row r="6507" ht="16.5" customHeight="1" x14ac:dyDescent="0.25"/>
    <row r="6508" ht="16.5" customHeight="1" x14ac:dyDescent="0.25"/>
    <row r="6509" ht="16.5" customHeight="1" x14ac:dyDescent="0.25"/>
    <row r="6510" ht="16.5" customHeight="1" x14ac:dyDescent="0.25"/>
    <row r="6511" ht="16.5" customHeight="1" x14ac:dyDescent="0.25"/>
    <row r="6512" ht="16.5" customHeight="1" x14ac:dyDescent="0.25"/>
    <row r="6513" ht="16.5" customHeight="1" x14ac:dyDescent="0.25"/>
    <row r="6514" ht="16.5" customHeight="1" x14ac:dyDescent="0.25"/>
    <row r="6515" ht="16.5" customHeight="1" x14ac:dyDescent="0.25"/>
    <row r="6516" ht="16.5" customHeight="1" x14ac:dyDescent="0.25"/>
    <row r="6517" ht="16.5" customHeight="1" x14ac:dyDescent="0.25"/>
    <row r="6518" ht="16.5" customHeight="1" x14ac:dyDescent="0.25"/>
    <row r="6519" ht="16.5" customHeight="1" x14ac:dyDescent="0.25"/>
    <row r="6520" ht="16.5" customHeight="1" x14ac:dyDescent="0.25"/>
    <row r="6521" ht="16.5" customHeight="1" x14ac:dyDescent="0.25"/>
    <row r="6522" ht="16.5" customHeight="1" x14ac:dyDescent="0.25"/>
    <row r="6523" ht="16.5" customHeight="1" x14ac:dyDescent="0.25"/>
    <row r="6524" ht="16.5" customHeight="1" x14ac:dyDescent="0.25"/>
    <row r="6525" ht="16.5" customHeight="1" x14ac:dyDescent="0.25"/>
    <row r="6526" ht="16.5" customHeight="1" x14ac:dyDescent="0.25"/>
    <row r="6527" ht="16.5" customHeight="1" x14ac:dyDescent="0.25"/>
    <row r="6528" ht="16.5" customHeight="1" x14ac:dyDescent="0.25"/>
    <row r="6529" ht="16.5" customHeight="1" x14ac:dyDescent="0.25"/>
    <row r="6530" ht="16.5" customHeight="1" x14ac:dyDescent="0.25"/>
    <row r="6531" ht="16.5" customHeight="1" x14ac:dyDescent="0.25"/>
    <row r="6532" ht="16.5" customHeight="1" x14ac:dyDescent="0.25"/>
    <row r="6533" ht="16.5" customHeight="1" x14ac:dyDescent="0.25"/>
    <row r="6534" ht="16.5" customHeight="1" x14ac:dyDescent="0.25"/>
    <row r="6535" ht="16.5" customHeight="1" x14ac:dyDescent="0.25"/>
    <row r="6536" ht="16.5" customHeight="1" x14ac:dyDescent="0.25"/>
    <row r="6537" ht="16.5" customHeight="1" x14ac:dyDescent="0.25"/>
    <row r="6538" ht="16.5" customHeight="1" x14ac:dyDescent="0.25"/>
    <row r="6539" ht="16.5" customHeight="1" x14ac:dyDescent="0.25"/>
    <row r="6540" ht="16.5" customHeight="1" x14ac:dyDescent="0.25"/>
    <row r="6541" ht="16.5" customHeight="1" x14ac:dyDescent="0.25"/>
    <row r="6542" ht="16.5" customHeight="1" x14ac:dyDescent="0.25"/>
    <row r="6543" ht="16.5" customHeight="1" x14ac:dyDescent="0.25"/>
    <row r="6544" ht="16.5" customHeight="1" x14ac:dyDescent="0.25"/>
    <row r="6545" ht="16.5" customHeight="1" x14ac:dyDescent="0.25"/>
    <row r="6546" ht="16.5" customHeight="1" x14ac:dyDescent="0.25"/>
    <row r="6547" ht="16.5" customHeight="1" x14ac:dyDescent="0.25"/>
    <row r="6548" ht="16.5" customHeight="1" x14ac:dyDescent="0.25"/>
    <row r="6549" ht="16.5" customHeight="1" x14ac:dyDescent="0.25"/>
    <row r="6550" ht="16.5" customHeight="1" x14ac:dyDescent="0.25"/>
    <row r="6551" ht="16.5" customHeight="1" x14ac:dyDescent="0.25"/>
    <row r="6552" ht="16.5" customHeight="1" x14ac:dyDescent="0.25"/>
    <row r="6553" ht="16.5" customHeight="1" x14ac:dyDescent="0.25"/>
    <row r="6554" ht="16.5" customHeight="1" x14ac:dyDescent="0.25"/>
    <row r="6555" ht="16.5" customHeight="1" x14ac:dyDescent="0.25"/>
    <row r="6556" ht="16.5" customHeight="1" x14ac:dyDescent="0.25"/>
    <row r="6557" ht="16.5" customHeight="1" x14ac:dyDescent="0.25"/>
    <row r="6558" ht="16.5" customHeight="1" x14ac:dyDescent="0.25"/>
    <row r="6559" ht="16.5" customHeight="1" x14ac:dyDescent="0.25"/>
    <row r="6560" ht="16.5" customHeight="1" x14ac:dyDescent="0.25"/>
    <row r="6561" ht="16.5" customHeight="1" x14ac:dyDescent="0.25"/>
    <row r="6562" ht="16.5" customHeight="1" x14ac:dyDescent="0.25"/>
    <row r="6563" ht="16.5" customHeight="1" x14ac:dyDescent="0.25"/>
    <row r="6564" ht="16.5" customHeight="1" x14ac:dyDescent="0.25"/>
    <row r="6565" ht="16.5" customHeight="1" x14ac:dyDescent="0.25"/>
    <row r="6566" ht="16.5" customHeight="1" x14ac:dyDescent="0.25"/>
    <row r="6567" ht="16.5" customHeight="1" x14ac:dyDescent="0.25"/>
    <row r="6568" ht="16.5" customHeight="1" x14ac:dyDescent="0.25"/>
    <row r="6569" ht="16.5" customHeight="1" x14ac:dyDescent="0.25"/>
    <row r="6570" ht="16.5" customHeight="1" x14ac:dyDescent="0.25"/>
    <row r="6571" ht="16.5" customHeight="1" x14ac:dyDescent="0.25"/>
    <row r="6572" ht="16.5" customHeight="1" x14ac:dyDescent="0.25"/>
    <row r="6573" ht="16.5" customHeight="1" x14ac:dyDescent="0.25"/>
    <row r="6574" ht="16.5" customHeight="1" x14ac:dyDescent="0.25"/>
    <row r="6575" ht="16.5" customHeight="1" x14ac:dyDescent="0.25"/>
    <row r="6576" ht="16.5" customHeight="1" x14ac:dyDescent="0.25"/>
    <row r="6577" ht="16.5" customHeight="1" x14ac:dyDescent="0.25"/>
    <row r="6578" ht="16.5" customHeight="1" x14ac:dyDescent="0.25"/>
    <row r="6579" ht="16.5" customHeight="1" x14ac:dyDescent="0.25"/>
    <row r="6580" ht="16.5" customHeight="1" x14ac:dyDescent="0.25"/>
    <row r="6581" ht="16.5" customHeight="1" x14ac:dyDescent="0.25"/>
    <row r="6582" ht="16.5" customHeight="1" x14ac:dyDescent="0.25"/>
    <row r="6583" ht="16.5" customHeight="1" x14ac:dyDescent="0.25"/>
    <row r="6584" ht="16.5" customHeight="1" x14ac:dyDescent="0.25"/>
    <row r="6585" ht="16.5" customHeight="1" x14ac:dyDescent="0.25"/>
    <row r="6586" ht="16.5" customHeight="1" x14ac:dyDescent="0.25"/>
    <row r="6587" ht="16.5" customHeight="1" x14ac:dyDescent="0.25"/>
    <row r="6588" ht="16.5" customHeight="1" x14ac:dyDescent="0.25"/>
    <row r="6589" ht="16.5" customHeight="1" x14ac:dyDescent="0.25"/>
    <row r="6590" ht="16.5" customHeight="1" x14ac:dyDescent="0.25"/>
    <row r="6591" ht="16.5" customHeight="1" x14ac:dyDescent="0.25"/>
    <row r="6592" ht="16.5" customHeight="1" x14ac:dyDescent="0.25"/>
    <row r="6593" ht="16.5" customHeight="1" x14ac:dyDescent="0.25"/>
    <row r="6594" ht="16.5" customHeight="1" x14ac:dyDescent="0.25"/>
    <row r="6595" ht="16.5" customHeight="1" x14ac:dyDescent="0.25"/>
    <row r="6596" ht="16.5" customHeight="1" x14ac:dyDescent="0.25"/>
    <row r="6597" ht="16.5" customHeight="1" x14ac:dyDescent="0.25"/>
    <row r="6598" ht="16.5" customHeight="1" x14ac:dyDescent="0.25"/>
    <row r="6599" ht="16.5" customHeight="1" x14ac:dyDescent="0.25"/>
    <row r="6600" ht="16.5" customHeight="1" x14ac:dyDescent="0.25"/>
    <row r="6601" ht="16.5" customHeight="1" x14ac:dyDescent="0.25"/>
    <row r="6602" ht="16.5" customHeight="1" x14ac:dyDescent="0.25"/>
    <row r="6603" ht="16.5" customHeight="1" x14ac:dyDescent="0.25"/>
    <row r="6604" ht="16.5" customHeight="1" x14ac:dyDescent="0.25"/>
    <row r="6605" ht="16.5" customHeight="1" x14ac:dyDescent="0.25"/>
    <row r="6606" ht="16.5" customHeight="1" x14ac:dyDescent="0.25"/>
    <row r="6607" ht="16.5" customHeight="1" x14ac:dyDescent="0.25"/>
    <row r="6608" ht="16.5" customHeight="1" x14ac:dyDescent="0.25"/>
    <row r="6609" ht="16.5" customHeight="1" x14ac:dyDescent="0.25"/>
    <row r="6610" ht="16.5" customHeight="1" x14ac:dyDescent="0.25"/>
    <row r="6611" ht="16.5" customHeight="1" x14ac:dyDescent="0.25"/>
    <row r="6612" ht="16.5" customHeight="1" x14ac:dyDescent="0.25"/>
    <row r="6613" ht="16.5" customHeight="1" x14ac:dyDescent="0.25"/>
    <row r="6614" ht="16.5" customHeight="1" x14ac:dyDescent="0.25"/>
    <row r="6615" ht="16.5" customHeight="1" x14ac:dyDescent="0.25"/>
    <row r="6616" ht="16.5" customHeight="1" x14ac:dyDescent="0.25"/>
    <row r="6617" ht="16.5" customHeight="1" x14ac:dyDescent="0.25"/>
    <row r="6618" ht="16.5" customHeight="1" x14ac:dyDescent="0.25"/>
    <row r="6619" ht="16.5" customHeight="1" x14ac:dyDescent="0.25"/>
    <row r="6620" ht="16.5" customHeight="1" x14ac:dyDescent="0.25"/>
    <row r="6621" ht="16.5" customHeight="1" x14ac:dyDescent="0.25"/>
    <row r="6622" ht="16.5" customHeight="1" x14ac:dyDescent="0.25"/>
    <row r="6623" ht="16.5" customHeight="1" x14ac:dyDescent="0.25"/>
    <row r="6624" ht="16.5" customHeight="1" x14ac:dyDescent="0.25"/>
    <row r="6625" ht="16.5" customHeight="1" x14ac:dyDescent="0.25"/>
    <row r="6626" ht="16.5" customHeight="1" x14ac:dyDescent="0.25"/>
    <row r="6627" ht="16.5" customHeight="1" x14ac:dyDescent="0.25"/>
    <row r="6628" ht="16.5" customHeight="1" x14ac:dyDescent="0.25"/>
    <row r="6629" ht="16.5" customHeight="1" x14ac:dyDescent="0.25"/>
    <row r="6630" ht="16.5" customHeight="1" x14ac:dyDescent="0.25"/>
    <row r="6631" ht="16.5" customHeight="1" x14ac:dyDescent="0.25"/>
    <row r="6632" ht="16.5" customHeight="1" x14ac:dyDescent="0.25"/>
    <row r="6633" ht="16.5" customHeight="1" x14ac:dyDescent="0.25"/>
    <row r="6634" ht="16.5" customHeight="1" x14ac:dyDescent="0.25"/>
    <row r="6635" ht="16.5" customHeight="1" x14ac:dyDescent="0.25"/>
    <row r="6636" ht="16.5" customHeight="1" x14ac:dyDescent="0.25"/>
    <row r="6637" ht="16.5" customHeight="1" x14ac:dyDescent="0.25"/>
    <row r="6638" ht="16.5" customHeight="1" x14ac:dyDescent="0.25"/>
    <row r="6639" ht="16.5" customHeight="1" x14ac:dyDescent="0.25"/>
    <row r="6640" ht="16.5" customHeight="1" x14ac:dyDescent="0.25"/>
    <row r="6641" ht="16.5" customHeight="1" x14ac:dyDescent="0.25"/>
    <row r="6642" ht="16.5" customHeight="1" x14ac:dyDescent="0.25"/>
    <row r="6643" ht="16.5" customHeight="1" x14ac:dyDescent="0.25"/>
    <row r="6644" ht="16.5" customHeight="1" x14ac:dyDescent="0.25"/>
    <row r="6645" ht="16.5" customHeight="1" x14ac:dyDescent="0.25"/>
    <row r="6646" ht="16.5" customHeight="1" x14ac:dyDescent="0.25"/>
    <row r="6647" ht="16.5" customHeight="1" x14ac:dyDescent="0.25"/>
    <row r="6648" ht="16.5" customHeight="1" x14ac:dyDescent="0.25"/>
    <row r="6649" ht="16.5" customHeight="1" x14ac:dyDescent="0.25"/>
    <row r="6650" ht="16.5" customHeight="1" x14ac:dyDescent="0.25"/>
    <row r="6651" ht="16.5" customHeight="1" x14ac:dyDescent="0.25"/>
    <row r="6652" ht="16.5" customHeight="1" x14ac:dyDescent="0.25"/>
    <row r="6653" ht="16.5" customHeight="1" x14ac:dyDescent="0.25"/>
    <row r="6654" ht="16.5" customHeight="1" x14ac:dyDescent="0.25"/>
    <row r="6655" ht="16.5" customHeight="1" x14ac:dyDescent="0.25"/>
    <row r="6656" ht="16.5" customHeight="1" x14ac:dyDescent="0.25"/>
    <row r="6657" ht="16.5" customHeight="1" x14ac:dyDescent="0.25"/>
    <row r="6658" ht="16.5" customHeight="1" x14ac:dyDescent="0.25"/>
    <row r="6659" ht="16.5" customHeight="1" x14ac:dyDescent="0.25"/>
    <row r="6660" ht="16.5" customHeight="1" x14ac:dyDescent="0.25"/>
    <row r="6661" ht="16.5" customHeight="1" x14ac:dyDescent="0.25"/>
    <row r="6662" ht="16.5" customHeight="1" x14ac:dyDescent="0.25"/>
    <row r="6663" ht="16.5" customHeight="1" x14ac:dyDescent="0.25"/>
    <row r="6664" ht="16.5" customHeight="1" x14ac:dyDescent="0.25"/>
    <row r="6665" ht="16.5" customHeight="1" x14ac:dyDescent="0.25"/>
    <row r="6666" ht="16.5" customHeight="1" x14ac:dyDescent="0.25"/>
    <row r="6667" ht="16.5" customHeight="1" x14ac:dyDescent="0.25"/>
    <row r="6668" ht="16.5" customHeight="1" x14ac:dyDescent="0.25"/>
    <row r="6669" ht="16.5" customHeight="1" x14ac:dyDescent="0.25"/>
    <row r="6670" ht="16.5" customHeight="1" x14ac:dyDescent="0.25"/>
    <row r="6671" ht="16.5" customHeight="1" x14ac:dyDescent="0.25"/>
    <row r="6672" ht="16.5" customHeight="1" x14ac:dyDescent="0.25"/>
    <row r="6673" ht="16.5" customHeight="1" x14ac:dyDescent="0.25"/>
    <row r="6674" ht="16.5" customHeight="1" x14ac:dyDescent="0.25"/>
    <row r="6675" ht="16.5" customHeight="1" x14ac:dyDescent="0.25"/>
    <row r="6676" ht="16.5" customHeight="1" x14ac:dyDescent="0.25"/>
    <row r="6677" ht="16.5" customHeight="1" x14ac:dyDescent="0.25"/>
    <row r="6678" ht="16.5" customHeight="1" x14ac:dyDescent="0.25"/>
    <row r="6679" ht="16.5" customHeight="1" x14ac:dyDescent="0.25"/>
    <row r="6680" ht="16.5" customHeight="1" x14ac:dyDescent="0.25"/>
    <row r="6681" ht="16.5" customHeight="1" x14ac:dyDescent="0.25"/>
    <row r="6682" ht="16.5" customHeight="1" x14ac:dyDescent="0.25"/>
    <row r="6683" ht="16.5" customHeight="1" x14ac:dyDescent="0.25"/>
    <row r="6684" ht="16.5" customHeight="1" x14ac:dyDescent="0.25"/>
    <row r="6685" ht="16.5" customHeight="1" x14ac:dyDescent="0.25"/>
    <row r="6686" ht="16.5" customHeight="1" x14ac:dyDescent="0.25"/>
    <row r="6687" ht="16.5" customHeight="1" x14ac:dyDescent="0.25"/>
    <row r="6688" ht="16.5" customHeight="1" x14ac:dyDescent="0.25"/>
    <row r="6689" ht="16.5" customHeight="1" x14ac:dyDescent="0.25"/>
    <row r="6690" ht="16.5" customHeight="1" x14ac:dyDescent="0.25"/>
    <row r="6691" ht="16.5" customHeight="1" x14ac:dyDescent="0.25"/>
    <row r="6692" ht="16.5" customHeight="1" x14ac:dyDescent="0.25"/>
    <row r="6693" ht="16.5" customHeight="1" x14ac:dyDescent="0.25"/>
    <row r="6694" ht="16.5" customHeight="1" x14ac:dyDescent="0.25"/>
    <row r="6695" ht="16.5" customHeight="1" x14ac:dyDescent="0.25"/>
    <row r="6696" ht="16.5" customHeight="1" x14ac:dyDescent="0.25"/>
    <row r="6697" ht="16.5" customHeight="1" x14ac:dyDescent="0.25"/>
    <row r="6698" ht="16.5" customHeight="1" x14ac:dyDescent="0.25"/>
    <row r="6699" ht="16.5" customHeight="1" x14ac:dyDescent="0.25"/>
    <row r="6700" ht="16.5" customHeight="1" x14ac:dyDescent="0.25"/>
    <row r="6701" ht="16.5" customHeight="1" x14ac:dyDescent="0.25"/>
    <row r="6702" ht="16.5" customHeight="1" x14ac:dyDescent="0.25"/>
    <row r="6703" ht="16.5" customHeight="1" x14ac:dyDescent="0.25"/>
    <row r="6704" ht="16.5" customHeight="1" x14ac:dyDescent="0.25"/>
    <row r="6705" ht="16.5" customHeight="1" x14ac:dyDescent="0.25"/>
    <row r="6706" ht="16.5" customHeight="1" x14ac:dyDescent="0.25"/>
    <row r="6707" ht="16.5" customHeight="1" x14ac:dyDescent="0.25"/>
    <row r="6708" ht="16.5" customHeight="1" x14ac:dyDescent="0.25"/>
    <row r="6709" ht="16.5" customHeight="1" x14ac:dyDescent="0.25"/>
    <row r="6710" ht="16.5" customHeight="1" x14ac:dyDescent="0.25"/>
    <row r="6711" ht="16.5" customHeight="1" x14ac:dyDescent="0.25"/>
    <row r="6712" ht="16.5" customHeight="1" x14ac:dyDescent="0.25"/>
    <row r="6713" ht="16.5" customHeight="1" x14ac:dyDescent="0.25"/>
    <row r="6714" ht="16.5" customHeight="1" x14ac:dyDescent="0.25"/>
    <row r="6715" ht="16.5" customHeight="1" x14ac:dyDescent="0.25"/>
    <row r="6716" ht="16.5" customHeight="1" x14ac:dyDescent="0.25"/>
    <row r="6717" ht="16.5" customHeight="1" x14ac:dyDescent="0.25"/>
    <row r="6718" ht="16.5" customHeight="1" x14ac:dyDescent="0.25"/>
    <row r="6719" ht="16.5" customHeight="1" x14ac:dyDescent="0.25"/>
    <row r="6720" ht="16.5" customHeight="1" x14ac:dyDescent="0.25"/>
    <row r="6721" ht="16.5" customHeight="1" x14ac:dyDescent="0.25"/>
    <row r="6722" ht="16.5" customHeight="1" x14ac:dyDescent="0.25"/>
    <row r="6723" ht="16.5" customHeight="1" x14ac:dyDescent="0.25"/>
    <row r="6724" ht="16.5" customHeight="1" x14ac:dyDescent="0.25"/>
    <row r="6725" ht="16.5" customHeight="1" x14ac:dyDescent="0.25"/>
    <row r="6726" ht="16.5" customHeight="1" x14ac:dyDescent="0.25"/>
    <row r="6727" ht="16.5" customHeight="1" x14ac:dyDescent="0.25"/>
    <row r="6728" ht="16.5" customHeight="1" x14ac:dyDescent="0.25"/>
    <row r="6729" ht="16.5" customHeight="1" x14ac:dyDescent="0.25"/>
    <row r="6730" ht="16.5" customHeight="1" x14ac:dyDescent="0.25"/>
    <row r="6731" ht="16.5" customHeight="1" x14ac:dyDescent="0.25"/>
    <row r="6732" ht="16.5" customHeight="1" x14ac:dyDescent="0.25"/>
    <row r="6733" ht="16.5" customHeight="1" x14ac:dyDescent="0.25"/>
    <row r="6734" ht="16.5" customHeight="1" x14ac:dyDescent="0.25"/>
    <row r="6735" ht="16.5" customHeight="1" x14ac:dyDescent="0.25"/>
    <row r="6736" ht="16.5" customHeight="1" x14ac:dyDescent="0.25"/>
    <row r="6737" ht="16.5" customHeight="1" x14ac:dyDescent="0.25"/>
    <row r="6738" ht="16.5" customHeight="1" x14ac:dyDescent="0.25"/>
    <row r="6739" ht="16.5" customHeight="1" x14ac:dyDescent="0.25"/>
    <row r="6740" ht="16.5" customHeight="1" x14ac:dyDescent="0.25"/>
    <row r="6741" ht="16.5" customHeight="1" x14ac:dyDescent="0.25"/>
    <row r="6742" ht="16.5" customHeight="1" x14ac:dyDescent="0.25"/>
    <row r="6743" ht="16.5" customHeight="1" x14ac:dyDescent="0.25"/>
    <row r="6744" ht="16.5" customHeight="1" x14ac:dyDescent="0.25"/>
    <row r="6745" ht="16.5" customHeight="1" x14ac:dyDescent="0.25"/>
    <row r="6746" ht="16.5" customHeight="1" x14ac:dyDescent="0.25"/>
    <row r="6747" ht="16.5" customHeight="1" x14ac:dyDescent="0.25"/>
    <row r="6748" ht="16.5" customHeight="1" x14ac:dyDescent="0.25"/>
    <row r="6749" ht="16.5" customHeight="1" x14ac:dyDescent="0.25"/>
    <row r="6750" ht="16.5" customHeight="1" x14ac:dyDescent="0.25"/>
    <row r="6751" ht="16.5" customHeight="1" x14ac:dyDescent="0.25"/>
    <row r="6752" ht="16.5" customHeight="1" x14ac:dyDescent="0.25"/>
    <row r="6753" ht="16.5" customHeight="1" x14ac:dyDescent="0.25"/>
    <row r="6754" ht="16.5" customHeight="1" x14ac:dyDescent="0.25"/>
    <row r="6755" ht="16.5" customHeight="1" x14ac:dyDescent="0.25"/>
    <row r="6756" ht="16.5" customHeight="1" x14ac:dyDescent="0.25"/>
    <row r="6757" ht="16.5" customHeight="1" x14ac:dyDescent="0.25"/>
    <row r="6758" ht="16.5" customHeight="1" x14ac:dyDescent="0.25"/>
    <row r="6759" ht="16.5" customHeight="1" x14ac:dyDescent="0.25"/>
    <row r="6760" ht="16.5" customHeight="1" x14ac:dyDescent="0.25"/>
    <row r="6761" ht="16.5" customHeight="1" x14ac:dyDescent="0.25"/>
    <row r="6762" ht="16.5" customHeight="1" x14ac:dyDescent="0.25"/>
    <row r="6763" ht="16.5" customHeight="1" x14ac:dyDescent="0.25"/>
    <row r="6764" ht="16.5" customHeight="1" x14ac:dyDescent="0.25"/>
    <row r="6765" ht="16.5" customHeight="1" x14ac:dyDescent="0.25"/>
    <row r="6766" ht="16.5" customHeight="1" x14ac:dyDescent="0.25"/>
    <row r="6767" ht="16.5" customHeight="1" x14ac:dyDescent="0.25"/>
    <row r="6768" ht="16.5" customHeight="1" x14ac:dyDescent="0.25"/>
    <row r="6769" ht="16.5" customHeight="1" x14ac:dyDescent="0.25"/>
    <row r="6770" ht="16.5" customHeight="1" x14ac:dyDescent="0.25"/>
    <row r="6771" ht="16.5" customHeight="1" x14ac:dyDescent="0.25"/>
    <row r="6772" ht="16.5" customHeight="1" x14ac:dyDescent="0.25"/>
    <row r="6773" ht="16.5" customHeight="1" x14ac:dyDescent="0.25"/>
    <row r="6774" ht="16.5" customHeight="1" x14ac:dyDescent="0.25"/>
    <row r="6775" ht="16.5" customHeight="1" x14ac:dyDescent="0.25"/>
    <row r="6776" ht="16.5" customHeight="1" x14ac:dyDescent="0.25"/>
    <row r="6777" ht="16.5" customHeight="1" x14ac:dyDescent="0.25"/>
    <row r="6778" ht="16.5" customHeight="1" x14ac:dyDescent="0.25"/>
    <row r="6779" ht="16.5" customHeight="1" x14ac:dyDescent="0.25"/>
    <row r="6780" ht="16.5" customHeight="1" x14ac:dyDescent="0.25"/>
    <row r="6781" ht="16.5" customHeight="1" x14ac:dyDescent="0.25"/>
    <row r="6782" ht="16.5" customHeight="1" x14ac:dyDescent="0.25"/>
    <row r="6783" ht="16.5" customHeight="1" x14ac:dyDescent="0.25"/>
    <row r="6784" ht="16.5" customHeight="1" x14ac:dyDescent="0.25"/>
    <row r="6785" ht="16.5" customHeight="1" x14ac:dyDescent="0.25"/>
    <row r="6786" ht="16.5" customHeight="1" x14ac:dyDescent="0.25"/>
    <row r="6787" ht="16.5" customHeight="1" x14ac:dyDescent="0.25"/>
    <row r="6788" ht="16.5" customHeight="1" x14ac:dyDescent="0.25"/>
    <row r="6789" ht="16.5" customHeight="1" x14ac:dyDescent="0.25"/>
    <row r="6790" ht="16.5" customHeight="1" x14ac:dyDescent="0.25"/>
    <row r="6791" ht="16.5" customHeight="1" x14ac:dyDescent="0.25"/>
    <row r="6792" ht="16.5" customHeight="1" x14ac:dyDescent="0.25"/>
    <row r="6793" ht="16.5" customHeight="1" x14ac:dyDescent="0.25"/>
    <row r="6794" ht="16.5" customHeight="1" x14ac:dyDescent="0.25"/>
    <row r="6795" ht="16.5" customHeight="1" x14ac:dyDescent="0.25"/>
    <row r="6796" ht="16.5" customHeight="1" x14ac:dyDescent="0.25"/>
    <row r="6797" ht="16.5" customHeight="1" x14ac:dyDescent="0.25"/>
    <row r="6798" ht="16.5" customHeight="1" x14ac:dyDescent="0.25"/>
    <row r="6799" ht="16.5" customHeight="1" x14ac:dyDescent="0.25"/>
    <row r="6800" ht="16.5" customHeight="1" x14ac:dyDescent="0.25"/>
    <row r="6801" ht="16.5" customHeight="1" x14ac:dyDescent="0.25"/>
    <row r="6802" ht="16.5" customHeight="1" x14ac:dyDescent="0.25"/>
    <row r="6803" ht="16.5" customHeight="1" x14ac:dyDescent="0.25"/>
    <row r="6804" ht="16.5" customHeight="1" x14ac:dyDescent="0.25"/>
    <row r="6805" ht="16.5" customHeight="1" x14ac:dyDescent="0.25"/>
    <row r="6806" ht="16.5" customHeight="1" x14ac:dyDescent="0.25"/>
    <row r="6807" ht="16.5" customHeight="1" x14ac:dyDescent="0.25"/>
    <row r="6808" ht="16.5" customHeight="1" x14ac:dyDescent="0.25"/>
    <row r="6809" ht="16.5" customHeight="1" x14ac:dyDescent="0.25"/>
    <row r="6810" ht="16.5" customHeight="1" x14ac:dyDescent="0.25"/>
    <row r="6811" ht="16.5" customHeight="1" x14ac:dyDescent="0.25"/>
    <row r="6812" ht="16.5" customHeight="1" x14ac:dyDescent="0.25"/>
    <row r="6813" ht="16.5" customHeight="1" x14ac:dyDescent="0.25"/>
    <row r="6814" ht="16.5" customHeight="1" x14ac:dyDescent="0.25"/>
    <row r="6815" ht="16.5" customHeight="1" x14ac:dyDescent="0.25"/>
    <row r="6816" ht="16.5" customHeight="1" x14ac:dyDescent="0.25"/>
    <row r="6817" ht="16.5" customHeight="1" x14ac:dyDescent="0.25"/>
    <row r="6818" ht="16.5" customHeight="1" x14ac:dyDescent="0.25"/>
    <row r="6819" ht="16.5" customHeight="1" x14ac:dyDescent="0.25"/>
    <row r="6820" ht="16.5" customHeight="1" x14ac:dyDescent="0.25"/>
    <row r="6821" ht="16.5" customHeight="1" x14ac:dyDescent="0.25"/>
    <row r="6822" ht="16.5" customHeight="1" x14ac:dyDescent="0.25"/>
    <row r="6823" ht="16.5" customHeight="1" x14ac:dyDescent="0.25"/>
    <row r="6824" ht="16.5" customHeight="1" x14ac:dyDescent="0.25"/>
    <row r="6825" ht="16.5" customHeight="1" x14ac:dyDescent="0.25"/>
    <row r="6826" ht="16.5" customHeight="1" x14ac:dyDescent="0.25"/>
    <row r="6827" ht="16.5" customHeight="1" x14ac:dyDescent="0.25"/>
    <row r="6828" ht="16.5" customHeight="1" x14ac:dyDescent="0.25"/>
    <row r="6829" ht="16.5" customHeight="1" x14ac:dyDescent="0.25"/>
    <row r="6830" ht="16.5" customHeight="1" x14ac:dyDescent="0.25"/>
    <row r="6831" ht="16.5" customHeight="1" x14ac:dyDescent="0.25"/>
    <row r="6832" ht="16.5" customHeight="1" x14ac:dyDescent="0.25"/>
    <row r="6833" ht="16.5" customHeight="1" x14ac:dyDescent="0.25"/>
    <row r="6834" ht="16.5" customHeight="1" x14ac:dyDescent="0.25"/>
    <row r="6835" ht="16.5" customHeight="1" x14ac:dyDescent="0.25"/>
    <row r="6836" ht="16.5" customHeight="1" x14ac:dyDescent="0.25"/>
    <row r="6837" ht="16.5" customHeight="1" x14ac:dyDescent="0.25"/>
    <row r="6838" ht="16.5" customHeight="1" x14ac:dyDescent="0.25"/>
    <row r="6839" ht="16.5" customHeight="1" x14ac:dyDescent="0.25"/>
    <row r="6840" ht="16.5" customHeight="1" x14ac:dyDescent="0.25"/>
    <row r="6841" ht="16.5" customHeight="1" x14ac:dyDescent="0.25"/>
    <row r="6842" ht="16.5" customHeight="1" x14ac:dyDescent="0.25"/>
    <row r="6843" ht="16.5" customHeight="1" x14ac:dyDescent="0.25"/>
    <row r="6844" ht="16.5" customHeight="1" x14ac:dyDescent="0.25"/>
    <row r="6845" ht="16.5" customHeight="1" x14ac:dyDescent="0.25"/>
    <row r="6846" ht="16.5" customHeight="1" x14ac:dyDescent="0.25"/>
    <row r="6847" ht="16.5" customHeight="1" x14ac:dyDescent="0.25"/>
    <row r="6848" ht="16.5" customHeight="1" x14ac:dyDescent="0.25"/>
    <row r="6849" ht="16.5" customHeight="1" x14ac:dyDescent="0.25"/>
    <row r="6850" ht="16.5" customHeight="1" x14ac:dyDescent="0.25"/>
    <row r="6851" ht="16.5" customHeight="1" x14ac:dyDescent="0.25"/>
    <row r="6852" ht="16.5" customHeight="1" x14ac:dyDescent="0.25"/>
    <row r="6853" ht="16.5" customHeight="1" x14ac:dyDescent="0.25"/>
    <row r="6854" ht="16.5" customHeight="1" x14ac:dyDescent="0.25"/>
    <row r="6855" ht="16.5" customHeight="1" x14ac:dyDescent="0.25"/>
    <row r="6856" ht="16.5" customHeight="1" x14ac:dyDescent="0.25"/>
    <row r="6857" ht="16.5" customHeight="1" x14ac:dyDescent="0.25"/>
    <row r="6858" ht="16.5" customHeight="1" x14ac:dyDescent="0.25"/>
    <row r="6859" ht="16.5" customHeight="1" x14ac:dyDescent="0.25"/>
    <row r="6860" ht="16.5" customHeight="1" x14ac:dyDescent="0.25"/>
    <row r="6861" ht="16.5" customHeight="1" x14ac:dyDescent="0.25"/>
    <row r="6862" ht="16.5" customHeight="1" x14ac:dyDescent="0.25"/>
    <row r="6863" ht="16.5" customHeight="1" x14ac:dyDescent="0.25"/>
    <row r="6864" ht="16.5" customHeight="1" x14ac:dyDescent="0.25"/>
    <row r="6865" ht="16.5" customHeight="1" x14ac:dyDescent="0.25"/>
    <row r="6866" ht="16.5" customHeight="1" x14ac:dyDescent="0.25"/>
    <row r="6867" ht="16.5" customHeight="1" x14ac:dyDescent="0.25"/>
    <row r="6868" ht="16.5" customHeight="1" x14ac:dyDescent="0.25"/>
    <row r="6869" ht="16.5" customHeight="1" x14ac:dyDescent="0.25"/>
    <row r="6870" ht="16.5" customHeight="1" x14ac:dyDescent="0.25"/>
    <row r="6871" ht="16.5" customHeight="1" x14ac:dyDescent="0.25"/>
    <row r="6872" ht="16.5" customHeight="1" x14ac:dyDescent="0.25"/>
    <row r="6873" ht="16.5" customHeight="1" x14ac:dyDescent="0.25"/>
    <row r="6874" ht="16.5" customHeight="1" x14ac:dyDescent="0.25"/>
    <row r="6875" ht="16.5" customHeight="1" x14ac:dyDescent="0.25"/>
    <row r="6876" ht="16.5" customHeight="1" x14ac:dyDescent="0.25"/>
    <row r="6877" ht="16.5" customHeight="1" x14ac:dyDescent="0.25"/>
    <row r="6878" ht="16.5" customHeight="1" x14ac:dyDescent="0.25"/>
    <row r="6879" ht="16.5" customHeight="1" x14ac:dyDescent="0.25"/>
    <row r="6880" ht="16.5" customHeight="1" x14ac:dyDescent="0.25"/>
    <row r="6881" ht="16.5" customHeight="1" x14ac:dyDescent="0.25"/>
    <row r="6882" ht="16.5" customHeight="1" x14ac:dyDescent="0.25"/>
    <row r="6883" ht="16.5" customHeight="1" x14ac:dyDescent="0.25"/>
    <row r="6884" ht="16.5" customHeight="1" x14ac:dyDescent="0.25"/>
    <row r="6885" ht="16.5" customHeight="1" x14ac:dyDescent="0.25"/>
    <row r="6886" ht="16.5" customHeight="1" x14ac:dyDescent="0.25"/>
    <row r="6887" ht="16.5" customHeight="1" x14ac:dyDescent="0.25"/>
    <row r="6888" ht="16.5" customHeight="1" x14ac:dyDescent="0.25"/>
    <row r="6889" ht="16.5" customHeight="1" x14ac:dyDescent="0.25"/>
    <row r="6890" ht="16.5" customHeight="1" x14ac:dyDescent="0.25"/>
    <row r="6891" ht="16.5" customHeight="1" x14ac:dyDescent="0.25"/>
    <row r="6892" ht="16.5" customHeight="1" x14ac:dyDescent="0.25"/>
    <row r="6893" ht="16.5" customHeight="1" x14ac:dyDescent="0.25"/>
    <row r="6894" ht="16.5" customHeight="1" x14ac:dyDescent="0.25"/>
    <row r="6895" ht="16.5" customHeight="1" x14ac:dyDescent="0.25"/>
    <row r="6896" ht="16.5" customHeight="1" x14ac:dyDescent="0.25"/>
    <row r="6897" ht="16.5" customHeight="1" x14ac:dyDescent="0.25"/>
    <row r="6898" ht="16.5" customHeight="1" x14ac:dyDescent="0.25"/>
    <row r="6899" ht="16.5" customHeight="1" x14ac:dyDescent="0.25"/>
    <row r="6900" ht="16.5" customHeight="1" x14ac:dyDescent="0.25"/>
    <row r="6901" ht="16.5" customHeight="1" x14ac:dyDescent="0.25"/>
    <row r="6902" ht="16.5" customHeight="1" x14ac:dyDescent="0.25"/>
    <row r="6903" ht="16.5" customHeight="1" x14ac:dyDescent="0.25"/>
    <row r="6904" ht="16.5" customHeight="1" x14ac:dyDescent="0.25"/>
    <row r="6905" ht="16.5" customHeight="1" x14ac:dyDescent="0.25"/>
    <row r="6906" ht="16.5" customHeight="1" x14ac:dyDescent="0.25"/>
    <row r="6907" ht="16.5" customHeight="1" x14ac:dyDescent="0.25"/>
    <row r="6908" ht="16.5" customHeight="1" x14ac:dyDescent="0.25"/>
    <row r="6909" ht="16.5" customHeight="1" x14ac:dyDescent="0.25"/>
    <row r="6910" ht="16.5" customHeight="1" x14ac:dyDescent="0.25"/>
    <row r="6911" ht="16.5" customHeight="1" x14ac:dyDescent="0.25"/>
    <row r="6912" ht="16.5" customHeight="1" x14ac:dyDescent="0.25"/>
    <row r="6913" ht="16.5" customHeight="1" x14ac:dyDescent="0.25"/>
    <row r="6914" ht="16.5" customHeight="1" x14ac:dyDescent="0.25"/>
    <row r="6915" ht="16.5" customHeight="1" x14ac:dyDescent="0.25"/>
    <row r="6916" ht="16.5" customHeight="1" x14ac:dyDescent="0.25"/>
    <row r="6917" ht="16.5" customHeight="1" x14ac:dyDescent="0.25"/>
    <row r="6918" ht="16.5" customHeight="1" x14ac:dyDescent="0.25"/>
    <row r="6919" ht="16.5" customHeight="1" x14ac:dyDescent="0.25"/>
    <row r="6920" ht="16.5" customHeight="1" x14ac:dyDescent="0.25"/>
    <row r="6921" ht="16.5" customHeight="1" x14ac:dyDescent="0.25"/>
    <row r="6922" ht="16.5" customHeight="1" x14ac:dyDescent="0.25"/>
    <row r="6923" ht="16.5" customHeight="1" x14ac:dyDescent="0.25"/>
    <row r="6924" ht="16.5" customHeight="1" x14ac:dyDescent="0.25"/>
    <row r="6925" ht="16.5" customHeight="1" x14ac:dyDescent="0.25"/>
    <row r="6926" ht="16.5" customHeight="1" x14ac:dyDescent="0.25"/>
    <row r="6927" ht="16.5" customHeight="1" x14ac:dyDescent="0.25"/>
    <row r="6928" ht="16.5" customHeight="1" x14ac:dyDescent="0.25"/>
    <row r="6929" ht="16.5" customHeight="1" x14ac:dyDescent="0.25"/>
    <row r="6930" ht="16.5" customHeight="1" x14ac:dyDescent="0.25"/>
    <row r="6931" ht="16.5" customHeight="1" x14ac:dyDescent="0.25"/>
    <row r="6932" ht="16.5" customHeight="1" x14ac:dyDescent="0.25"/>
    <row r="6933" ht="16.5" customHeight="1" x14ac:dyDescent="0.25"/>
    <row r="6934" ht="16.5" customHeight="1" x14ac:dyDescent="0.25"/>
    <row r="6935" ht="16.5" customHeight="1" x14ac:dyDescent="0.25"/>
    <row r="6936" ht="16.5" customHeight="1" x14ac:dyDescent="0.25"/>
    <row r="6937" ht="16.5" customHeight="1" x14ac:dyDescent="0.25"/>
    <row r="6938" ht="16.5" customHeight="1" x14ac:dyDescent="0.25"/>
    <row r="6939" ht="16.5" customHeight="1" x14ac:dyDescent="0.25"/>
    <row r="6940" ht="16.5" customHeight="1" x14ac:dyDescent="0.25"/>
    <row r="6941" ht="16.5" customHeight="1" x14ac:dyDescent="0.25"/>
    <row r="6942" ht="16.5" customHeight="1" x14ac:dyDescent="0.25"/>
    <row r="6943" ht="16.5" customHeight="1" x14ac:dyDescent="0.25"/>
    <row r="6944" ht="16.5" customHeight="1" x14ac:dyDescent="0.25"/>
    <row r="6945" ht="16.5" customHeight="1" x14ac:dyDescent="0.25"/>
    <row r="6946" ht="16.5" customHeight="1" x14ac:dyDescent="0.25"/>
    <row r="6947" ht="16.5" customHeight="1" x14ac:dyDescent="0.25"/>
    <row r="6948" ht="16.5" customHeight="1" x14ac:dyDescent="0.25"/>
    <row r="6949" ht="16.5" customHeight="1" x14ac:dyDescent="0.25"/>
    <row r="6950" ht="16.5" customHeight="1" x14ac:dyDescent="0.25"/>
    <row r="6951" ht="16.5" customHeight="1" x14ac:dyDescent="0.25"/>
    <row r="6952" ht="16.5" customHeight="1" x14ac:dyDescent="0.25"/>
    <row r="6953" ht="16.5" customHeight="1" x14ac:dyDescent="0.25"/>
    <row r="6954" ht="16.5" customHeight="1" x14ac:dyDescent="0.25"/>
    <row r="6955" ht="16.5" customHeight="1" x14ac:dyDescent="0.25"/>
    <row r="6956" ht="16.5" customHeight="1" x14ac:dyDescent="0.25"/>
    <row r="6957" ht="16.5" customHeight="1" x14ac:dyDescent="0.25"/>
    <row r="6958" ht="16.5" customHeight="1" x14ac:dyDescent="0.25"/>
    <row r="6959" ht="16.5" customHeight="1" x14ac:dyDescent="0.25"/>
    <row r="6960" ht="16.5" customHeight="1" x14ac:dyDescent="0.25"/>
    <row r="6961" ht="16.5" customHeight="1" x14ac:dyDescent="0.25"/>
    <row r="6962" ht="16.5" customHeight="1" x14ac:dyDescent="0.25"/>
    <row r="6963" ht="16.5" customHeight="1" x14ac:dyDescent="0.25"/>
    <row r="6964" ht="16.5" customHeight="1" x14ac:dyDescent="0.25"/>
    <row r="6965" ht="16.5" customHeight="1" x14ac:dyDescent="0.25"/>
    <row r="6966" ht="16.5" customHeight="1" x14ac:dyDescent="0.25"/>
    <row r="6967" ht="16.5" customHeight="1" x14ac:dyDescent="0.25"/>
    <row r="6968" ht="16.5" customHeight="1" x14ac:dyDescent="0.25"/>
    <row r="6969" ht="16.5" customHeight="1" x14ac:dyDescent="0.25"/>
    <row r="6970" ht="16.5" customHeight="1" x14ac:dyDescent="0.25"/>
    <row r="6971" ht="16.5" customHeight="1" x14ac:dyDescent="0.25"/>
    <row r="6972" ht="16.5" customHeight="1" x14ac:dyDescent="0.25"/>
    <row r="6973" ht="16.5" customHeight="1" x14ac:dyDescent="0.25"/>
    <row r="6974" ht="16.5" customHeight="1" x14ac:dyDescent="0.25"/>
    <row r="6975" ht="16.5" customHeight="1" x14ac:dyDescent="0.25"/>
    <row r="6976" ht="16.5" customHeight="1" x14ac:dyDescent="0.25"/>
    <row r="6977" ht="16.5" customHeight="1" x14ac:dyDescent="0.25"/>
    <row r="6978" ht="16.5" customHeight="1" x14ac:dyDescent="0.25"/>
    <row r="6979" ht="16.5" customHeight="1" x14ac:dyDescent="0.25"/>
    <row r="6980" ht="16.5" customHeight="1" x14ac:dyDescent="0.25"/>
    <row r="6981" ht="16.5" customHeight="1" x14ac:dyDescent="0.25"/>
    <row r="6982" ht="16.5" customHeight="1" x14ac:dyDescent="0.25"/>
    <row r="6983" ht="16.5" customHeight="1" x14ac:dyDescent="0.25"/>
    <row r="6984" ht="16.5" customHeight="1" x14ac:dyDescent="0.25"/>
    <row r="6985" ht="16.5" customHeight="1" x14ac:dyDescent="0.25"/>
    <row r="6986" ht="16.5" customHeight="1" x14ac:dyDescent="0.25"/>
    <row r="6987" ht="16.5" customHeight="1" x14ac:dyDescent="0.25"/>
    <row r="6988" ht="16.5" customHeight="1" x14ac:dyDescent="0.25"/>
    <row r="6989" ht="16.5" customHeight="1" x14ac:dyDescent="0.25"/>
    <row r="6990" ht="16.5" customHeight="1" x14ac:dyDescent="0.25"/>
    <row r="6991" ht="16.5" customHeight="1" x14ac:dyDescent="0.25"/>
    <row r="6992" ht="16.5" customHeight="1" x14ac:dyDescent="0.25"/>
    <row r="6993" ht="16.5" customHeight="1" x14ac:dyDescent="0.25"/>
    <row r="6994" ht="16.5" customHeight="1" x14ac:dyDescent="0.25"/>
    <row r="6995" ht="16.5" customHeight="1" x14ac:dyDescent="0.25"/>
    <row r="6996" ht="16.5" customHeight="1" x14ac:dyDescent="0.25"/>
    <row r="6997" ht="16.5" customHeight="1" x14ac:dyDescent="0.25"/>
    <row r="6998" ht="16.5" customHeight="1" x14ac:dyDescent="0.25"/>
    <row r="6999" ht="16.5" customHeight="1" x14ac:dyDescent="0.25"/>
    <row r="7000" ht="16.5" customHeight="1" x14ac:dyDescent="0.25"/>
    <row r="7001" ht="16.5" customHeight="1" x14ac:dyDescent="0.25"/>
    <row r="7002" ht="16.5" customHeight="1" x14ac:dyDescent="0.25"/>
    <row r="7003" ht="16.5" customHeight="1" x14ac:dyDescent="0.25"/>
    <row r="7004" ht="16.5" customHeight="1" x14ac:dyDescent="0.25"/>
    <row r="7005" ht="16.5" customHeight="1" x14ac:dyDescent="0.25"/>
    <row r="7006" ht="16.5" customHeight="1" x14ac:dyDescent="0.25"/>
    <row r="7007" ht="16.5" customHeight="1" x14ac:dyDescent="0.25"/>
    <row r="7008" ht="16.5" customHeight="1" x14ac:dyDescent="0.25"/>
    <row r="7009" ht="16.5" customHeight="1" x14ac:dyDescent="0.25"/>
    <row r="7010" ht="16.5" customHeight="1" x14ac:dyDescent="0.25"/>
    <row r="7011" ht="16.5" customHeight="1" x14ac:dyDescent="0.25"/>
    <row r="7012" ht="16.5" customHeight="1" x14ac:dyDescent="0.25"/>
    <row r="7013" ht="16.5" customHeight="1" x14ac:dyDescent="0.25"/>
    <row r="7014" ht="16.5" customHeight="1" x14ac:dyDescent="0.25"/>
    <row r="7015" ht="16.5" customHeight="1" x14ac:dyDescent="0.25"/>
    <row r="7016" ht="16.5" customHeight="1" x14ac:dyDescent="0.25"/>
    <row r="7017" ht="16.5" customHeight="1" x14ac:dyDescent="0.25"/>
    <row r="7018" ht="16.5" customHeight="1" x14ac:dyDescent="0.25"/>
    <row r="7019" ht="16.5" customHeight="1" x14ac:dyDescent="0.25"/>
    <row r="7020" ht="16.5" customHeight="1" x14ac:dyDescent="0.25"/>
    <row r="7021" ht="16.5" customHeight="1" x14ac:dyDescent="0.25"/>
    <row r="7022" ht="16.5" customHeight="1" x14ac:dyDescent="0.25"/>
    <row r="7023" ht="16.5" customHeight="1" x14ac:dyDescent="0.25"/>
    <row r="7024" ht="16.5" customHeight="1" x14ac:dyDescent="0.25"/>
    <row r="7025" ht="16.5" customHeight="1" x14ac:dyDescent="0.25"/>
    <row r="7026" ht="16.5" customHeight="1" x14ac:dyDescent="0.25"/>
    <row r="7027" ht="16.5" customHeight="1" x14ac:dyDescent="0.25"/>
    <row r="7028" ht="16.5" customHeight="1" x14ac:dyDescent="0.25"/>
    <row r="7029" ht="16.5" customHeight="1" x14ac:dyDescent="0.25"/>
    <row r="7030" ht="16.5" customHeight="1" x14ac:dyDescent="0.25"/>
    <row r="7031" ht="16.5" customHeight="1" x14ac:dyDescent="0.25"/>
    <row r="7032" ht="16.5" customHeight="1" x14ac:dyDescent="0.25"/>
    <row r="7033" ht="16.5" customHeight="1" x14ac:dyDescent="0.25"/>
    <row r="7034" ht="16.5" customHeight="1" x14ac:dyDescent="0.25"/>
    <row r="7035" ht="16.5" customHeight="1" x14ac:dyDescent="0.25"/>
    <row r="7036" ht="16.5" customHeight="1" x14ac:dyDescent="0.25"/>
    <row r="7037" ht="16.5" customHeight="1" x14ac:dyDescent="0.25"/>
    <row r="7038" ht="16.5" customHeight="1" x14ac:dyDescent="0.25"/>
    <row r="7039" ht="16.5" customHeight="1" x14ac:dyDescent="0.25"/>
    <row r="7040" ht="16.5" customHeight="1" x14ac:dyDescent="0.25"/>
    <row r="7041" ht="16.5" customHeight="1" x14ac:dyDescent="0.25"/>
    <row r="7042" ht="16.5" customHeight="1" x14ac:dyDescent="0.25"/>
    <row r="7043" ht="16.5" customHeight="1" x14ac:dyDescent="0.25"/>
    <row r="7044" ht="16.5" customHeight="1" x14ac:dyDescent="0.25"/>
    <row r="7045" ht="16.5" customHeight="1" x14ac:dyDescent="0.25"/>
    <row r="7046" ht="16.5" customHeight="1" x14ac:dyDescent="0.25"/>
    <row r="7047" ht="16.5" customHeight="1" x14ac:dyDescent="0.25"/>
    <row r="7048" ht="16.5" customHeight="1" x14ac:dyDescent="0.25"/>
    <row r="7049" ht="16.5" customHeight="1" x14ac:dyDescent="0.25"/>
    <row r="7050" ht="16.5" customHeight="1" x14ac:dyDescent="0.25"/>
    <row r="7051" ht="16.5" customHeight="1" x14ac:dyDescent="0.25"/>
    <row r="7052" ht="16.5" customHeight="1" x14ac:dyDescent="0.25"/>
    <row r="7053" ht="16.5" customHeight="1" x14ac:dyDescent="0.25"/>
    <row r="7054" ht="16.5" customHeight="1" x14ac:dyDescent="0.25"/>
    <row r="7055" ht="16.5" customHeight="1" x14ac:dyDescent="0.25"/>
    <row r="7056" ht="16.5" customHeight="1" x14ac:dyDescent="0.25"/>
    <row r="7057" ht="16.5" customHeight="1" x14ac:dyDescent="0.25"/>
    <row r="7058" ht="16.5" customHeight="1" x14ac:dyDescent="0.25"/>
    <row r="7059" ht="16.5" customHeight="1" x14ac:dyDescent="0.25"/>
    <row r="7060" ht="16.5" customHeight="1" x14ac:dyDescent="0.25"/>
    <row r="7061" ht="16.5" customHeight="1" x14ac:dyDescent="0.25"/>
    <row r="7062" ht="16.5" customHeight="1" x14ac:dyDescent="0.25"/>
    <row r="7063" ht="16.5" customHeight="1" x14ac:dyDescent="0.25"/>
    <row r="7064" ht="16.5" customHeight="1" x14ac:dyDescent="0.25"/>
    <row r="7065" ht="16.5" customHeight="1" x14ac:dyDescent="0.25"/>
    <row r="7066" ht="16.5" customHeight="1" x14ac:dyDescent="0.25"/>
    <row r="7067" ht="16.5" customHeight="1" x14ac:dyDescent="0.25"/>
    <row r="7068" ht="16.5" customHeight="1" x14ac:dyDescent="0.25"/>
    <row r="7069" ht="16.5" customHeight="1" x14ac:dyDescent="0.25"/>
    <row r="7070" ht="16.5" customHeight="1" x14ac:dyDescent="0.25"/>
    <row r="7071" ht="16.5" customHeight="1" x14ac:dyDescent="0.25"/>
    <row r="7072" ht="16.5" customHeight="1" x14ac:dyDescent="0.25"/>
    <row r="7073" ht="16.5" customHeight="1" x14ac:dyDescent="0.25"/>
    <row r="7074" ht="16.5" customHeight="1" x14ac:dyDescent="0.25"/>
    <row r="7075" ht="16.5" customHeight="1" x14ac:dyDescent="0.25"/>
    <row r="7076" ht="16.5" customHeight="1" x14ac:dyDescent="0.25"/>
    <row r="7077" ht="16.5" customHeight="1" x14ac:dyDescent="0.25"/>
    <row r="7078" ht="16.5" customHeight="1" x14ac:dyDescent="0.25"/>
    <row r="7079" ht="16.5" customHeight="1" x14ac:dyDescent="0.25"/>
    <row r="7080" ht="16.5" customHeight="1" x14ac:dyDescent="0.25"/>
    <row r="7081" ht="16.5" customHeight="1" x14ac:dyDescent="0.25"/>
    <row r="7082" ht="16.5" customHeight="1" x14ac:dyDescent="0.25"/>
    <row r="7083" ht="16.5" customHeight="1" x14ac:dyDescent="0.25"/>
    <row r="7084" ht="16.5" customHeight="1" x14ac:dyDescent="0.25"/>
    <row r="7085" ht="16.5" customHeight="1" x14ac:dyDescent="0.25"/>
    <row r="7086" ht="16.5" customHeight="1" x14ac:dyDescent="0.25"/>
    <row r="7087" ht="16.5" customHeight="1" x14ac:dyDescent="0.25"/>
    <row r="7088" ht="16.5" customHeight="1" x14ac:dyDescent="0.25"/>
    <row r="7089" ht="16.5" customHeight="1" x14ac:dyDescent="0.25"/>
    <row r="7090" ht="16.5" customHeight="1" x14ac:dyDescent="0.25"/>
    <row r="7091" ht="16.5" customHeight="1" x14ac:dyDescent="0.25"/>
    <row r="7092" ht="16.5" customHeight="1" x14ac:dyDescent="0.25"/>
    <row r="7093" ht="16.5" customHeight="1" x14ac:dyDescent="0.25"/>
    <row r="7094" ht="16.5" customHeight="1" x14ac:dyDescent="0.25"/>
    <row r="7095" ht="16.5" customHeight="1" x14ac:dyDescent="0.25"/>
    <row r="7096" ht="16.5" customHeight="1" x14ac:dyDescent="0.25"/>
    <row r="7097" ht="16.5" customHeight="1" x14ac:dyDescent="0.25"/>
    <row r="7098" ht="16.5" customHeight="1" x14ac:dyDescent="0.25"/>
    <row r="7099" ht="16.5" customHeight="1" x14ac:dyDescent="0.25"/>
    <row r="7100" ht="16.5" customHeight="1" x14ac:dyDescent="0.25"/>
    <row r="7101" ht="16.5" customHeight="1" x14ac:dyDescent="0.25"/>
    <row r="7102" ht="16.5" customHeight="1" x14ac:dyDescent="0.25"/>
    <row r="7103" ht="16.5" customHeight="1" x14ac:dyDescent="0.25"/>
    <row r="7104" ht="16.5" customHeight="1" x14ac:dyDescent="0.25"/>
    <row r="7105" ht="16.5" customHeight="1" x14ac:dyDescent="0.25"/>
    <row r="7106" ht="16.5" customHeight="1" x14ac:dyDescent="0.25"/>
    <row r="7107" ht="16.5" customHeight="1" x14ac:dyDescent="0.25"/>
    <row r="7108" ht="16.5" customHeight="1" x14ac:dyDescent="0.25"/>
    <row r="7109" ht="16.5" customHeight="1" x14ac:dyDescent="0.25"/>
    <row r="7110" ht="16.5" customHeight="1" x14ac:dyDescent="0.25"/>
    <row r="7111" ht="16.5" customHeight="1" x14ac:dyDescent="0.25"/>
    <row r="7112" ht="16.5" customHeight="1" x14ac:dyDescent="0.25"/>
    <row r="7113" ht="16.5" customHeight="1" x14ac:dyDescent="0.25"/>
    <row r="7114" ht="16.5" customHeight="1" x14ac:dyDescent="0.25"/>
    <row r="7115" ht="16.5" customHeight="1" x14ac:dyDescent="0.25"/>
    <row r="7116" ht="16.5" customHeight="1" x14ac:dyDescent="0.25"/>
    <row r="7117" ht="16.5" customHeight="1" x14ac:dyDescent="0.25"/>
    <row r="7118" ht="16.5" customHeight="1" x14ac:dyDescent="0.25"/>
    <row r="7119" ht="16.5" customHeight="1" x14ac:dyDescent="0.25"/>
    <row r="7120" ht="16.5" customHeight="1" x14ac:dyDescent="0.25"/>
    <row r="7121" ht="16.5" customHeight="1" x14ac:dyDescent="0.25"/>
    <row r="7122" ht="16.5" customHeight="1" x14ac:dyDescent="0.25"/>
    <row r="7123" ht="16.5" customHeight="1" x14ac:dyDescent="0.25"/>
    <row r="7124" ht="16.5" customHeight="1" x14ac:dyDescent="0.25"/>
    <row r="7125" ht="16.5" customHeight="1" x14ac:dyDescent="0.25"/>
    <row r="7126" ht="16.5" customHeight="1" x14ac:dyDescent="0.25"/>
    <row r="7127" ht="16.5" customHeight="1" x14ac:dyDescent="0.25"/>
    <row r="7128" ht="16.5" customHeight="1" x14ac:dyDescent="0.25"/>
    <row r="7129" ht="16.5" customHeight="1" x14ac:dyDescent="0.25"/>
    <row r="7130" ht="16.5" customHeight="1" x14ac:dyDescent="0.25"/>
    <row r="7131" ht="16.5" customHeight="1" x14ac:dyDescent="0.25"/>
    <row r="7132" ht="16.5" customHeight="1" x14ac:dyDescent="0.25"/>
    <row r="7133" ht="16.5" customHeight="1" x14ac:dyDescent="0.25"/>
    <row r="7134" ht="16.5" customHeight="1" x14ac:dyDescent="0.25"/>
    <row r="7135" ht="16.5" customHeight="1" x14ac:dyDescent="0.25"/>
    <row r="7136" ht="16.5" customHeight="1" x14ac:dyDescent="0.25"/>
    <row r="7137" ht="16.5" customHeight="1" x14ac:dyDescent="0.25"/>
    <row r="7138" ht="16.5" customHeight="1" x14ac:dyDescent="0.25"/>
    <row r="7139" ht="16.5" customHeight="1" x14ac:dyDescent="0.25"/>
    <row r="7140" ht="16.5" customHeight="1" x14ac:dyDescent="0.25"/>
    <row r="7141" ht="16.5" customHeight="1" x14ac:dyDescent="0.25"/>
    <row r="7142" ht="16.5" customHeight="1" x14ac:dyDescent="0.25"/>
    <row r="7143" ht="16.5" customHeight="1" x14ac:dyDescent="0.25"/>
    <row r="7144" ht="16.5" customHeight="1" x14ac:dyDescent="0.25"/>
    <row r="7145" ht="16.5" customHeight="1" x14ac:dyDescent="0.25"/>
    <row r="7146" ht="16.5" customHeight="1" x14ac:dyDescent="0.25"/>
    <row r="7147" ht="16.5" customHeight="1" x14ac:dyDescent="0.25"/>
    <row r="7148" ht="16.5" customHeight="1" x14ac:dyDescent="0.25"/>
    <row r="7149" ht="16.5" customHeight="1" x14ac:dyDescent="0.25"/>
    <row r="7150" ht="16.5" customHeight="1" x14ac:dyDescent="0.25"/>
    <row r="7151" ht="16.5" customHeight="1" x14ac:dyDescent="0.25"/>
    <row r="7152" ht="16.5" customHeight="1" x14ac:dyDescent="0.25"/>
    <row r="7153" ht="16.5" customHeight="1" x14ac:dyDescent="0.25"/>
    <row r="7154" ht="16.5" customHeight="1" x14ac:dyDescent="0.25"/>
    <row r="7155" ht="16.5" customHeight="1" x14ac:dyDescent="0.25"/>
    <row r="7156" ht="16.5" customHeight="1" x14ac:dyDescent="0.25"/>
    <row r="7157" ht="16.5" customHeight="1" x14ac:dyDescent="0.25"/>
    <row r="7158" ht="16.5" customHeight="1" x14ac:dyDescent="0.25"/>
    <row r="7159" ht="16.5" customHeight="1" x14ac:dyDescent="0.25"/>
    <row r="7160" ht="16.5" customHeight="1" x14ac:dyDescent="0.25"/>
    <row r="7161" ht="16.5" customHeight="1" x14ac:dyDescent="0.25"/>
    <row r="7162" ht="16.5" customHeight="1" x14ac:dyDescent="0.25"/>
    <row r="7163" ht="16.5" customHeight="1" x14ac:dyDescent="0.25"/>
    <row r="7164" ht="16.5" customHeight="1" x14ac:dyDescent="0.25"/>
    <row r="7165" ht="16.5" customHeight="1" x14ac:dyDescent="0.25"/>
    <row r="7166" ht="16.5" customHeight="1" x14ac:dyDescent="0.25"/>
    <row r="7167" ht="16.5" customHeight="1" x14ac:dyDescent="0.25"/>
    <row r="7168" ht="16.5" customHeight="1" x14ac:dyDescent="0.25"/>
    <row r="7169" ht="16.5" customHeight="1" x14ac:dyDescent="0.25"/>
    <row r="7170" ht="16.5" customHeight="1" x14ac:dyDescent="0.25"/>
    <row r="7171" ht="16.5" customHeight="1" x14ac:dyDescent="0.25"/>
    <row r="7172" ht="16.5" customHeight="1" x14ac:dyDescent="0.25"/>
    <row r="7173" ht="16.5" customHeight="1" x14ac:dyDescent="0.25"/>
    <row r="7174" ht="16.5" customHeight="1" x14ac:dyDescent="0.25"/>
    <row r="7175" ht="16.5" customHeight="1" x14ac:dyDescent="0.25"/>
    <row r="7176" ht="16.5" customHeight="1" x14ac:dyDescent="0.25"/>
    <row r="7177" ht="16.5" customHeight="1" x14ac:dyDescent="0.25"/>
    <row r="7178" ht="16.5" customHeight="1" x14ac:dyDescent="0.25"/>
    <row r="7179" ht="16.5" customHeight="1" x14ac:dyDescent="0.25"/>
    <row r="7180" ht="16.5" customHeight="1" x14ac:dyDescent="0.25"/>
    <row r="7181" ht="16.5" customHeight="1" x14ac:dyDescent="0.25"/>
    <row r="7182" ht="16.5" customHeight="1" x14ac:dyDescent="0.25"/>
    <row r="7183" ht="16.5" customHeight="1" x14ac:dyDescent="0.25"/>
    <row r="7184" ht="16.5" customHeight="1" x14ac:dyDescent="0.25"/>
    <row r="7185" ht="16.5" customHeight="1" x14ac:dyDescent="0.25"/>
    <row r="7186" ht="16.5" customHeight="1" x14ac:dyDescent="0.25"/>
    <row r="7187" ht="16.5" customHeight="1" x14ac:dyDescent="0.25"/>
    <row r="7188" ht="16.5" customHeight="1" x14ac:dyDescent="0.25"/>
    <row r="7189" ht="16.5" customHeight="1" x14ac:dyDescent="0.25"/>
    <row r="7190" ht="16.5" customHeight="1" x14ac:dyDescent="0.25"/>
    <row r="7191" ht="16.5" customHeight="1" x14ac:dyDescent="0.25"/>
    <row r="7192" ht="16.5" customHeight="1" x14ac:dyDescent="0.25"/>
    <row r="7193" ht="16.5" customHeight="1" x14ac:dyDescent="0.25"/>
    <row r="7194" ht="16.5" customHeight="1" x14ac:dyDescent="0.25"/>
    <row r="7195" ht="16.5" customHeight="1" x14ac:dyDescent="0.25"/>
    <row r="7196" ht="16.5" customHeight="1" x14ac:dyDescent="0.25"/>
    <row r="7197" ht="16.5" customHeight="1" x14ac:dyDescent="0.25"/>
    <row r="7198" ht="16.5" customHeight="1" x14ac:dyDescent="0.25"/>
    <row r="7199" ht="16.5" customHeight="1" x14ac:dyDescent="0.25"/>
    <row r="7200" ht="16.5" customHeight="1" x14ac:dyDescent="0.25"/>
    <row r="7201" ht="16.5" customHeight="1" x14ac:dyDescent="0.25"/>
    <row r="7202" ht="16.5" customHeight="1" x14ac:dyDescent="0.25"/>
    <row r="7203" ht="16.5" customHeight="1" x14ac:dyDescent="0.25"/>
    <row r="7204" ht="16.5" customHeight="1" x14ac:dyDescent="0.25"/>
    <row r="7205" ht="16.5" customHeight="1" x14ac:dyDescent="0.25"/>
    <row r="7206" ht="16.5" customHeight="1" x14ac:dyDescent="0.25"/>
    <row r="7207" ht="16.5" customHeight="1" x14ac:dyDescent="0.25"/>
    <row r="7208" ht="16.5" customHeight="1" x14ac:dyDescent="0.25"/>
    <row r="7209" ht="16.5" customHeight="1" x14ac:dyDescent="0.25"/>
    <row r="7210" ht="16.5" customHeight="1" x14ac:dyDescent="0.25"/>
    <row r="7211" ht="16.5" customHeight="1" x14ac:dyDescent="0.25"/>
    <row r="7212" ht="16.5" customHeight="1" x14ac:dyDescent="0.25"/>
    <row r="7213" ht="16.5" customHeight="1" x14ac:dyDescent="0.25"/>
    <row r="7214" ht="16.5" customHeight="1" x14ac:dyDescent="0.25"/>
    <row r="7215" ht="16.5" customHeight="1" x14ac:dyDescent="0.25"/>
    <row r="7216" ht="16.5" customHeight="1" x14ac:dyDescent="0.25"/>
    <row r="7217" ht="16.5" customHeight="1" x14ac:dyDescent="0.25"/>
    <row r="7218" ht="16.5" customHeight="1" x14ac:dyDescent="0.25"/>
    <row r="7219" ht="16.5" customHeight="1" x14ac:dyDescent="0.25"/>
    <row r="7220" ht="16.5" customHeight="1" x14ac:dyDescent="0.25"/>
    <row r="7221" ht="16.5" customHeight="1" x14ac:dyDescent="0.25"/>
    <row r="7222" ht="16.5" customHeight="1" x14ac:dyDescent="0.25"/>
    <row r="7223" ht="16.5" customHeight="1" x14ac:dyDescent="0.25"/>
    <row r="7224" ht="16.5" customHeight="1" x14ac:dyDescent="0.25"/>
    <row r="7225" ht="16.5" customHeight="1" x14ac:dyDescent="0.25"/>
    <row r="7226" ht="16.5" customHeight="1" x14ac:dyDescent="0.25"/>
    <row r="7227" ht="16.5" customHeight="1" x14ac:dyDescent="0.25"/>
    <row r="7228" ht="16.5" customHeight="1" x14ac:dyDescent="0.25"/>
    <row r="7229" ht="16.5" customHeight="1" x14ac:dyDescent="0.25"/>
    <row r="7230" ht="16.5" customHeight="1" x14ac:dyDescent="0.25"/>
    <row r="7231" ht="16.5" customHeight="1" x14ac:dyDescent="0.25"/>
    <row r="7232" ht="16.5" customHeight="1" x14ac:dyDescent="0.25"/>
    <row r="7233" ht="16.5" customHeight="1" x14ac:dyDescent="0.25"/>
    <row r="7234" ht="16.5" customHeight="1" x14ac:dyDescent="0.25"/>
    <row r="7235" ht="16.5" customHeight="1" x14ac:dyDescent="0.25"/>
    <row r="7236" ht="16.5" customHeight="1" x14ac:dyDescent="0.25"/>
    <row r="7237" ht="16.5" customHeight="1" x14ac:dyDescent="0.25"/>
    <row r="7238" ht="16.5" customHeight="1" x14ac:dyDescent="0.25"/>
    <row r="7239" ht="16.5" customHeight="1" x14ac:dyDescent="0.25"/>
    <row r="7240" ht="16.5" customHeight="1" x14ac:dyDescent="0.25"/>
    <row r="7241" ht="16.5" customHeight="1" x14ac:dyDescent="0.25"/>
    <row r="7242" ht="16.5" customHeight="1" x14ac:dyDescent="0.25"/>
    <row r="7243" ht="16.5" customHeight="1" x14ac:dyDescent="0.25"/>
    <row r="7244" ht="16.5" customHeight="1" x14ac:dyDescent="0.25"/>
    <row r="7245" ht="16.5" customHeight="1" x14ac:dyDescent="0.25"/>
    <row r="7246" ht="16.5" customHeight="1" x14ac:dyDescent="0.25"/>
    <row r="7247" ht="16.5" customHeight="1" x14ac:dyDescent="0.25"/>
    <row r="7248" ht="16.5" customHeight="1" x14ac:dyDescent="0.25"/>
    <row r="7249" ht="16.5" customHeight="1" x14ac:dyDescent="0.25"/>
    <row r="7250" ht="16.5" customHeight="1" x14ac:dyDescent="0.25"/>
    <row r="7251" ht="16.5" customHeight="1" x14ac:dyDescent="0.25"/>
    <row r="7252" ht="16.5" customHeight="1" x14ac:dyDescent="0.25"/>
    <row r="7253" ht="16.5" customHeight="1" x14ac:dyDescent="0.25"/>
    <row r="7254" ht="16.5" customHeight="1" x14ac:dyDescent="0.25"/>
    <row r="7255" ht="16.5" customHeight="1" x14ac:dyDescent="0.25"/>
    <row r="7256" ht="16.5" customHeight="1" x14ac:dyDescent="0.25"/>
    <row r="7257" ht="16.5" customHeight="1" x14ac:dyDescent="0.25"/>
    <row r="7258" ht="16.5" customHeight="1" x14ac:dyDescent="0.25"/>
    <row r="7259" ht="16.5" customHeight="1" x14ac:dyDescent="0.25"/>
    <row r="7260" ht="16.5" customHeight="1" x14ac:dyDescent="0.25"/>
    <row r="7261" ht="16.5" customHeight="1" x14ac:dyDescent="0.25"/>
    <row r="7262" ht="16.5" customHeight="1" x14ac:dyDescent="0.25"/>
    <row r="7263" ht="16.5" customHeight="1" x14ac:dyDescent="0.25"/>
    <row r="7264" ht="16.5" customHeight="1" x14ac:dyDescent="0.25"/>
    <row r="7265" ht="16.5" customHeight="1" x14ac:dyDescent="0.25"/>
    <row r="7266" ht="16.5" customHeight="1" x14ac:dyDescent="0.25"/>
    <row r="7267" ht="16.5" customHeight="1" x14ac:dyDescent="0.25"/>
    <row r="7268" ht="16.5" customHeight="1" x14ac:dyDescent="0.25"/>
    <row r="7269" ht="16.5" customHeight="1" x14ac:dyDescent="0.25"/>
    <row r="7270" ht="16.5" customHeight="1" x14ac:dyDescent="0.25"/>
    <row r="7271" ht="16.5" customHeight="1" x14ac:dyDescent="0.25"/>
    <row r="7272" ht="16.5" customHeight="1" x14ac:dyDescent="0.25"/>
    <row r="7273" ht="16.5" customHeight="1" x14ac:dyDescent="0.25"/>
    <row r="7274" ht="16.5" customHeight="1" x14ac:dyDescent="0.25"/>
    <row r="7275" ht="16.5" customHeight="1" x14ac:dyDescent="0.25"/>
    <row r="7276" ht="16.5" customHeight="1" x14ac:dyDescent="0.25"/>
    <row r="7277" ht="16.5" customHeight="1" x14ac:dyDescent="0.25"/>
    <row r="7278" ht="16.5" customHeight="1" x14ac:dyDescent="0.25"/>
    <row r="7279" ht="16.5" customHeight="1" x14ac:dyDescent="0.25"/>
    <row r="7280" ht="16.5" customHeight="1" x14ac:dyDescent="0.25"/>
    <row r="7281" ht="16.5" customHeight="1" x14ac:dyDescent="0.25"/>
    <row r="7282" ht="16.5" customHeight="1" x14ac:dyDescent="0.25"/>
    <row r="7283" ht="16.5" customHeight="1" x14ac:dyDescent="0.25"/>
    <row r="7284" ht="16.5" customHeight="1" x14ac:dyDescent="0.25"/>
    <row r="7285" ht="16.5" customHeight="1" x14ac:dyDescent="0.25"/>
    <row r="7286" ht="16.5" customHeight="1" x14ac:dyDescent="0.25"/>
    <row r="7287" ht="16.5" customHeight="1" x14ac:dyDescent="0.25"/>
    <row r="7288" ht="16.5" customHeight="1" x14ac:dyDescent="0.25"/>
    <row r="7289" ht="16.5" customHeight="1" x14ac:dyDescent="0.25"/>
    <row r="7290" ht="16.5" customHeight="1" x14ac:dyDescent="0.25"/>
    <row r="7291" ht="16.5" customHeight="1" x14ac:dyDescent="0.25"/>
    <row r="7292" ht="16.5" customHeight="1" x14ac:dyDescent="0.25"/>
    <row r="7293" ht="16.5" customHeight="1" x14ac:dyDescent="0.25"/>
    <row r="7294" ht="16.5" customHeight="1" x14ac:dyDescent="0.25"/>
    <row r="7295" ht="16.5" customHeight="1" x14ac:dyDescent="0.25"/>
    <row r="7296" ht="16.5" customHeight="1" x14ac:dyDescent="0.25"/>
    <row r="7297" ht="16.5" customHeight="1" x14ac:dyDescent="0.25"/>
    <row r="7298" ht="16.5" customHeight="1" x14ac:dyDescent="0.25"/>
    <row r="7299" ht="16.5" customHeight="1" x14ac:dyDescent="0.25"/>
    <row r="7300" ht="16.5" customHeight="1" x14ac:dyDescent="0.25"/>
    <row r="7301" ht="16.5" customHeight="1" x14ac:dyDescent="0.25"/>
    <row r="7302" ht="16.5" customHeight="1" x14ac:dyDescent="0.25"/>
    <row r="7303" ht="16.5" customHeight="1" x14ac:dyDescent="0.25"/>
    <row r="7304" ht="16.5" customHeight="1" x14ac:dyDescent="0.25"/>
    <row r="7305" ht="16.5" customHeight="1" x14ac:dyDescent="0.25"/>
    <row r="7306" ht="16.5" customHeight="1" x14ac:dyDescent="0.25"/>
    <row r="7307" ht="16.5" customHeight="1" x14ac:dyDescent="0.25"/>
    <row r="7308" ht="16.5" customHeight="1" x14ac:dyDescent="0.25"/>
    <row r="7309" ht="16.5" customHeight="1" x14ac:dyDescent="0.25"/>
    <row r="7310" ht="16.5" customHeight="1" x14ac:dyDescent="0.25"/>
    <row r="7311" ht="16.5" customHeight="1" x14ac:dyDescent="0.25"/>
    <row r="7312" ht="16.5" customHeight="1" x14ac:dyDescent="0.25"/>
    <row r="7313" ht="16.5" customHeight="1" x14ac:dyDescent="0.25"/>
    <row r="7314" ht="16.5" customHeight="1" x14ac:dyDescent="0.25"/>
    <row r="7315" ht="16.5" customHeight="1" x14ac:dyDescent="0.25"/>
    <row r="7316" ht="16.5" customHeight="1" x14ac:dyDescent="0.25"/>
    <row r="7317" ht="16.5" customHeight="1" x14ac:dyDescent="0.25"/>
    <row r="7318" ht="16.5" customHeight="1" x14ac:dyDescent="0.25"/>
    <row r="7319" ht="16.5" customHeight="1" x14ac:dyDescent="0.25"/>
    <row r="7320" ht="16.5" customHeight="1" x14ac:dyDescent="0.25"/>
    <row r="7321" ht="16.5" customHeight="1" x14ac:dyDescent="0.25"/>
    <row r="7322" ht="16.5" customHeight="1" x14ac:dyDescent="0.25"/>
    <row r="7323" ht="16.5" customHeight="1" x14ac:dyDescent="0.25"/>
    <row r="7324" ht="16.5" customHeight="1" x14ac:dyDescent="0.25"/>
    <row r="7325" ht="16.5" customHeight="1" x14ac:dyDescent="0.25"/>
    <row r="7326" ht="16.5" customHeight="1" x14ac:dyDescent="0.25"/>
    <row r="7327" ht="16.5" customHeight="1" x14ac:dyDescent="0.25"/>
    <row r="7328" ht="16.5" customHeight="1" x14ac:dyDescent="0.25"/>
    <row r="7329" ht="16.5" customHeight="1" x14ac:dyDescent="0.25"/>
    <row r="7330" ht="16.5" customHeight="1" x14ac:dyDescent="0.25"/>
    <row r="7331" ht="16.5" customHeight="1" x14ac:dyDescent="0.25"/>
    <row r="7332" ht="16.5" customHeight="1" x14ac:dyDescent="0.25"/>
    <row r="7333" ht="16.5" customHeight="1" x14ac:dyDescent="0.25"/>
    <row r="7334" ht="16.5" customHeight="1" x14ac:dyDescent="0.25"/>
    <row r="7335" ht="16.5" customHeight="1" x14ac:dyDescent="0.25"/>
    <row r="7336" ht="16.5" customHeight="1" x14ac:dyDescent="0.25"/>
    <row r="7337" ht="16.5" customHeight="1" x14ac:dyDescent="0.25"/>
    <row r="7338" ht="16.5" customHeight="1" x14ac:dyDescent="0.25"/>
    <row r="7339" ht="16.5" customHeight="1" x14ac:dyDescent="0.25"/>
    <row r="7340" ht="16.5" customHeight="1" x14ac:dyDescent="0.25"/>
    <row r="7341" ht="16.5" customHeight="1" x14ac:dyDescent="0.25"/>
    <row r="7342" ht="16.5" customHeight="1" x14ac:dyDescent="0.25"/>
    <row r="7343" ht="16.5" customHeight="1" x14ac:dyDescent="0.25"/>
    <row r="7344" ht="16.5" customHeight="1" x14ac:dyDescent="0.25"/>
    <row r="7345" ht="16.5" customHeight="1" x14ac:dyDescent="0.25"/>
    <row r="7346" ht="16.5" customHeight="1" x14ac:dyDescent="0.25"/>
    <row r="7347" ht="16.5" customHeight="1" x14ac:dyDescent="0.25"/>
    <row r="7348" ht="16.5" customHeight="1" x14ac:dyDescent="0.25"/>
    <row r="7349" ht="16.5" customHeight="1" x14ac:dyDescent="0.25"/>
    <row r="7350" ht="16.5" customHeight="1" x14ac:dyDescent="0.25"/>
    <row r="7351" ht="16.5" customHeight="1" x14ac:dyDescent="0.25"/>
    <row r="7352" ht="16.5" customHeight="1" x14ac:dyDescent="0.25"/>
    <row r="7353" ht="16.5" customHeight="1" x14ac:dyDescent="0.25"/>
    <row r="7354" ht="16.5" customHeight="1" x14ac:dyDescent="0.25"/>
    <row r="7355" ht="16.5" customHeight="1" x14ac:dyDescent="0.25"/>
    <row r="7356" ht="16.5" customHeight="1" x14ac:dyDescent="0.25"/>
    <row r="7357" ht="16.5" customHeight="1" x14ac:dyDescent="0.25"/>
    <row r="7358" ht="16.5" customHeight="1" x14ac:dyDescent="0.25"/>
    <row r="7359" ht="16.5" customHeight="1" x14ac:dyDescent="0.25"/>
    <row r="7360" ht="16.5" customHeight="1" x14ac:dyDescent="0.25"/>
    <row r="7361" ht="16.5" customHeight="1" x14ac:dyDescent="0.25"/>
    <row r="7362" ht="16.5" customHeight="1" x14ac:dyDescent="0.25"/>
    <row r="7363" ht="16.5" customHeight="1" x14ac:dyDescent="0.25"/>
    <row r="7364" ht="16.5" customHeight="1" x14ac:dyDescent="0.25"/>
    <row r="7365" ht="16.5" customHeight="1" x14ac:dyDescent="0.25"/>
    <row r="7366" ht="16.5" customHeight="1" x14ac:dyDescent="0.25"/>
    <row r="7367" ht="16.5" customHeight="1" x14ac:dyDescent="0.25"/>
    <row r="7368" ht="16.5" customHeight="1" x14ac:dyDescent="0.25"/>
    <row r="7369" ht="16.5" customHeight="1" x14ac:dyDescent="0.25"/>
    <row r="7370" ht="16.5" customHeight="1" x14ac:dyDescent="0.25"/>
    <row r="7371" ht="16.5" customHeight="1" x14ac:dyDescent="0.25"/>
    <row r="7372" ht="16.5" customHeight="1" x14ac:dyDescent="0.25"/>
    <row r="7373" ht="16.5" customHeight="1" x14ac:dyDescent="0.25"/>
    <row r="7374" ht="16.5" customHeight="1" x14ac:dyDescent="0.25"/>
    <row r="7375" ht="16.5" customHeight="1" x14ac:dyDescent="0.25"/>
    <row r="7376" ht="16.5" customHeight="1" x14ac:dyDescent="0.25"/>
    <row r="7377" ht="16.5" customHeight="1" x14ac:dyDescent="0.25"/>
    <row r="7378" ht="16.5" customHeight="1" x14ac:dyDescent="0.25"/>
    <row r="7379" ht="16.5" customHeight="1" x14ac:dyDescent="0.25"/>
    <row r="7380" ht="16.5" customHeight="1" x14ac:dyDescent="0.25"/>
    <row r="7381" ht="16.5" customHeight="1" x14ac:dyDescent="0.25"/>
    <row r="7382" ht="16.5" customHeight="1" x14ac:dyDescent="0.25"/>
    <row r="7383" ht="16.5" customHeight="1" x14ac:dyDescent="0.25"/>
    <row r="7384" ht="16.5" customHeight="1" x14ac:dyDescent="0.25"/>
    <row r="7385" ht="16.5" customHeight="1" x14ac:dyDescent="0.25"/>
    <row r="7386" ht="16.5" customHeight="1" x14ac:dyDescent="0.25"/>
    <row r="7387" ht="16.5" customHeight="1" x14ac:dyDescent="0.25"/>
    <row r="7388" ht="16.5" customHeight="1" x14ac:dyDescent="0.25"/>
    <row r="7389" ht="16.5" customHeight="1" x14ac:dyDescent="0.25"/>
    <row r="7390" ht="16.5" customHeight="1" x14ac:dyDescent="0.25"/>
    <row r="7391" ht="16.5" customHeight="1" x14ac:dyDescent="0.25"/>
    <row r="7392" ht="16.5" customHeight="1" x14ac:dyDescent="0.25"/>
    <row r="7393" ht="16.5" customHeight="1" x14ac:dyDescent="0.25"/>
    <row r="7394" ht="16.5" customHeight="1" x14ac:dyDescent="0.25"/>
    <row r="7395" ht="16.5" customHeight="1" x14ac:dyDescent="0.25"/>
    <row r="7396" ht="16.5" customHeight="1" x14ac:dyDescent="0.25"/>
    <row r="7397" ht="16.5" customHeight="1" x14ac:dyDescent="0.25"/>
    <row r="7398" ht="16.5" customHeight="1" x14ac:dyDescent="0.25"/>
    <row r="7399" ht="16.5" customHeight="1" x14ac:dyDescent="0.25"/>
    <row r="7400" ht="16.5" customHeight="1" x14ac:dyDescent="0.25"/>
    <row r="7401" ht="16.5" customHeight="1" x14ac:dyDescent="0.25"/>
    <row r="7402" ht="16.5" customHeight="1" x14ac:dyDescent="0.25"/>
    <row r="7403" ht="16.5" customHeight="1" x14ac:dyDescent="0.25"/>
    <row r="7404" ht="16.5" customHeight="1" x14ac:dyDescent="0.25"/>
    <row r="7405" ht="16.5" customHeight="1" x14ac:dyDescent="0.25"/>
    <row r="7406" ht="16.5" customHeight="1" x14ac:dyDescent="0.25"/>
    <row r="7407" ht="16.5" customHeight="1" x14ac:dyDescent="0.25"/>
    <row r="7408" ht="16.5" customHeight="1" x14ac:dyDescent="0.25"/>
    <row r="7409" ht="16.5" customHeight="1" x14ac:dyDescent="0.25"/>
    <row r="7410" ht="16.5" customHeight="1" x14ac:dyDescent="0.25"/>
    <row r="7411" ht="16.5" customHeight="1" x14ac:dyDescent="0.25"/>
    <row r="7412" ht="16.5" customHeight="1" x14ac:dyDescent="0.25"/>
    <row r="7413" ht="16.5" customHeight="1" x14ac:dyDescent="0.25"/>
    <row r="7414" ht="16.5" customHeight="1" x14ac:dyDescent="0.25"/>
    <row r="7415" ht="16.5" customHeight="1" x14ac:dyDescent="0.25"/>
    <row r="7416" ht="16.5" customHeight="1" x14ac:dyDescent="0.25"/>
    <row r="7417" ht="16.5" customHeight="1" x14ac:dyDescent="0.25"/>
    <row r="7418" ht="16.5" customHeight="1" x14ac:dyDescent="0.25"/>
    <row r="7419" ht="16.5" customHeight="1" x14ac:dyDescent="0.25"/>
    <row r="7420" ht="16.5" customHeight="1" x14ac:dyDescent="0.25"/>
    <row r="7421" ht="16.5" customHeight="1" x14ac:dyDescent="0.25"/>
    <row r="7422" ht="16.5" customHeight="1" x14ac:dyDescent="0.25"/>
    <row r="7423" ht="16.5" customHeight="1" x14ac:dyDescent="0.25"/>
    <row r="7424" ht="16.5" customHeight="1" x14ac:dyDescent="0.25"/>
    <row r="7425" ht="16.5" customHeight="1" x14ac:dyDescent="0.25"/>
    <row r="7426" ht="16.5" customHeight="1" x14ac:dyDescent="0.25"/>
    <row r="7427" ht="16.5" customHeight="1" x14ac:dyDescent="0.25"/>
    <row r="7428" ht="16.5" customHeight="1" x14ac:dyDescent="0.25"/>
    <row r="7429" ht="16.5" customHeight="1" x14ac:dyDescent="0.25"/>
    <row r="7430" ht="16.5" customHeight="1" x14ac:dyDescent="0.25"/>
    <row r="7431" ht="16.5" customHeight="1" x14ac:dyDescent="0.25"/>
    <row r="7432" ht="16.5" customHeight="1" x14ac:dyDescent="0.25"/>
    <row r="7433" ht="16.5" customHeight="1" x14ac:dyDescent="0.25"/>
    <row r="7434" ht="16.5" customHeight="1" x14ac:dyDescent="0.25"/>
    <row r="7435" ht="16.5" customHeight="1" x14ac:dyDescent="0.25"/>
    <row r="7436" ht="16.5" customHeight="1" x14ac:dyDescent="0.25"/>
    <row r="7437" ht="16.5" customHeight="1" x14ac:dyDescent="0.25"/>
    <row r="7438" ht="16.5" customHeight="1" x14ac:dyDescent="0.25"/>
    <row r="7439" ht="16.5" customHeight="1" x14ac:dyDescent="0.25"/>
    <row r="7440" ht="16.5" customHeight="1" x14ac:dyDescent="0.25"/>
    <row r="7441" ht="16.5" customHeight="1" x14ac:dyDescent="0.25"/>
    <row r="7442" ht="16.5" customHeight="1" x14ac:dyDescent="0.25"/>
    <row r="7443" ht="16.5" customHeight="1" x14ac:dyDescent="0.25"/>
    <row r="7444" ht="16.5" customHeight="1" x14ac:dyDescent="0.25"/>
    <row r="7445" ht="16.5" customHeight="1" x14ac:dyDescent="0.25"/>
    <row r="7446" ht="16.5" customHeight="1" x14ac:dyDescent="0.25"/>
    <row r="7447" ht="16.5" customHeight="1" x14ac:dyDescent="0.25"/>
    <row r="7448" ht="16.5" customHeight="1" x14ac:dyDescent="0.25"/>
    <row r="7449" ht="16.5" customHeight="1" x14ac:dyDescent="0.25"/>
    <row r="7450" ht="16.5" customHeight="1" x14ac:dyDescent="0.25"/>
    <row r="7451" ht="16.5" customHeight="1" x14ac:dyDescent="0.25"/>
    <row r="7452" ht="16.5" customHeight="1" x14ac:dyDescent="0.25"/>
    <row r="7453" ht="16.5" customHeight="1" x14ac:dyDescent="0.25"/>
    <row r="7454" ht="16.5" customHeight="1" x14ac:dyDescent="0.25"/>
    <row r="7455" ht="16.5" customHeight="1" x14ac:dyDescent="0.25"/>
    <row r="7456" ht="16.5" customHeight="1" x14ac:dyDescent="0.25"/>
    <row r="7457" ht="16.5" customHeight="1" x14ac:dyDescent="0.25"/>
    <row r="7458" ht="16.5" customHeight="1" x14ac:dyDescent="0.25"/>
    <row r="7459" ht="16.5" customHeight="1" x14ac:dyDescent="0.25"/>
    <row r="7460" ht="16.5" customHeight="1" x14ac:dyDescent="0.25"/>
    <row r="7461" ht="16.5" customHeight="1" x14ac:dyDescent="0.25"/>
    <row r="7462" ht="16.5" customHeight="1" x14ac:dyDescent="0.25"/>
    <row r="7463" ht="16.5" customHeight="1" x14ac:dyDescent="0.25"/>
    <row r="7464" ht="16.5" customHeight="1" x14ac:dyDescent="0.25"/>
    <row r="7465" ht="16.5" customHeight="1" x14ac:dyDescent="0.25"/>
    <row r="7466" ht="16.5" customHeight="1" x14ac:dyDescent="0.25"/>
    <row r="7467" ht="16.5" customHeight="1" x14ac:dyDescent="0.25"/>
    <row r="7468" ht="16.5" customHeight="1" x14ac:dyDescent="0.25"/>
    <row r="7469" ht="16.5" customHeight="1" x14ac:dyDescent="0.25"/>
    <row r="7470" ht="16.5" customHeight="1" x14ac:dyDescent="0.25"/>
    <row r="7471" ht="16.5" customHeight="1" x14ac:dyDescent="0.25"/>
    <row r="7472" ht="16.5" customHeight="1" x14ac:dyDescent="0.25"/>
    <row r="7473" ht="16.5" customHeight="1" x14ac:dyDescent="0.25"/>
    <row r="7474" ht="16.5" customHeight="1" x14ac:dyDescent="0.25"/>
    <row r="7475" ht="16.5" customHeight="1" x14ac:dyDescent="0.25"/>
    <row r="7476" ht="16.5" customHeight="1" x14ac:dyDescent="0.25"/>
    <row r="7477" ht="16.5" customHeight="1" x14ac:dyDescent="0.25"/>
    <row r="7478" ht="16.5" customHeight="1" x14ac:dyDescent="0.25"/>
    <row r="7479" ht="16.5" customHeight="1" x14ac:dyDescent="0.25"/>
    <row r="7480" ht="16.5" customHeight="1" x14ac:dyDescent="0.25"/>
    <row r="7481" ht="16.5" customHeight="1" x14ac:dyDescent="0.25"/>
    <row r="7482" ht="16.5" customHeight="1" x14ac:dyDescent="0.25"/>
    <row r="7483" ht="16.5" customHeight="1" x14ac:dyDescent="0.25"/>
    <row r="7484" ht="16.5" customHeight="1" x14ac:dyDescent="0.25"/>
    <row r="7485" ht="16.5" customHeight="1" x14ac:dyDescent="0.25"/>
    <row r="7486" ht="16.5" customHeight="1" x14ac:dyDescent="0.25"/>
    <row r="7487" ht="16.5" customHeight="1" x14ac:dyDescent="0.25"/>
    <row r="7488" ht="16.5" customHeight="1" x14ac:dyDescent="0.25"/>
    <row r="7489" ht="16.5" customHeight="1" x14ac:dyDescent="0.25"/>
    <row r="7490" ht="16.5" customHeight="1" x14ac:dyDescent="0.25"/>
    <row r="7491" ht="16.5" customHeight="1" x14ac:dyDescent="0.25"/>
    <row r="7492" ht="16.5" customHeight="1" x14ac:dyDescent="0.25"/>
    <row r="7493" ht="16.5" customHeight="1" x14ac:dyDescent="0.25"/>
    <row r="7494" ht="16.5" customHeight="1" x14ac:dyDescent="0.25"/>
    <row r="7495" ht="16.5" customHeight="1" x14ac:dyDescent="0.25"/>
    <row r="7496" ht="16.5" customHeight="1" x14ac:dyDescent="0.25"/>
    <row r="7497" ht="16.5" customHeight="1" x14ac:dyDescent="0.25"/>
    <row r="7498" ht="16.5" customHeight="1" x14ac:dyDescent="0.25"/>
    <row r="7499" ht="16.5" customHeight="1" x14ac:dyDescent="0.25"/>
    <row r="7500" ht="16.5" customHeight="1" x14ac:dyDescent="0.25"/>
    <row r="7501" ht="16.5" customHeight="1" x14ac:dyDescent="0.25"/>
    <row r="7502" ht="16.5" customHeight="1" x14ac:dyDescent="0.25"/>
    <row r="7503" ht="16.5" customHeight="1" x14ac:dyDescent="0.25"/>
    <row r="7504" ht="16.5" customHeight="1" x14ac:dyDescent="0.25"/>
    <row r="7505" ht="16.5" customHeight="1" x14ac:dyDescent="0.25"/>
    <row r="7506" ht="16.5" customHeight="1" x14ac:dyDescent="0.25"/>
    <row r="7507" ht="16.5" customHeight="1" x14ac:dyDescent="0.25"/>
    <row r="7508" ht="16.5" customHeight="1" x14ac:dyDescent="0.25"/>
    <row r="7509" ht="16.5" customHeight="1" x14ac:dyDescent="0.25"/>
    <row r="7510" ht="16.5" customHeight="1" x14ac:dyDescent="0.25"/>
    <row r="7511" ht="16.5" customHeight="1" x14ac:dyDescent="0.25"/>
    <row r="7512" ht="16.5" customHeight="1" x14ac:dyDescent="0.25"/>
    <row r="7513" ht="16.5" customHeight="1" x14ac:dyDescent="0.25"/>
    <row r="7514" ht="16.5" customHeight="1" x14ac:dyDescent="0.25"/>
    <row r="7515" ht="16.5" customHeight="1" x14ac:dyDescent="0.25"/>
    <row r="7516" ht="16.5" customHeight="1" x14ac:dyDescent="0.25"/>
    <row r="7517" ht="16.5" customHeight="1" x14ac:dyDescent="0.25"/>
    <row r="7518" ht="16.5" customHeight="1" x14ac:dyDescent="0.25"/>
    <row r="7519" ht="16.5" customHeight="1" x14ac:dyDescent="0.25"/>
    <row r="7520" ht="16.5" customHeight="1" x14ac:dyDescent="0.25"/>
    <row r="7521" ht="16.5" customHeight="1" x14ac:dyDescent="0.25"/>
    <row r="7522" ht="16.5" customHeight="1" x14ac:dyDescent="0.25"/>
    <row r="7523" ht="16.5" customHeight="1" x14ac:dyDescent="0.25"/>
    <row r="7524" ht="16.5" customHeight="1" x14ac:dyDescent="0.25"/>
    <row r="7525" ht="16.5" customHeight="1" x14ac:dyDescent="0.25"/>
    <row r="7526" ht="16.5" customHeight="1" x14ac:dyDescent="0.25"/>
    <row r="7527" ht="16.5" customHeight="1" x14ac:dyDescent="0.25"/>
    <row r="7528" ht="16.5" customHeight="1" x14ac:dyDescent="0.25"/>
    <row r="7529" ht="16.5" customHeight="1" x14ac:dyDescent="0.25"/>
    <row r="7530" ht="16.5" customHeight="1" x14ac:dyDescent="0.25"/>
    <row r="7531" ht="16.5" customHeight="1" x14ac:dyDescent="0.25"/>
    <row r="7532" ht="16.5" customHeight="1" x14ac:dyDescent="0.25"/>
    <row r="7533" ht="16.5" customHeight="1" x14ac:dyDescent="0.25"/>
    <row r="7534" ht="16.5" customHeight="1" x14ac:dyDescent="0.25"/>
    <row r="7535" ht="16.5" customHeight="1" x14ac:dyDescent="0.25"/>
    <row r="7536" ht="16.5" customHeight="1" x14ac:dyDescent="0.25"/>
    <row r="7537" ht="16.5" customHeight="1" x14ac:dyDescent="0.25"/>
    <row r="7538" ht="16.5" customHeight="1" x14ac:dyDescent="0.25"/>
    <row r="7539" ht="16.5" customHeight="1" x14ac:dyDescent="0.25"/>
    <row r="7540" ht="16.5" customHeight="1" x14ac:dyDescent="0.25"/>
    <row r="7541" ht="16.5" customHeight="1" x14ac:dyDescent="0.25"/>
    <row r="7542" ht="16.5" customHeight="1" x14ac:dyDescent="0.25"/>
    <row r="7543" ht="16.5" customHeight="1" x14ac:dyDescent="0.25"/>
    <row r="7544" ht="16.5" customHeight="1" x14ac:dyDescent="0.25"/>
    <row r="7545" ht="16.5" customHeight="1" x14ac:dyDescent="0.25"/>
    <row r="7546" ht="16.5" customHeight="1" x14ac:dyDescent="0.25"/>
    <row r="7547" ht="16.5" customHeight="1" x14ac:dyDescent="0.25"/>
    <row r="7548" ht="16.5" customHeight="1" x14ac:dyDescent="0.25"/>
    <row r="7549" ht="16.5" customHeight="1" x14ac:dyDescent="0.25"/>
    <row r="7550" ht="16.5" customHeight="1" x14ac:dyDescent="0.25"/>
    <row r="7551" ht="16.5" customHeight="1" x14ac:dyDescent="0.25"/>
    <row r="7552" ht="16.5" customHeight="1" x14ac:dyDescent="0.25"/>
    <row r="7553" ht="16.5" customHeight="1" x14ac:dyDescent="0.25"/>
    <row r="7554" ht="16.5" customHeight="1" x14ac:dyDescent="0.25"/>
    <row r="7555" ht="16.5" customHeight="1" x14ac:dyDescent="0.25"/>
    <row r="7556" ht="16.5" customHeight="1" x14ac:dyDescent="0.25"/>
    <row r="7557" ht="16.5" customHeight="1" x14ac:dyDescent="0.25"/>
    <row r="7558" ht="16.5" customHeight="1" x14ac:dyDescent="0.25"/>
    <row r="7559" ht="16.5" customHeight="1" x14ac:dyDescent="0.25"/>
    <row r="7560" ht="16.5" customHeight="1" x14ac:dyDescent="0.25"/>
    <row r="7561" ht="16.5" customHeight="1" x14ac:dyDescent="0.25"/>
    <row r="7562" ht="16.5" customHeight="1" x14ac:dyDescent="0.25"/>
    <row r="7563" ht="16.5" customHeight="1" x14ac:dyDescent="0.25"/>
    <row r="7564" ht="16.5" customHeight="1" x14ac:dyDescent="0.25"/>
    <row r="7565" ht="16.5" customHeight="1" x14ac:dyDescent="0.25"/>
    <row r="7566" ht="16.5" customHeight="1" x14ac:dyDescent="0.25"/>
    <row r="7567" ht="16.5" customHeight="1" x14ac:dyDescent="0.25"/>
    <row r="7568" ht="16.5" customHeight="1" x14ac:dyDescent="0.25"/>
    <row r="7569" ht="16.5" customHeight="1" x14ac:dyDescent="0.25"/>
    <row r="7570" ht="16.5" customHeight="1" x14ac:dyDescent="0.25"/>
    <row r="7571" ht="16.5" customHeight="1" x14ac:dyDescent="0.25"/>
    <row r="7572" ht="16.5" customHeight="1" x14ac:dyDescent="0.25"/>
    <row r="7573" ht="16.5" customHeight="1" x14ac:dyDescent="0.25"/>
    <row r="7574" ht="16.5" customHeight="1" x14ac:dyDescent="0.25"/>
    <row r="7575" ht="16.5" customHeight="1" x14ac:dyDescent="0.25"/>
    <row r="7576" ht="16.5" customHeight="1" x14ac:dyDescent="0.25"/>
    <row r="7577" ht="16.5" customHeight="1" x14ac:dyDescent="0.25"/>
    <row r="7578" ht="16.5" customHeight="1" x14ac:dyDescent="0.25"/>
    <row r="7579" ht="16.5" customHeight="1" x14ac:dyDescent="0.25"/>
    <row r="7580" ht="16.5" customHeight="1" x14ac:dyDescent="0.25"/>
    <row r="7581" ht="16.5" customHeight="1" x14ac:dyDescent="0.25"/>
    <row r="7582" ht="16.5" customHeight="1" x14ac:dyDescent="0.25"/>
    <row r="7583" ht="16.5" customHeight="1" x14ac:dyDescent="0.25"/>
    <row r="7584" ht="16.5" customHeight="1" x14ac:dyDescent="0.25"/>
    <row r="7585" ht="16.5" customHeight="1" x14ac:dyDescent="0.25"/>
    <row r="7586" ht="16.5" customHeight="1" x14ac:dyDescent="0.25"/>
    <row r="7587" ht="16.5" customHeight="1" x14ac:dyDescent="0.25"/>
    <row r="7588" ht="16.5" customHeight="1" x14ac:dyDescent="0.25"/>
    <row r="7589" ht="16.5" customHeight="1" x14ac:dyDescent="0.25"/>
    <row r="7590" ht="16.5" customHeight="1" x14ac:dyDescent="0.25"/>
    <row r="7591" ht="16.5" customHeight="1" x14ac:dyDescent="0.25"/>
    <row r="7592" ht="16.5" customHeight="1" x14ac:dyDescent="0.25"/>
    <row r="7593" ht="16.5" customHeight="1" x14ac:dyDescent="0.25"/>
    <row r="7594" ht="16.5" customHeight="1" x14ac:dyDescent="0.25"/>
    <row r="7595" ht="16.5" customHeight="1" x14ac:dyDescent="0.25"/>
    <row r="7596" ht="16.5" customHeight="1" x14ac:dyDescent="0.25"/>
    <row r="7597" ht="16.5" customHeight="1" x14ac:dyDescent="0.25"/>
    <row r="7598" ht="16.5" customHeight="1" x14ac:dyDescent="0.25"/>
    <row r="7599" ht="16.5" customHeight="1" x14ac:dyDescent="0.25"/>
    <row r="7600" ht="16.5" customHeight="1" x14ac:dyDescent="0.25"/>
    <row r="7601" ht="16.5" customHeight="1" x14ac:dyDescent="0.25"/>
    <row r="7602" ht="16.5" customHeight="1" x14ac:dyDescent="0.25"/>
    <row r="7603" ht="16.5" customHeight="1" x14ac:dyDescent="0.25"/>
    <row r="7604" ht="16.5" customHeight="1" x14ac:dyDescent="0.25"/>
    <row r="7605" ht="16.5" customHeight="1" x14ac:dyDescent="0.25"/>
    <row r="7606" ht="16.5" customHeight="1" x14ac:dyDescent="0.25"/>
    <row r="7607" ht="16.5" customHeight="1" x14ac:dyDescent="0.25"/>
    <row r="7608" ht="16.5" customHeight="1" x14ac:dyDescent="0.25"/>
    <row r="7609" ht="16.5" customHeight="1" x14ac:dyDescent="0.25"/>
    <row r="7610" ht="16.5" customHeight="1" x14ac:dyDescent="0.25"/>
    <row r="7611" ht="16.5" customHeight="1" x14ac:dyDescent="0.25"/>
    <row r="7612" ht="16.5" customHeight="1" x14ac:dyDescent="0.25"/>
    <row r="7613" ht="16.5" customHeight="1" x14ac:dyDescent="0.25"/>
    <row r="7614" ht="16.5" customHeight="1" x14ac:dyDescent="0.25"/>
    <row r="7615" ht="16.5" customHeight="1" x14ac:dyDescent="0.25"/>
    <row r="7616" ht="16.5" customHeight="1" x14ac:dyDescent="0.25"/>
    <row r="7617" ht="16.5" customHeight="1" x14ac:dyDescent="0.25"/>
    <row r="7618" ht="16.5" customHeight="1" x14ac:dyDescent="0.25"/>
    <row r="7619" ht="16.5" customHeight="1" x14ac:dyDescent="0.25"/>
    <row r="7620" ht="16.5" customHeight="1" x14ac:dyDescent="0.25"/>
    <row r="7621" ht="16.5" customHeight="1" x14ac:dyDescent="0.25"/>
    <row r="7622" ht="16.5" customHeight="1" x14ac:dyDescent="0.25"/>
    <row r="7623" ht="16.5" customHeight="1" x14ac:dyDescent="0.25"/>
    <row r="7624" ht="16.5" customHeight="1" x14ac:dyDescent="0.25"/>
    <row r="7625" ht="16.5" customHeight="1" x14ac:dyDescent="0.25"/>
    <row r="7626" ht="16.5" customHeight="1" x14ac:dyDescent="0.25"/>
    <row r="7627" ht="16.5" customHeight="1" x14ac:dyDescent="0.25"/>
    <row r="7628" ht="16.5" customHeight="1" x14ac:dyDescent="0.25"/>
    <row r="7629" ht="16.5" customHeight="1" x14ac:dyDescent="0.25"/>
    <row r="7630" ht="16.5" customHeight="1" x14ac:dyDescent="0.25"/>
    <row r="7631" ht="16.5" customHeight="1" x14ac:dyDescent="0.25"/>
    <row r="7632" ht="16.5" customHeight="1" x14ac:dyDescent="0.25"/>
    <row r="7633" ht="16.5" customHeight="1" x14ac:dyDescent="0.25"/>
    <row r="7634" ht="16.5" customHeight="1" x14ac:dyDescent="0.25"/>
    <row r="7635" ht="16.5" customHeight="1" x14ac:dyDescent="0.25"/>
    <row r="7636" ht="16.5" customHeight="1" x14ac:dyDescent="0.25"/>
    <row r="7637" ht="16.5" customHeight="1" x14ac:dyDescent="0.25"/>
    <row r="7638" ht="16.5" customHeight="1" x14ac:dyDescent="0.25"/>
    <row r="7639" ht="16.5" customHeight="1" x14ac:dyDescent="0.25"/>
    <row r="7640" ht="16.5" customHeight="1" x14ac:dyDescent="0.25"/>
    <row r="7641" ht="16.5" customHeight="1" x14ac:dyDescent="0.25"/>
    <row r="7642" ht="16.5" customHeight="1" x14ac:dyDescent="0.25"/>
    <row r="7643" ht="16.5" customHeight="1" x14ac:dyDescent="0.25"/>
    <row r="7644" ht="16.5" customHeight="1" x14ac:dyDescent="0.25"/>
    <row r="7645" ht="16.5" customHeight="1" x14ac:dyDescent="0.25"/>
    <row r="7646" ht="16.5" customHeight="1" x14ac:dyDescent="0.25"/>
    <row r="7647" ht="16.5" customHeight="1" x14ac:dyDescent="0.25"/>
    <row r="7648" ht="16.5" customHeight="1" x14ac:dyDescent="0.25"/>
    <row r="7649" ht="16.5" customHeight="1" x14ac:dyDescent="0.25"/>
    <row r="7650" ht="16.5" customHeight="1" x14ac:dyDescent="0.25"/>
    <row r="7651" ht="16.5" customHeight="1" x14ac:dyDescent="0.25"/>
    <row r="7652" ht="16.5" customHeight="1" x14ac:dyDescent="0.25"/>
    <row r="7653" ht="16.5" customHeight="1" x14ac:dyDescent="0.25"/>
    <row r="7654" ht="16.5" customHeight="1" x14ac:dyDescent="0.25"/>
    <row r="7655" ht="16.5" customHeight="1" x14ac:dyDescent="0.25"/>
    <row r="7656" ht="16.5" customHeight="1" x14ac:dyDescent="0.25"/>
    <row r="7657" ht="16.5" customHeight="1" x14ac:dyDescent="0.25"/>
    <row r="7658" ht="16.5" customHeight="1" x14ac:dyDescent="0.25"/>
    <row r="7659" ht="16.5" customHeight="1" x14ac:dyDescent="0.25"/>
    <row r="7660" ht="16.5" customHeight="1" x14ac:dyDescent="0.25"/>
    <row r="7661" ht="16.5" customHeight="1" x14ac:dyDescent="0.25"/>
    <row r="7662" ht="16.5" customHeight="1" x14ac:dyDescent="0.25"/>
    <row r="7663" ht="16.5" customHeight="1" x14ac:dyDescent="0.25"/>
    <row r="7664" ht="16.5" customHeight="1" x14ac:dyDescent="0.25"/>
    <row r="7665" ht="16.5" customHeight="1" x14ac:dyDescent="0.25"/>
    <row r="7666" ht="16.5" customHeight="1" x14ac:dyDescent="0.25"/>
    <row r="7667" ht="16.5" customHeight="1" x14ac:dyDescent="0.25"/>
    <row r="7668" ht="16.5" customHeight="1" x14ac:dyDescent="0.25"/>
    <row r="7669" ht="16.5" customHeight="1" x14ac:dyDescent="0.25"/>
    <row r="7670" ht="16.5" customHeight="1" x14ac:dyDescent="0.25"/>
    <row r="7671" ht="16.5" customHeight="1" x14ac:dyDescent="0.25"/>
    <row r="7672" ht="16.5" customHeight="1" x14ac:dyDescent="0.25"/>
    <row r="7673" ht="16.5" customHeight="1" x14ac:dyDescent="0.25"/>
    <row r="7674" ht="16.5" customHeight="1" x14ac:dyDescent="0.25"/>
    <row r="7675" ht="16.5" customHeight="1" x14ac:dyDescent="0.25"/>
    <row r="7676" ht="16.5" customHeight="1" x14ac:dyDescent="0.25"/>
    <row r="7677" ht="16.5" customHeight="1" x14ac:dyDescent="0.25"/>
    <row r="7678" ht="16.5" customHeight="1" x14ac:dyDescent="0.25"/>
    <row r="7679" ht="16.5" customHeight="1" x14ac:dyDescent="0.25"/>
    <row r="7680" ht="16.5" customHeight="1" x14ac:dyDescent="0.25"/>
    <row r="7681" ht="16.5" customHeight="1" x14ac:dyDescent="0.25"/>
    <row r="7682" ht="16.5" customHeight="1" x14ac:dyDescent="0.25"/>
    <row r="7683" ht="16.5" customHeight="1" x14ac:dyDescent="0.25"/>
    <row r="7684" ht="16.5" customHeight="1" x14ac:dyDescent="0.25"/>
    <row r="7685" ht="16.5" customHeight="1" x14ac:dyDescent="0.25"/>
    <row r="7686" ht="16.5" customHeight="1" x14ac:dyDescent="0.25"/>
    <row r="7687" ht="16.5" customHeight="1" x14ac:dyDescent="0.25"/>
    <row r="7688" ht="16.5" customHeight="1" x14ac:dyDescent="0.25"/>
    <row r="7689" ht="16.5" customHeight="1" x14ac:dyDescent="0.25"/>
    <row r="7690" ht="16.5" customHeight="1" x14ac:dyDescent="0.25"/>
    <row r="7691" ht="16.5" customHeight="1" x14ac:dyDescent="0.25"/>
    <row r="7692" ht="16.5" customHeight="1" x14ac:dyDescent="0.25"/>
    <row r="7693" ht="16.5" customHeight="1" x14ac:dyDescent="0.25"/>
    <row r="7694" ht="16.5" customHeight="1" x14ac:dyDescent="0.25"/>
    <row r="7695" ht="16.5" customHeight="1" x14ac:dyDescent="0.25"/>
    <row r="7696" ht="16.5" customHeight="1" x14ac:dyDescent="0.25"/>
    <row r="7697" ht="16.5" customHeight="1" x14ac:dyDescent="0.25"/>
    <row r="7698" ht="16.5" customHeight="1" x14ac:dyDescent="0.25"/>
    <row r="7699" ht="16.5" customHeight="1" x14ac:dyDescent="0.25"/>
    <row r="7700" ht="16.5" customHeight="1" x14ac:dyDescent="0.25"/>
    <row r="7701" ht="16.5" customHeight="1" x14ac:dyDescent="0.25"/>
    <row r="7702" ht="16.5" customHeight="1" x14ac:dyDescent="0.25"/>
    <row r="7703" ht="16.5" customHeight="1" x14ac:dyDescent="0.25"/>
    <row r="7704" ht="16.5" customHeight="1" x14ac:dyDescent="0.25"/>
    <row r="7705" ht="16.5" customHeight="1" x14ac:dyDescent="0.25"/>
    <row r="7706" ht="16.5" customHeight="1" x14ac:dyDescent="0.25"/>
    <row r="7707" ht="16.5" customHeight="1" x14ac:dyDescent="0.25"/>
    <row r="7708" ht="16.5" customHeight="1" x14ac:dyDescent="0.25"/>
    <row r="7709" ht="16.5" customHeight="1" x14ac:dyDescent="0.25"/>
    <row r="7710" ht="16.5" customHeight="1" x14ac:dyDescent="0.25"/>
    <row r="7711" ht="16.5" customHeight="1" x14ac:dyDescent="0.25"/>
    <row r="7712" ht="16.5" customHeight="1" x14ac:dyDescent="0.25"/>
    <row r="7713" ht="16.5" customHeight="1" x14ac:dyDescent="0.25"/>
    <row r="7714" ht="16.5" customHeight="1" x14ac:dyDescent="0.25"/>
    <row r="7715" ht="16.5" customHeight="1" x14ac:dyDescent="0.25"/>
    <row r="7716" ht="16.5" customHeight="1" x14ac:dyDescent="0.25"/>
    <row r="7717" ht="16.5" customHeight="1" x14ac:dyDescent="0.25"/>
    <row r="7718" ht="16.5" customHeight="1" x14ac:dyDescent="0.25"/>
    <row r="7719" ht="16.5" customHeight="1" x14ac:dyDescent="0.25"/>
    <row r="7720" ht="16.5" customHeight="1" x14ac:dyDescent="0.25"/>
    <row r="7721" ht="16.5" customHeight="1" x14ac:dyDescent="0.25"/>
    <row r="7722" ht="16.5" customHeight="1" x14ac:dyDescent="0.25"/>
    <row r="7723" ht="16.5" customHeight="1" x14ac:dyDescent="0.25"/>
    <row r="7724" ht="16.5" customHeight="1" x14ac:dyDescent="0.25"/>
    <row r="7725" ht="16.5" customHeight="1" x14ac:dyDescent="0.25"/>
    <row r="7726" ht="16.5" customHeight="1" x14ac:dyDescent="0.25"/>
    <row r="7727" ht="16.5" customHeight="1" x14ac:dyDescent="0.25"/>
    <row r="7728" ht="16.5" customHeight="1" x14ac:dyDescent="0.25"/>
    <row r="7729" ht="16.5" customHeight="1" x14ac:dyDescent="0.25"/>
    <row r="7730" ht="16.5" customHeight="1" x14ac:dyDescent="0.25"/>
    <row r="7731" ht="16.5" customHeight="1" x14ac:dyDescent="0.25"/>
    <row r="7732" ht="16.5" customHeight="1" x14ac:dyDescent="0.25"/>
    <row r="7733" ht="16.5" customHeight="1" x14ac:dyDescent="0.25"/>
    <row r="7734" ht="16.5" customHeight="1" x14ac:dyDescent="0.25"/>
    <row r="7735" ht="16.5" customHeight="1" x14ac:dyDescent="0.25"/>
    <row r="7736" ht="16.5" customHeight="1" x14ac:dyDescent="0.25"/>
    <row r="7737" ht="16.5" customHeight="1" x14ac:dyDescent="0.25"/>
    <row r="7738" ht="16.5" customHeight="1" x14ac:dyDescent="0.25"/>
    <row r="7739" ht="16.5" customHeight="1" x14ac:dyDescent="0.25"/>
    <row r="7740" ht="16.5" customHeight="1" x14ac:dyDescent="0.25"/>
    <row r="7741" ht="16.5" customHeight="1" x14ac:dyDescent="0.25"/>
    <row r="7742" ht="16.5" customHeight="1" x14ac:dyDescent="0.25"/>
    <row r="7743" ht="16.5" customHeight="1" x14ac:dyDescent="0.25"/>
    <row r="7744" ht="16.5" customHeight="1" x14ac:dyDescent="0.25"/>
    <row r="7745" ht="16.5" customHeight="1" x14ac:dyDescent="0.25"/>
    <row r="7746" ht="16.5" customHeight="1" x14ac:dyDescent="0.25"/>
    <row r="7747" ht="16.5" customHeight="1" x14ac:dyDescent="0.25"/>
    <row r="7748" ht="16.5" customHeight="1" x14ac:dyDescent="0.25"/>
    <row r="7749" ht="16.5" customHeight="1" x14ac:dyDescent="0.25"/>
    <row r="7750" ht="16.5" customHeight="1" x14ac:dyDescent="0.25"/>
    <row r="7751" ht="16.5" customHeight="1" x14ac:dyDescent="0.25"/>
    <row r="7752" ht="16.5" customHeight="1" x14ac:dyDescent="0.25"/>
    <row r="7753" ht="16.5" customHeight="1" x14ac:dyDescent="0.25"/>
    <row r="7754" ht="16.5" customHeight="1" x14ac:dyDescent="0.25"/>
    <row r="7755" ht="16.5" customHeight="1" x14ac:dyDescent="0.25"/>
    <row r="7756" ht="16.5" customHeight="1" x14ac:dyDescent="0.25"/>
    <row r="7757" ht="16.5" customHeight="1" x14ac:dyDescent="0.25"/>
    <row r="7758" ht="16.5" customHeight="1" x14ac:dyDescent="0.25"/>
    <row r="7759" ht="16.5" customHeight="1" x14ac:dyDescent="0.25"/>
    <row r="7760" ht="16.5" customHeight="1" x14ac:dyDescent="0.25"/>
    <row r="7761" ht="16.5" customHeight="1" x14ac:dyDescent="0.25"/>
    <row r="7762" ht="16.5" customHeight="1" x14ac:dyDescent="0.25"/>
    <row r="7763" ht="16.5" customHeight="1" x14ac:dyDescent="0.25"/>
    <row r="7764" ht="16.5" customHeight="1" x14ac:dyDescent="0.25"/>
    <row r="7765" ht="16.5" customHeight="1" x14ac:dyDescent="0.25"/>
    <row r="7766" ht="16.5" customHeight="1" x14ac:dyDescent="0.25"/>
    <row r="7767" ht="16.5" customHeight="1" x14ac:dyDescent="0.25"/>
    <row r="7768" ht="16.5" customHeight="1" x14ac:dyDescent="0.25"/>
    <row r="7769" ht="16.5" customHeight="1" x14ac:dyDescent="0.25"/>
    <row r="7770" ht="16.5" customHeight="1" x14ac:dyDescent="0.25"/>
    <row r="7771" ht="16.5" customHeight="1" x14ac:dyDescent="0.25"/>
    <row r="7772" ht="16.5" customHeight="1" x14ac:dyDescent="0.25"/>
    <row r="7773" ht="16.5" customHeight="1" x14ac:dyDescent="0.25"/>
    <row r="7774" ht="16.5" customHeight="1" x14ac:dyDescent="0.25"/>
    <row r="7775" ht="16.5" customHeight="1" x14ac:dyDescent="0.25"/>
    <row r="7776" ht="16.5" customHeight="1" x14ac:dyDescent="0.25"/>
    <row r="7777" ht="16.5" customHeight="1" x14ac:dyDescent="0.25"/>
    <row r="7778" ht="16.5" customHeight="1" x14ac:dyDescent="0.25"/>
    <row r="7779" ht="16.5" customHeight="1" x14ac:dyDescent="0.25"/>
    <row r="7780" ht="16.5" customHeight="1" x14ac:dyDescent="0.25"/>
    <row r="7781" ht="16.5" customHeight="1" x14ac:dyDescent="0.25"/>
    <row r="7782" ht="16.5" customHeight="1" x14ac:dyDescent="0.25"/>
    <row r="7783" ht="16.5" customHeight="1" x14ac:dyDescent="0.25"/>
    <row r="7784" ht="16.5" customHeight="1" x14ac:dyDescent="0.25"/>
    <row r="7785" ht="16.5" customHeight="1" x14ac:dyDescent="0.25"/>
    <row r="7786" ht="16.5" customHeight="1" x14ac:dyDescent="0.25"/>
    <row r="7787" ht="16.5" customHeight="1" x14ac:dyDescent="0.25"/>
    <row r="7788" ht="16.5" customHeight="1" x14ac:dyDescent="0.25"/>
    <row r="7789" ht="16.5" customHeight="1" x14ac:dyDescent="0.25"/>
    <row r="7790" ht="16.5" customHeight="1" x14ac:dyDescent="0.25"/>
    <row r="7791" ht="16.5" customHeight="1" x14ac:dyDescent="0.25"/>
    <row r="7792" ht="16.5" customHeight="1" x14ac:dyDescent="0.25"/>
    <row r="7793" ht="16.5" customHeight="1" x14ac:dyDescent="0.25"/>
    <row r="7794" ht="16.5" customHeight="1" x14ac:dyDescent="0.25"/>
    <row r="7795" ht="16.5" customHeight="1" x14ac:dyDescent="0.25"/>
    <row r="7796" ht="16.5" customHeight="1" x14ac:dyDescent="0.25"/>
    <row r="7797" ht="16.5" customHeight="1" x14ac:dyDescent="0.25"/>
    <row r="7798" ht="16.5" customHeight="1" x14ac:dyDescent="0.25"/>
    <row r="7799" ht="16.5" customHeight="1" x14ac:dyDescent="0.25"/>
    <row r="7800" ht="16.5" customHeight="1" x14ac:dyDescent="0.25"/>
    <row r="7801" ht="16.5" customHeight="1" x14ac:dyDescent="0.25"/>
    <row r="7802" ht="16.5" customHeight="1" x14ac:dyDescent="0.25"/>
    <row r="7803" ht="16.5" customHeight="1" x14ac:dyDescent="0.25"/>
    <row r="7804" ht="16.5" customHeight="1" x14ac:dyDescent="0.25"/>
    <row r="7805" ht="16.5" customHeight="1" x14ac:dyDescent="0.25"/>
    <row r="7806" ht="16.5" customHeight="1" x14ac:dyDescent="0.25"/>
    <row r="7807" ht="16.5" customHeight="1" x14ac:dyDescent="0.25"/>
    <row r="7808" ht="16.5" customHeight="1" x14ac:dyDescent="0.25"/>
    <row r="7809" ht="16.5" customHeight="1" x14ac:dyDescent="0.25"/>
    <row r="7810" ht="16.5" customHeight="1" x14ac:dyDescent="0.25"/>
    <row r="7811" ht="16.5" customHeight="1" x14ac:dyDescent="0.25"/>
    <row r="7812" ht="16.5" customHeight="1" x14ac:dyDescent="0.25"/>
    <row r="7813" ht="16.5" customHeight="1" x14ac:dyDescent="0.25"/>
    <row r="7814" ht="16.5" customHeight="1" x14ac:dyDescent="0.25"/>
    <row r="7815" ht="16.5" customHeight="1" x14ac:dyDescent="0.25"/>
    <row r="7816" ht="16.5" customHeight="1" x14ac:dyDescent="0.25"/>
    <row r="7817" ht="16.5" customHeight="1" x14ac:dyDescent="0.25"/>
    <row r="7818" ht="16.5" customHeight="1" x14ac:dyDescent="0.25"/>
    <row r="7819" ht="16.5" customHeight="1" x14ac:dyDescent="0.25"/>
    <row r="7820" ht="16.5" customHeight="1" x14ac:dyDescent="0.25"/>
    <row r="7821" ht="16.5" customHeight="1" x14ac:dyDescent="0.25"/>
    <row r="7822" ht="16.5" customHeight="1" x14ac:dyDescent="0.25"/>
    <row r="7823" ht="16.5" customHeight="1" x14ac:dyDescent="0.25"/>
    <row r="7824" ht="16.5" customHeight="1" x14ac:dyDescent="0.25"/>
    <row r="7825" ht="16.5" customHeight="1" x14ac:dyDescent="0.25"/>
    <row r="7826" ht="16.5" customHeight="1" x14ac:dyDescent="0.25"/>
    <row r="7827" ht="16.5" customHeight="1" x14ac:dyDescent="0.25"/>
    <row r="7828" ht="16.5" customHeight="1" x14ac:dyDescent="0.25"/>
    <row r="7829" ht="16.5" customHeight="1" x14ac:dyDescent="0.25"/>
    <row r="7830" ht="16.5" customHeight="1" x14ac:dyDescent="0.25"/>
    <row r="7831" ht="16.5" customHeight="1" x14ac:dyDescent="0.25"/>
    <row r="7832" ht="16.5" customHeight="1" x14ac:dyDescent="0.25"/>
    <row r="7833" ht="16.5" customHeight="1" x14ac:dyDescent="0.25"/>
    <row r="7834" ht="16.5" customHeight="1" x14ac:dyDescent="0.25"/>
    <row r="7835" ht="16.5" customHeight="1" x14ac:dyDescent="0.25"/>
    <row r="7836" ht="16.5" customHeight="1" x14ac:dyDescent="0.25"/>
    <row r="7837" ht="16.5" customHeight="1" x14ac:dyDescent="0.25"/>
    <row r="7838" ht="16.5" customHeight="1" x14ac:dyDescent="0.25"/>
    <row r="7839" ht="16.5" customHeight="1" x14ac:dyDescent="0.25"/>
    <row r="7840" ht="16.5" customHeight="1" x14ac:dyDescent="0.25"/>
    <row r="7841" ht="16.5" customHeight="1" x14ac:dyDescent="0.25"/>
    <row r="7842" ht="16.5" customHeight="1" x14ac:dyDescent="0.25"/>
    <row r="7843" ht="16.5" customHeight="1" x14ac:dyDescent="0.25"/>
    <row r="7844" ht="16.5" customHeight="1" x14ac:dyDescent="0.25"/>
    <row r="7845" ht="16.5" customHeight="1" x14ac:dyDescent="0.25"/>
    <row r="7846" ht="16.5" customHeight="1" x14ac:dyDescent="0.25"/>
    <row r="7847" ht="16.5" customHeight="1" x14ac:dyDescent="0.25"/>
    <row r="7848" ht="16.5" customHeight="1" x14ac:dyDescent="0.25"/>
    <row r="7849" ht="16.5" customHeight="1" x14ac:dyDescent="0.25"/>
    <row r="7850" ht="16.5" customHeight="1" x14ac:dyDescent="0.25"/>
    <row r="7851" ht="16.5" customHeight="1" x14ac:dyDescent="0.25"/>
    <row r="7852" ht="16.5" customHeight="1" x14ac:dyDescent="0.25"/>
    <row r="7853" ht="16.5" customHeight="1" x14ac:dyDescent="0.25"/>
    <row r="7854" ht="16.5" customHeight="1" x14ac:dyDescent="0.25"/>
    <row r="7855" ht="16.5" customHeight="1" x14ac:dyDescent="0.25"/>
    <row r="7856" ht="16.5" customHeight="1" x14ac:dyDescent="0.25"/>
    <row r="7857" ht="16.5" customHeight="1" x14ac:dyDescent="0.25"/>
    <row r="7858" ht="16.5" customHeight="1" x14ac:dyDescent="0.25"/>
    <row r="7859" ht="16.5" customHeight="1" x14ac:dyDescent="0.25"/>
    <row r="7860" ht="16.5" customHeight="1" x14ac:dyDescent="0.25"/>
    <row r="7861" ht="16.5" customHeight="1" x14ac:dyDescent="0.25"/>
    <row r="7862" ht="16.5" customHeight="1" x14ac:dyDescent="0.25"/>
    <row r="7863" ht="16.5" customHeight="1" x14ac:dyDescent="0.25"/>
    <row r="7864" ht="16.5" customHeight="1" x14ac:dyDescent="0.25"/>
    <row r="7865" ht="16.5" customHeight="1" x14ac:dyDescent="0.25"/>
    <row r="7866" ht="16.5" customHeight="1" x14ac:dyDescent="0.25"/>
    <row r="7867" ht="16.5" customHeight="1" x14ac:dyDescent="0.25"/>
    <row r="7868" ht="16.5" customHeight="1" x14ac:dyDescent="0.25"/>
    <row r="7869" ht="16.5" customHeight="1" x14ac:dyDescent="0.25"/>
    <row r="7870" ht="16.5" customHeight="1" x14ac:dyDescent="0.25"/>
    <row r="7871" ht="16.5" customHeight="1" x14ac:dyDescent="0.25"/>
    <row r="7872" ht="16.5" customHeight="1" x14ac:dyDescent="0.25"/>
    <row r="7873" ht="16.5" customHeight="1" x14ac:dyDescent="0.25"/>
    <row r="7874" ht="16.5" customHeight="1" x14ac:dyDescent="0.25"/>
    <row r="7875" ht="16.5" customHeight="1" x14ac:dyDescent="0.25"/>
    <row r="7876" ht="16.5" customHeight="1" x14ac:dyDescent="0.25"/>
    <row r="7877" ht="16.5" customHeight="1" x14ac:dyDescent="0.25"/>
    <row r="7878" ht="16.5" customHeight="1" x14ac:dyDescent="0.25"/>
    <row r="7879" ht="16.5" customHeight="1" x14ac:dyDescent="0.25"/>
    <row r="7880" ht="16.5" customHeight="1" x14ac:dyDescent="0.25"/>
    <row r="7881" ht="16.5" customHeight="1" x14ac:dyDescent="0.25"/>
    <row r="7882" ht="16.5" customHeight="1" x14ac:dyDescent="0.25"/>
    <row r="7883" ht="16.5" customHeight="1" x14ac:dyDescent="0.25"/>
    <row r="7884" ht="16.5" customHeight="1" x14ac:dyDescent="0.25"/>
    <row r="7885" ht="16.5" customHeight="1" x14ac:dyDescent="0.25"/>
    <row r="7886" ht="16.5" customHeight="1" x14ac:dyDescent="0.25"/>
    <row r="7887" ht="16.5" customHeight="1" x14ac:dyDescent="0.25"/>
    <row r="7888" ht="16.5" customHeight="1" x14ac:dyDescent="0.25"/>
    <row r="7889" ht="16.5" customHeight="1" x14ac:dyDescent="0.25"/>
    <row r="7890" ht="16.5" customHeight="1" x14ac:dyDescent="0.25"/>
    <row r="7891" ht="16.5" customHeight="1" x14ac:dyDescent="0.25"/>
    <row r="7892" ht="16.5" customHeight="1" x14ac:dyDescent="0.25"/>
    <row r="7893" ht="16.5" customHeight="1" x14ac:dyDescent="0.25"/>
    <row r="7894" ht="16.5" customHeight="1" x14ac:dyDescent="0.25"/>
    <row r="7895" ht="16.5" customHeight="1" x14ac:dyDescent="0.25"/>
    <row r="7896" ht="16.5" customHeight="1" x14ac:dyDescent="0.25"/>
    <row r="7897" ht="16.5" customHeight="1" x14ac:dyDescent="0.25"/>
    <row r="7898" ht="16.5" customHeight="1" x14ac:dyDescent="0.25"/>
    <row r="7899" ht="16.5" customHeight="1" x14ac:dyDescent="0.25"/>
    <row r="7900" ht="16.5" customHeight="1" x14ac:dyDescent="0.25"/>
    <row r="7901" ht="16.5" customHeight="1" x14ac:dyDescent="0.25"/>
    <row r="7902" ht="16.5" customHeight="1" x14ac:dyDescent="0.25"/>
    <row r="7903" ht="16.5" customHeight="1" x14ac:dyDescent="0.25"/>
    <row r="7904" ht="16.5" customHeight="1" x14ac:dyDescent="0.25"/>
    <row r="7905" ht="16.5" customHeight="1" x14ac:dyDescent="0.25"/>
    <row r="7906" ht="16.5" customHeight="1" x14ac:dyDescent="0.25"/>
    <row r="7907" ht="16.5" customHeight="1" x14ac:dyDescent="0.25"/>
    <row r="7908" ht="16.5" customHeight="1" x14ac:dyDescent="0.25"/>
    <row r="7909" ht="16.5" customHeight="1" x14ac:dyDescent="0.25"/>
    <row r="7910" ht="16.5" customHeight="1" x14ac:dyDescent="0.25"/>
    <row r="7911" ht="16.5" customHeight="1" x14ac:dyDescent="0.25"/>
    <row r="7912" ht="16.5" customHeight="1" x14ac:dyDescent="0.25"/>
    <row r="7913" ht="16.5" customHeight="1" x14ac:dyDescent="0.25"/>
    <row r="7914" ht="16.5" customHeight="1" x14ac:dyDescent="0.25"/>
    <row r="7915" ht="16.5" customHeight="1" x14ac:dyDescent="0.25"/>
    <row r="7916" ht="16.5" customHeight="1" x14ac:dyDescent="0.25"/>
    <row r="7917" ht="16.5" customHeight="1" x14ac:dyDescent="0.25"/>
    <row r="7918" ht="16.5" customHeight="1" x14ac:dyDescent="0.25"/>
    <row r="7919" ht="16.5" customHeight="1" x14ac:dyDescent="0.25"/>
    <row r="7920" ht="16.5" customHeight="1" x14ac:dyDescent="0.25"/>
    <row r="7921" ht="16.5" customHeight="1" x14ac:dyDescent="0.25"/>
    <row r="7922" ht="16.5" customHeight="1" x14ac:dyDescent="0.25"/>
    <row r="7923" ht="16.5" customHeight="1" x14ac:dyDescent="0.25"/>
    <row r="7924" ht="16.5" customHeight="1" x14ac:dyDescent="0.25"/>
    <row r="7925" ht="16.5" customHeight="1" x14ac:dyDescent="0.25"/>
    <row r="7926" ht="16.5" customHeight="1" x14ac:dyDescent="0.25"/>
    <row r="7927" ht="16.5" customHeight="1" x14ac:dyDescent="0.25"/>
    <row r="7928" ht="16.5" customHeight="1" x14ac:dyDescent="0.25"/>
    <row r="7929" ht="16.5" customHeight="1" x14ac:dyDescent="0.25"/>
    <row r="7930" ht="16.5" customHeight="1" x14ac:dyDescent="0.25"/>
    <row r="7931" ht="16.5" customHeight="1" x14ac:dyDescent="0.25"/>
    <row r="7932" ht="16.5" customHeight="1" x14ac:dyDescent="0.25"/>
    <row r="7933" ht="16.5" customHeight="1" x14ac:dyDescent="0.25"/>
    <row r="7934" ht="16.5" customHeight="1" x14ac:dyDescent="0.25"/>
    <row r="7935" ht="16.5" customHeight="1" x14ac:dyDescent="0.25"/>
    <row r="7936" ht="16.5" customHeight="1" x14ac:dyDescent="0.25"/>
    <row r="7937" ht="16.5" customHeight="1" x14ac:dyDescent="0.25"/>
    <row r="7938" ht="16.5" customHeight="1" x14ac:dyDescent="0.25"/>
    <row r="7939" ht="16.5" customHeight="1" x14ac:dyDescent="0.25"/>
    <row r="7940" ht="16.5" customHeight="1" x14ac:dyDescent="0.25"/>
    <row r="7941" ht="16.5" customHeight="1" x14ac:dyDescent="0.25"/>
    <row r="7942" ht="16.5" customHeight="1" x14ac:dyDescent="0.25"/>
    <row r="7943" ht="16.5" customHeight="1" x14ac:dyDescent="0.25"/>
    <row r="7944" ht="16.5" customHeight="1" x14ac:dyDescent="0.25"/>
    <row r="7945" ht="16.5" customHeight="1" x14ac:dyDescent="0.25"/>
    <row r="7946" ht="16.5" customHeight="1" x14ac:dyDescent="0.25"/>
    <row r="7947" ht="16.5" customHeight="1" x14ac:dyDescent="0.25"/>
    <row r="7948" ht="16.5" customHeight="1" x14ac:dyDescent="0.25"/>
    <row r="7949" ht="16.5" customHeight="1" x14ac:dyDescent="0.25"/>
    <row r="7950" ht="16.5" customHeight="1" x14ac:dyDescent="0.25"/>
    <row r="7951" ht="16.5" customHeight="1" x14ac:dyDescent="0.25"/>
    <row r="7952" ht="16.5" customHeight="1" x14ac:dyDescent="0.25"/>
    <row r="7953" ht="16.5" customHeight="1" x14ac:dyDescent="0.25"/>
    <row r="7954" ht="16.5" customHeight="1" x14ac:dyDescent="0.25"/>
    <row r="7955" ht="16.5" customHeight="1" x14ac:dyDescent="0.25"/>
    <row r="7956" ht="16.5" customHeight="1" x14ac:dyDescent="0.25"/>
    <row r="7957" ht="16.5" customHeight="1" x14ac:dyDescent="0.25"/>
    <row r="7958" ht="16.5" customHeight="1" x14ac:dyDescent="0.25"/>
    <row r="7959" ht="16.5" customHeight="1" x14ac:dyDescent="0.25"/>
    <row r="7960" ht="16.5" customHeight="1" x14ac:dyDescent="0.25"/>
    <row r="7961" ht="16.5" customHeight="1" x14ac:dyDescent="0.25"/>
    <row r="7962" ht="16.5" customHeight="1" x14ac:dyDescent="0.25"/>
    <row r="7963" ht="16.5" customHeight="1" x14ac:dyDescent="0.25"/>
    <row r="7964" ht="16.5" customHeight="1" x14ac:dyDescent="0.25"/>
    <row r="7965" ht="16.5" customHeight="1" x14ac:dyDescent="0.25"/>
    <row r="7966" ht="16.5" customHeight="1" x14ac:dyDescent="0.25"/>
    <row r="7967" ht="16.5" customHeight="1" x14ac:dyDescent="0.25"/>
    <row r="7968" ht="16.5" customHeight="1" x14ac:dyDescent="0.25"/>
    <row r="7969" ht="16.5" customHeight="1" x14ac:dyDescent="0.25"/>
    <row r="7970" ht="16.5" customHeight="1" x14ac:dyDescent="0.25"/>
    <row r="7971" ht="16.5" customHeight="1" x14ac:dyDescent="0.25"/>
    <row r="7972" ht="16.5" customHeight="1" x14ac:dyDescent="0.25"/>
    <row r="7973" ht="16.5" customHeight="1" x14ac:dyDescent="0.25"/>
    <row r="7974" ht="16.5" customHeight="1" x14ac:dyDescent="0.25"/>
    <row r="7975" ht="16.5" customHeight="1" x14ac:dyDescent="0.25"/>
    <row r="7976" ht="16.5" customHeight="1" x14ac:dyDescent="0.25"/>
    <row r="7977" ht="16.5" customHeight="1" x14ac:dyDescent="0.25"/>
    <row r="7978" ht="16.5" customHeight="1" x14ac:dyDescent="0.25"/>
    <row r="7979" ht="16.5" customHeight="1" x14ac:dyDescent="0.25"/>
    <row r="7980" ht="16.5" customHeight="1" x14ac:dyDescent="0.25"/>
    <row r="7981" ht="16.5" customHeight="1" x14ac:dyDescent="0.25"/>
    <row r="7982" ht="16.5" customHeight="1" x14ac:dyDescent="0.25"/>
    <row r="7983" ht="16.5" customHeight="1" x14ac:dyDescent="0.25"/>
    <row r="7984" ht="16.5" customHeight="1" x14ac:dyDescent="0.25"/>
    <row r="7985" ht="16.5" customHeight="1" x14ac:dyDescent="0.25"/>
    <row r="7986" ht="16.5" customHeight="1" x14ac:dyDescent="0.25"/>
    <row r="7987" ht="16.5" customHeight="1" x14ac:dyDescent="0.25"/>
    <row r="7988" ht="16.5" customHeight="1" x14ac:dyDescent="0.25"/>
    <row r="7989" ht="16.5" customHeight="1" x14ac:dyDescent="0.25"/>
    <row r="7990" ht="16.5" customHeight="1" x14ac:dyDescent="0.25"/>
    <row r="7991" ht="16.5" customHeight="1" x14ac:dyDescent="0.25"/>
    <row r="7992" ht="16.5" customHeight="1" x14ac:dyDescent="0.25"/>
    <row r="7993" ht="16.5" customHeight="1" x14ac:dyDescent="0.25"/>
    <row r="7994" ht="16.5" customHeight="1" x14ac:dyDescent="0.25"/>
    <row r="7995" ht="16.5" customHeight="1" x14ac:dyDescent="0.25"/>
    <row r="7996" ht="16.5" customHeight="1" x14ac:dyDescent="0.25"/>
    <row r="7997" ht="16.5" customHeight="1" x14ac:dyDescent="0.25"/>
    <row r="7998" ht="16.5" customHeight="1" x14ac:dyDescent="0.25"/>
    <row r="7999" ht="16.5" customHeight="1" x14ac:dyDescent="0.25"/>
    <row r="8000" ht="16.5" customHeight="1" x14ac:dyDescent="0.25"/>
    <row r="8001" ht="16.5" customHeight="1" x14ac:dyDescent="0.25"/>
    <row r="8002" ht="16.5" customHeight="1" x14ac:dyDescent="0.25"/>
    <row r="8003" ht="16.5" customHeight="1" x14ac:dyDescent="0.25"/>
    <row r="8004" ht="16.5" customHeight="1" x14ac:dyDescent="0.25"/>
    <row r="8005" ht="16.5" customHeight="1" x14ac:dyDescent="0.25"/>
    <row r="8006" ht="16.5" customHeight="1" x14ac:dyDescent="0.25"/>
    <row r="8007" ht="16.5" customHeight="1" x14ac:dyDescent="0.25"/>
    <row r="8008" ht="16.5" customHeight="1" x14ac:dyDescent="0.25"/>
    <row r="8009" ht="16.5" customHeight="1" x14ac:dyDescent="0.25"/>
    <row r="8010" ht="16.5" customHeight="1" x14ac:dyDescent="0.25"/>
    <row r="8011" ht="16.5" customHeight="1" x14ac:dyDescent="0.25"/>
    <row r="8012" ht="16.5" customHeight="1" x14ac:dyDescent="0.25"/>
    <row r="8013" ht="16.5" customHeight="1" x14ac:dyDescent="0.25"/>
    <row r="8014" ht="16.5" customHeight="1" x14ac:dyDescent="0.25"/>
    <row r="8015" ht="16.5" customHeight="1" x14ac:dyDescent="0.25"/>
    <row r="8016" ht="16.5" customHeight="1" x14ac:dyDescent="0.25"/>
    <row r="8017" ht="16.5" customHeight="1" x14ac:dyDescent="0.25"/>
    <row r="8018" ht="16.5" customHeight="1" x14ac:dyDescent="0.25"/>
    <row r="8019" ht="16.5" customHeight="1" x14ac:dyDescent="0.25"/>
    <row r="8020" ht="16.5" customHeight="1" x14ac:dyDescent="0.25"/>
    <row r="8021" ht="16.5" customHeight="1" x14ac:dyDescent="0.25"/>
    <row r="8022" ht="16.5" customHeight="1" x14ac:dyDescent="0.25"/>
    <row r="8023" ht="16.5" customHeight="1" x14ac:dyDescent="0.25"/>
    <row r="8024" ht="16.5" customHeight="1" x14ac:dyDescent="0.25"/>
    <row r="8025" ht="16.5" customHeight="1" x14ac:dyDescent="0.25"/>
    <row r="8026" ht="16.5" customHeight="1" x14ac:dyDescent="0.25"/>
    <row r="8027" ht="16.5" customHeight="1" x14ac:dyDescent="0.25"/>
    <row r="8028" ht="16.5" customHeight="1" x14ac:dyDescent="0.25"/>
    <row r="8029" ht="16.5" customHeight="1" x14ac:dyDescent="0.25"/>
    <row r="8030" ht="16.5" customHeight="1" x14ac:dyDescent="0.25"/>
    <row r="8031" ht="16.5" customHeight="1" x14ac:dyDescent="0.25"/>
    <row r="8032" ht="16.5" customHeight="1" x14ac:dyDescent="0.25"/>
    <row r="8033" ht="16.5" customHeight="1" x14ac:dyDescent="0.25"/>
    <row r="8034" ht="16.5" customHeight="1" x14ac:dyDescent="0.25"/>
    <row r="8035" ht="16.5" customHeight="1" x14ac:dyDescent="0.25"/>
    <row r="8036" ht="16.5" customHeight="1" x14ac:dyDescent="0.25"/>
    <row r="8037" ht="16.5" customHeight="1" x14ac:dyDescent="0.25"/>
    <row r="8038" ht="16.5" customHeight="1" x14ac:dyDescent="0.25"/>
    <row r="8039" ht="16.5" customHeight="1" x14ac:dyDescent="0.25"/>
    <row r="8040" ht="16.5" customHeight="1" x14ac:dyDescent="0.25"/>
    <row r="8041" ht="16.5" customHeight="1" x14ac:dyDescent="0.25"/>
    <row r="8042" ht="16.5" customHeight="1" x14ac:dyDescent="0.25"/>
    <row r="8043" ht="16.5" customHeight="1" x14ac:dyDescent="0.25"/>
    <row r="8044" ht="16.5" customHeight="1" x14ac:dyDescent="0.25"/>
    <row r="8045" ht="16.5" customHeight="1" x14ac:dyDescent="0.25"/>
    <row r="8046" ht="16.5" customHeight="1" x14ac:dyDescent="0.25"/>
    <row r="8047" ht="16.5" customHeight="1" x14ac:dyDescent="0.25"/>
    <row r="8048" ht="16.5" customHeight="1" x14ac:dyDescent="0.25"/>
    <row r="8049" ht="16.5" customHeight="1" x14ac:dyDescent="0.25"/>
    <row r="8050" ht="16.5" customHeight="1" x14ac:dyDescent="0.25"/>
    <row r="8051" ht="16.5" customHeight="1" x14ac:dyDescent="0.25"/>
    <row r="8052" ht="16.5" customHeight="1" x14ac:dyDescent="0.25"/>
    <row r="8053" ht="16.5" customHeight="1" x14ac:dyDescent="0.25"/>
    <row r="8054" ht="16.5" customHeight="1" x14ac:dyDescent="0.25"/>
    <row r="8055" ht="16.5" customHeight="1" x14ac:dyDescent="0.25"/>
    <row r="8056" ht="16.5" customHeight="1" x14ac:dyDescent="0.25"/>
    <row r="8057" ht="16.5" customHeight="1" x14ac:dyDescent="0.25"/>
    <row r="8058" ht="16.5" customHeight="1" x14ac:dyDescent="0.25"/>
    <row r="8059" ht="16.5" customHeight="1" x14ac:dyDescent="0.25"/>
    <row r="8060" ht="16.5" customHeight="1" x14ac:dyDescent="0.25"/>
    <row r="8061" ht="16.5" customHeight="1" x14ac:dyDescent="0.25"/>
    <row r="8062" ht="16.5" customHeight="1" x14ac:dyDescent="0.25"/>
    <row r="8063" ht="16.5" customHeight="1" x14ac:dyDescent="0.25"/>
    <row r="8064" ht="16.5" customHeight="1" x14ac:dyDescent="0.25"/>
    <row r="8065" ht="16.5" customHeight="1" x14ac:dyDescent="0.25"/>
    <row r="8066" ht="16.5" customHeight="1" x14ac:dyDescent="0.25"/>
    <row r="8067" ht="16.5" customHeight="1" x14ac:dyDescent="0.25"/>
    <row r="8068" ht="16.5" customHeight="1" x14ac:dyDescent="0.25"/>
    <row r="8069" ht="16.5" customHeight="1" x14ac:dyDescent="0.25"/>
    <row r="8070" ht="16.5" customHeight="1" x14ac:dyDescent="0.25"/>
    <row r="8071" ht="16.5" customHeight="1" x14ac:dyDescent="0.25"/>
    <row r="8072" ht="16.5" customHeight="1" x14ac:dyDescent="0.25"/>
    <row r="8073" ht="16.5" customHeight="1" x14ac:dyDescent="0.25"/>
    <row r="8074" ht="16.5" customHeight="1" x14ac:dyDescent="0.25"/>
    <row r="8075" ht="16.5" customHeight="1" x14ac:dyDescent="0.25"/>
    <row r="8076" ht="16.5" customHeight="1" x14ac:dyDescent="0.25"/>
    <row r="8077" ht="16.5" customHeight="1" x14ac:dyDescent="0.25"/>
    <row r="8078" ht="16.5" customHeight="1" x14ac:dyDescent="0.25"/>
    <row r="8079" ht="16.5" customHeight="1" x14ac:dyDescent="0.25"/>
    <row r="8080" ht="16.5" customHeight="1" x14ac:dyDescent="0.25"/>
    <row r="8081" ht="16.5" customHeight="1" x14ac:dyDescent="0.25"/>
    <row r="8082" ht="16.5" customHeight="1" x14ac:dyDescent="0.25"/>
    <row r="8083" ht="16.5" customHeight="1" x14ac:dyDescent="0.25"/>
    <row r="8084" ht="16.5" customHeight="1" x14ac:dyDescent="0.25"/>
    <row r="8085" ht="16.5" customHeight="1" x14ac:dyDescent="0.25"/>
    <row r="8086" ht="16.5" customHeight="1" x14ac:dyDescent="0.25"/>
    <row r="8087" ht="16.5" customHeight="1" x14ac:dyDescent="0.25"/>
    <row r="8088" ht="16.5" customHeight="1" x14ac:dyDescent="0.25"/>
    <row r="8089" ht="16.5" customHeight="1" x14ac:dyDescent="0.25"/>
    <row r="8090" ht="16.5" customHeight="1" x14ac:dyDescent="0.25"/>
    <row r="8091" ht="16.5" customHeight="1" x14ac:dyDescent="0.25"/>
    <row r="8092" ht="16.5" customHeight="1" x14ac:dyDescent="0.25"/>
    <row r="8093" ht="16.5" customHeight="1" x14ac:dyDescent="0.25"/>
    <row r="8094" ht="16.5" customHeight="1" x14ac:dyDescent="0.25"/>
    <row r="8095" ht="16.5" customHeight="1" x14ac:dyDescent="0.25"/>
    <row r="8096" ht="16.5" customHeight="1" x14ac:dyDescent="0.25"/>
    <row r="8097" ht="16.5" customHeight="1" x14ac:dyDescent="0.25"/>
    <row r="8098" ht="16.5" customHeight="1" x14ac:dyDescent="0.25"/>
    <row r="8099" ht="16.5" customHeight="1" x14ac:dyDescent="0.25"/>
    <row r="8100" ht="16.5" customHeight="1" x14ac:dyDescent="0.25"/>
    <row r="8101" ht="16.5" customHeight="1" x14ac:dyDescent="0.25"/>
    <row r="8102" ht="16.5" customHeight="1" x14ac:dyDescent="0.25"/>
    <row r="8103" ht="16.5" customHeight="1" x14ac:dyDescent="0.25"/>
    <row r="8104" ht="16.5" customHeight="1" x14ac:dyDescent="0.25"/>
    <row r="8105" ht="16.5" customHeight="1" x14ac:dyDescent="0.25"/>
    <row r="8106" ht="16.5" customHeight="1" x14ac:dyDescent="0.25"/>
    <row r="8107" ht="16.5" customHeight="1" x14ac:dyDescent="0.25"/>
    <row r="8108" ht="16.5" customHeight="1" x14ac:dyDescent="0.25"/>
    <row r="8109" ht="16.5" customHeight="1" x14ac:dyDescent="0.25"/>
    <row r="8110" ht="16.5" customHeight="1" x14ac:dyDescent="0.25"/>
    <row r="8111" ht="16.5" customHeight="1" x14ac:dyDescent="0.25"/>
    <row r="8112" ht="16.5" customHeight="1" x14ac:dyDescent="0.25"/>
    <row r="8113" ht="16.5" customHeight="1" x14ac:dyDescent="0.25"/>
    <row r="8114" ht="16.5" customHeight="1" x14ac:dyDescent="0.25"/>
    <row r="8115" ht="16.5" customHeight="1" x14ac:dyDescent="0.25"/>
    <row r="8116" ht="16.5" customHeight="1" x14ac:dyDescent="0.25"/>
    <row r="8117" ht="16.5" customHeight="1" x14ac:dyDescent="0.25"/>
    <row r="8118" ht="16.5" customHeight="1" x14ac:dyDescent="0.25"/>
    <row r="8119" ht="16.5" customHeight="1" x14ac:dyDescent="0.25"/>
    <row r="8120" ht="16.5" customHeight="1" x14ac:dyDescent="0.25"/>
    <row r="8121" ht="16.5" customHeight="1" x14ac:dyDescent="0.25"/>
    <row r="8122" ht="16.5" customHeight="1" x14ac:dyDescent="0.25"/>
    <row r="8123" ht="16.5" customHeight="1" x14ac:dyDescent="0.25"/>
    <row r="8124" ht="16.5" customHeight="1" x14ac:dyDescent="0.25"/>
    <row r="8125" ht="16.5" customHeight="1" x14ac:dyDescent="0.25"/>
    <row r="8126" ht="16.5" customHeight="1" x14ac:dyDescent="0.25"/>
    <row r="8127" ht="16.5" customHeight="1" x14ac:dyDescent="0.25"/>
    <row r="8128" ht="16.5" customHeight="1" x14ac:dyDescent="0.25"/>
    <row r="8129" ht="16.5" customHeight="1" x14ac:dyDescent="0.25"/>
    <row r="8130" ht="16.5" customHeight="1" x14ac:dyDescent="0.25"/>
    <row r="8131" ht="16.5" customHeight="1" x14ac:dyDescent="0.25"/>
    <row r="8132" ht="16.5" customHeight="1" x14ac:dyDescent="0.25"/>
    <row r="8133" ht="16.5" customHeight="1" x14ac:dyDescent="0.25"/>
    <row r="8134" ht="16.5" customHeight="1" x14ac:dyDescent="0.25"/>
    <row r="8135" ht="16.5" customHeight="1" x14ac:dyDescent="0.25"/>
    <row r="8136" ht="16.5" customHeight="1" x14ac:dyDescent="0.25"/>
    <row r="8137" ht="16.5" customHeight="1" x14ac:dyDescent="0.25"/>
    <row r="8138" ht="16.5" customHeight="1" x14ac:dyDescent="0.25"/>
    <row r="8139" ht="16.5" customHeight="1" x14ac:dyDescent="0.25"/>
    <row r="8140" ht="16.5" customHeight="1" x14ac:dyDescent="0.25"/>
    <row r="8141" ht="16.5" customHeight="1" x14ac:dyDescent="0.25"/>
    <row r="8142" ht="16.5" customHeight="1" x14ac:dyDescent="0.25"/>
    <row r="8143" ht="16.5" customHeight="1" x14ac:dyDescent="0.25"/>
    <row r="8144" ht="16.5" customHeight="1" x14ac:dyDescent="0.25"/>
    <row r="8145" ht="16.5" customHeight="1" x14ac:dyDescent="0.25"/>
    <row r="8146" ht="16.5" customHeight="1" x14ac:dyDescent="0.25"/>
    <row r="8147" ht="16.5" customHeight="1" x14ac:dyDescent="0.25"/>
    <row r="8148" ht="16.5" customHeight="1" x14ac:dyDescent="0.25"/>
    <row r="8149" ht="16.5" customHeight="1" x14ac:dyDescent="0.25"/>
    <row r="8150" ht="16.5" customHeight="1" x14ac:dyDescent="0.25"/>
    <row r="8151" ht="16.5" customHeight="1" x14ac:dyDescent="0.25"/>
    <row r="8152" ht="16.5" customHeight="1" x14ac:dyDescent="0.25"/>
    <row r="8153" ht="16.5" customHeight="1" x14ac:dyDescent="0.25"/>
    <row r="8154" ht="16.5" customHeight="1" x14ac:dyDescent="0.25"/>
    <row r="8155" ht="16.5" customHeight="1" x14ac:dyDescent="0.25"/>
    <row r="8156" ht="16.5" customHeight="1" x14ac:dyDescent="0.25"/>
    <row r="8157" ht="16.5" customHeight="1" x14ac:dyDescent="0.25"/>
    <row r="8158" ht="16.5" customHeight="1" x14ac:dyDescent="0.25"/>
    <row r="8159" ht="16.5" customHeight="1" x14ac:dyDescent="0.25"/>
    <row r="8160" ht="16.5" customHeight="1" x14ac:dyDescent="0.25"/>
    <row r="8161" ht="16.5" customHeight="1" x14ac:dyDescent="0.25"/>
    <row r="8162" ht="16.5" customHeight="1" x14ac:dyDescent="0.25"/>
    <row r="8163" ht="16.5" customHeight="1" x14ac:dyDescent="0.25"/>
    <row r="8164" ht="16.5" customHeight="1" x14ac:dyDescent="0.25"/>
    <row r="8165" ht="16.5" customHeight="1" x14ac:dyDescent="0.25"/>
    <row r="8166" ht="16.5" customHeight="1" x14ac:dyDescent="0.25"/>
    <row r="8167" ht="16.5" customHeight="1" x14ac:dyDescent="0.25"/>
    <row r="8168" ht="16.5" customHeight="1" x14ac:dyDescent="0.25"/>
    <row r="8169" ht="16.5" customHeight="1" x14ac:dyDescent="0.25"/>
    <row r="8170" ht="16.5" customHeight="1" x14ac:dyDescent="0.25"/>
    <row r="8171" ht="16.5" customHeight="1" x14ac:dyDescent="0.25"/>
    <row r="8172" ht="16.5" customHeight="1" x14ac:dyDescent="0.25"/>
    <row r="8173" ht="16.5" customHeight="1" x14ac:dyDescent="0.25"/>
    <row r="8174" ht="16.5" customHeight="1" x14ac:dyDescent="0.25"/>
    <row r="8175" ht="16.5" customHeight="1" x14ac:dyDescent="0.25"/>
    <row r="8176" ht="16.5" customHeight="1" x14ac:dyDescent="0.25"/>
    <row r="8177" ht="16.5" customHeight="1" x14ac:dyDescent="0.25"/>
    <row r="8178" ht="16.5" customHeight="1" x14ac:dyDescent="0.25"/>
    <row r="8179" ht="16.5" customHeight="1" x14ac:dyDescent="0.25"/>
    <row r="8180" ht="16.5" customHeight="1" x14ac:dyDescent="0.25"/>
    <row r="8181" ht="16.5" customHeight="1" x14ac:dyDescent="0.25"/>
    <row r="8182" ht="16.5" customHeight="1" x14ac:dyDescent="0.25"/>
    <row r="8183" ht="16.5" customHeight="1" x14ac:dyDescent="0.25"/>
    <row r="8184" ht="16.5" customHeight="1" x14ac:dyDescent="0.25"/>
    <row r="8185" ht="16.5" customHeight="1" x14ac:dyDescent="0.25"/>
    <row r="8186" ht="16.5" customHeight="1" x14ac:dyDescent="0.25"/>
    <row r="8187" ht="16.5" customHeight="1" x14ac:dyDescent="0.25"/>
    <row r="8188" ht="16.5" customHeight="1" x14ac:dyDescent="0.25"/>
    <row r="8189" ht="16.5" customHeight="1" x14ac:dyDescent="0.25"/>
    <row r="8190" ht="16.5" customHeight="1" x14ac:dyDescent="0.25"/>
    <row r="8191" ht="16.5" customHeight="1" x14ac:dyDescent="0.25"/>
    <row r="8192" ht="16.5" customHeight="1" x14ac:dyDescent="0.25"/>
    <row r="8193" ht="16.5" customHeight="1" x14ac:dyDescent="0.25"/>
    <row r="8194" ht="16.5" customHeight="1" x14ac:dyDescent="0.25"/>
    <row r="8195" ht="16.5" customHeight="1" x14ac:dyDescent="0.25"/>
    <row r="8196" ht="16.5" customHeight="1" x14ac:dyDescent="0.25"/>
    <row r="8197" ht="16.5" customHeight="1" x14ac:dyDescent="0.25"/>
    <row r="8198" ht="16.5" customHeight="1" x14ac:dyDescent="0.25"/>
    <row r="8199" ht="16.5" customHeight="1" x14ac:dyDescent="0.25"/>
    <row r="8200" ht="16.5" customHeight="1" x14ac:dyDescent="0.25"/>
    <row r="8201" ht="16.5" customHeight="1" x14ac:dyDescent="0.25"/>
    <row r="8202" ht="16.5" customHeight="1" x14ac:dyDescent="0.25"/>
    <row r="8203" ht="16.5" customHeight="1" x14ac:dyDescent="0.25"/>
    <row r="8204" ht="16.5" customHeight="1" x14ac:dyDescent="0.25"/>
    <row r="8205" ht="16.5" customHeight="1" x14ac:dyDescent="0.25"/>
    <row r="8206" ht="16.5" customHeight="1" x14ac:dyDescent="0.25"/>
    <row r="8207" ht="16.5" customHeight="1" x14ac:dyDescent="0.25"/>
    <row r="8208" ht="16.5" customHeight="1" x14ac:dyDescent="0.25"/>
    <row r="8209" ht="16.5" customHeight="1" x14ac:dyDescent="0.25"/>
    <row r="8210" ht="16.5" customHeight="1" x14ac:dyDescent="0.25"/>
    <row r="8211" ht="16.5" customHeight="1" x14ac:dyDescent="0.25"/>
    <row r="8212" ht="16.5" customHeight="1" x14ac:dyDescent="0.25"/>
    <row r="8213" ht="16.5" customHeight="1" x14ac:dyDescent="0.25"/>
    <row r="8214" ht="16.5" customHeight="1" x14ac:dyDescent="0.25"/>
    <row r="8215" ht="16.5" customHeight="1" x14ac:dyDescent="0.25"/>
    <row r="8216" ht="16.5" customHeight="1" x14ac:dyDescent="0.25"/>
    <row r="8217" ht="16.5" customHeight="1" x14ac:dyDescent="0.25"/>
    <row r="8218" ht="16.5" customHeight="1" x14ac:dyDescent="0.25"/>
    <row r="8219" ht="16.5" customHeight="1" x14ac:dyDescent="0.25"/>
    <row r="8220" ht="16.5" customHeight="1" x14ac:dyDescent="0.25"/>
    <row r="8221" ht="16.5" customHeight="1" x14ac:dyDescent="0.25"/>
    <row r="8222" ht="16.5" customHeight="1" x14ac:dyDescent="0.25"/>
    <row r="8223" ht="16.5" customHeight="1" x14ac:dyDescent="0.25"/>
    <row r="8224" ht="16.5" customHeight="1" x14ac:dyDescent="0.25"/>
    <row r="8225" ht="16.5" customHeight="1" x14ac:dyDescent="0.25"/>
    <row r="8226" ht="16.5" customHeight="1" x14ac:dyDescent="0.25"/>
    <row r="8227" ht="16.5" customHeight="1" x14ac:dyDescent="0.25"/>
    <row r="8228" ht="16.5" customHeight="1" x14ac:dyDescent="0.25"/>
    <row r="8229" ht="16.5" customHeight="1" x14ac:dyDescent="0.25"/>
    <row r="8230" ht="16.5" customHeight="1" x14ac:dyDescent="0.25"/>
    <row r="8231" ht="16.5" customHeight="1" x14ac:dyDescent="0.25"/>
    <row r="8232" ht="16.5" customHeight="1" x14ac:dyDescent="0.25"/>
    <row r="8233" ht="16.5" customHeight="1" x14ac:dyDescent="0.25"/>
    <row r="8234" ht="16.5" customHeight="1" x14ac:dyDescent="0.25"/>
    <row r="8235" ht="16.5" customHeight="1" x14ac:dyDescent="0.25"/>
    <row r="8236" ht="16.5" customHeight="1" x14ac:dyDescent="0.25"/>
    <row r="8237" ht="16.5" customHeight="1" x14ac:dyDescent="0.25"/>
    <row r="8238" ht="16.5" customHeight="1" x14ac:dyDescent="0.25"/>
    <row r="8239" ht="16.5" customHeight="1" x14ac:dyDescent="0.25"/>
    <row r="8240" ht="16.5" customHeight="1" x14ac:dyDescent="0.25"/>
    <row r="8241" ht="16.5" customHeight="1" x14ac:dyDescent="0.25"/>
    <row r="8242" ht="16.5" customHeight="1" x14ac:dyDescent="0.25"/>
    <row r="8243" ht="16.5" customHeight="1" x14ac:dyDescent="0.25"/>
    <row r="8244" ht="16.5" customHeight="1" x14ac:dyDescent="0.25"/>
    <row r="8245" ht="16.5" customHeight="1" x14ac:dyDescent="0.25"/>
    <row r="8246" ht="16.5" customHeight="1" x14ac:dyDescent="0.25"/>
    <row r="8247" ht="16.5" customHeight="1" x14ac:dyDescent="0.25"/>
    <row r="8248" ht="16.5" customHeight="1" x14ac:dyDescent="0.25"/>
    <row r="8249" ht="16.5" customHeight="1" x14ac:dyDescent="0.25"/>
    <row r="8250" ht="16.5" customHeight="1" x14ac:dyDescent="0.25"/>
    <row r="8251" ht="16.5" customHeight="1" x14ac:dyDescent="0.25"/>
    <row r="8252" ht="16.5" customHeight="1" x14ac:dyDescent="0.25"/>
    <row r="8253" ht="16.5" customHeight="1" x14ac:dyDescent="0.25"/>
    <row r="8254" ht="16.5" customHeight="1" x14ac:dyDescent="0.25"/>
    <row r="8255" ht="16.5" customHeight="1" x14ac:dyDescent="0.25"/>
    <row r="8256" ht="16.5" customHeight="1" x14ac:dyDescent="0.25"/>
    <row r="8257" ht="16.5" customHeight="1" x14ac:dyDescent="0.25"/>
    <row r="8258" ht="16.5" customHeight="1" x14ac:dyDescent="0.25"/>
    <row r="8259" ht="16.5" customHeight="1" x14ac:dyDescent="0.25"/>
    <row r="8260" ht="16.5" customHeight="1" x14ac:dyDescent="0.25"/>
    <row r="8261" ht="16.5" customHeight="1" x14ac:dyDescent="0.25"/>
    <row r="8262" ht="16.5" customHeight="1" x14ac:dyDescent="0.25"/>
    <row r="8263" ht="16.5" customHeight="1" x14ac:dyDescent="0.25"/>
    <row r="8264" ht="16.5" customHeight="1" x14ac:dyDescent="0.25"/>
    <row r="8265" ht="16.5" customHeight="1" x14ac:dyDescent="0.25"/>
    <row r="8266" ht="16.5" customHeight="1" x14ac:dyDescent="0.25"/>
    <row r="8267" ht="16.5" customHeight="1" x14ac:dyDescent="0.25"/>
    <row r="8268" ht="16.5" customHeight="1" x14ac:dyDescent="0.25"/>
    <row r="8269" ht="16.5" customHeight="1" x14ac:dyDescent="0.25"/>
    <row r="8270" ht="16.5" customHeight="1" x14ac:dyDescent="0.25"/>
    <row r="8271" ht="16.5" customHeight="1" x14ac:dyDescent="0.25"/>
    <row r="8272" ht="16.5" customHeight="1" x14ac:dyDescent="0.25"/>
    <row r="8273" ht="16.5" customHeight="1" x14ac:dyDescent="0.25"/>
    <row r="8274" ht="16.5" customHeight="1" x14ac:dyDescent="0.25"/>
    <row r="8275" ht="16.5" customHeight="1" x14ac:dyDescent="0.25"/>
    <row r="8276" ht="16.5" customHeight="1" x14ac:dyDescent="0.25"/>
    <row r="8277" ht="16.5" customHeight="1" x14ac:dyDescent="0.25"/>
    <row r="8278" ht="16.5" customHeight="1" x14ac:dyDescent="0.25"/>
    <row r="8279" ht="16.5" customHeight="1" x14ac:dyDescent="0.25"/>
    <row r="8280" ht="16.5" customHeight="1" x14ac:dyDescent="0.25"/>
    <row r="8281" ht="16.5" customHeight="1" x14ac:dyDescent="0.25"/>
    <row r="8282" ht="16.5" customHeight="1" x14ac:dyDescent="0.25"/>
    <row r="8283" ht="16.5" customHeight="1" x14ac:dyDescent="0.25"/>
    <row r="8284" ht="16.5" customHeight="1" x14ac:dyDescent="0.25"/>
    <row r="8285" ht="16.5" customHeight="1" x14ac:dyDescent="0.25"/>
    <row r="8286" ht="16.5" customHeight="1" x14ac:dyDescent="0.25"/>
    <row r="8287" ht="16.5" customHeight="1" x14ac:dyDescent="0.25"/>
    <row r="8288" ht="16.5" customHeight="1" x14ac:dyDescent="0.25"/>
    <row r="8289" ht="16.5" customHeight="1" x14ac:dyDescent="0.25"/>
    <row r="8290" ht="16.5" customHeight="1" x14ac:dyDescent="0.25"/>
    <row r="8291" ht="16.5" customHeight="1" x14ac:dyDescent="0.25"/>
    <row r="8292" ht="16.5" customHeight="1" x14ac:dyDescent="0.25"/>
    <row r="8293" ht="16.5" customHeight="1" x14ac:dyDescent="0.25"/>
    <row r="8294" ht="16.5" customHeight="1" x14ac:dyDescent="0.25"/>
    <row r="8295" ht="16.5" customHeight="1" x14ac:dyDescent="0.25"/>
    <row r="8296" ht="16.5" customHeight="1" x14ac:dyDescent="0.25"/>
    <row r="8297" ht="16.5" customHeight="1" x14ac:dyDescent="0.25"/>
    <row r="8298" ht="16.5" customHeight="1" x14ac:dyDescent="0.25"/>
    <row r="8299" ht="16.5" customHeight="1" x14ac:dyDescent="0.25"/>
    <row r="8300" ht="16.5" customHeight="1" x14ac:dyDescent="0.25"/>
    <row r="8301" ht="16.5" customHeight="1" x14ac:dyDescent="0.25"/>
    <row r="8302" ht="16.5" customHeight="1" x14ac:dyDescent="0.25"/>
    <row r="8303" ht="16.5" customHeight="1" x14ac:dyDescent="0.25"/>
    <row r="8304" ht="16.5" customHeight="1" x14ac:dyDescent="0.25"/>
    <row r="8305" ht="16.5" customHeight="1" x14ac:dyDescent="0.25"/>
    <row r="8306" ht="16.5" customHeight="1" x14ac:dyDescent="0.25"/>
    <row r="8307" ht="16.5" customHeight="1" x14ac:dyDescent="0.25"/>
    <row r="8308" ht="16.5" customHeight="1" x14ac:dyDescent="0.25"/>
    <row r="8309" ht="16.5" customHeight="1" x14ac:dyDescent="0.25"/>
    <row r="8310" ht="16.5" customHeight="1" x14ac:dyDescent="0.25"/>
    <row r="8311" ht="16.5" customHeight="1" x14ac:dyDescent="0.25"/>
    <row r="8312" ht="16.5" customHeight="1" x14ac:dyDescent="0.25"/>
    <row r="8313" ht="16.5" customHeight="1" x14ac:dyDescent="0.25"/>
    <row r="8314" ht="16.5" customHeight="1" x14ac:dyDescent="0.25"/>
    <row r="8315" ht="16.5" customHeight="1" x14ac:dyDescent="0.25"/>
    <row r="8316" ht="16.5" customHeight="1" x14ac:dyDescent="0.25"/>
    <row r="8317" ht="16.5" customHeight="1" x14ac:dyDescent="0.25"/>
    <row r="8318" ht="16.5" customHeight="1" x14ac:dyDescent="0.25"/>
    <row r="8319" ht="16.5" customHeight="1" x14ac:dyDescent="0.25"/>
    <row r="8320" ht="16.5" customHeight="1" x14ac:dyDescent="0.25"/>
    <row r="8321" ht="16.5" customHeight="1" x14ac:dyDescent="0.25"/>
    <row r="8322" ht="16.5" customHeight="1" x14ac:dyDescent="0.25"/>
    <row r="8323" ht="16.5" customHeight="1" x14ac:dyDescent="0.25"/>
    <row r="8324" ht="16.5" customHeight="1" x14ac:dyDescent="0.25"/>
    <row r="8325" ht="16.5" customHeight="1" x14ac:dyDescent="0.25"/>
    <row r="8326" ht="16.5" customHeight="1" x14ac:dyDescent="0.25"/>
    <row r="8327" ht="16.5" customHeight="1" x14ac:dyDescent="0.25"/>
    <row r="8328" ht="16.5" customHeight="1" x14ac:dyDescent="0.25"/>
    <row r="8329" ht="16.5" customHeight="1" x14ac:dyDescent="0.25"/>
    <row r="8330" ht="16.5" customHeight="1" x14ac:dyDescent="0.25"/>
    <row r="8331" ht="16.5" customHeight="1" x14ac:dyDescent="0.25"/>
    <row r="8332" ht="16.5" customHeight="1" x14ac:dyDescent="0.25"/>
    <row r="8333" ht="16.5" customHeight="1" x14ac:dyDescent="0.25"/>
    <row r="8334" ht="16.5" customHeight="1" x14ac:dyDescent="0.25"/>
    <row r="8335" ht="16.5" customHeight="1" x14ac:dyDescent="0.25"/>
    <row r="8336" ht="16.5" customHeight="1" x14ac:dyDescent="0.25"/>
    <row r="8337" ht="16.5" customHeight="1" x14ac:dyDescent="0.25"/>
    <row r="8338" ht="16.5" customHeight="1" x14ac:dyDescent="0.25"/>
    <row r="8339" ht="16.5" customHeight="1" x14ac:dyDescent="0.25"/>
    <row r="8340" ht="16.5" customHeight="1" x14ac:dyDescent="0.25"/>
    <row r="8341" ht="16.5" customHeight="1" x14ac:dyDescent="0.25"/>
    <row r="8342" ht="16.5" customHeight="1" x14ac:dyDescent="0.25"/>
    <row r="8343" ht="16.5" customHeight="1" x14ac:dyDescent="0.25"/>
    <row r="8344" ht="16.5" customHeight="1" x14ac:dyDescent="0.25"/>
    <row r="8345" ht="16.5" customHeight="1" x14ac:dyDescent="0.25"/>
    <row r="8346" ht="16.5" customHeight="1" x14ac:dyDescent="0.25"/>
    <row r="8347" ht="16.5" customHeight="1" x14ac:dyDescent="0.25"/>
    <row r="8348" ht="16.5" customHeight="1" x14ac:dyDescent="0.25"/>
    <row r="8349" ht="16.5" customHeight="1" x14ac:dyDescent="0.25"/>
    <row r="8350" ht="16.5" customHeight="1" x14ac:dyDescent="0.25"/>
    <row r="8351" ht="16.5" customHeight="1" x14ac:dyDescent="0.25"/>
    <row r="8352" ht="16.5" customHeight="1" x14ac:dyDescent="0.25"/>
    <row r="8353" ht="16.5" customHeight="1" x14ac:dyDescent="0.25"/>
    <row r="8354" ht="16.5" customHeight="1" x14ac:dyDescent="0.25"/>
    <row r="8355" ht="16.5" customHeight="1" x14ac:dyDescent="0.25"/>
    <row r="8356" ht="16.5" customHeight="1" x14ac:dyDescent="0.25"/>
    <row r="8357" ht="16.5" customHeight="1" x14ac:dyDescent="0.25"/>
    <row r="8358" ht="16.5" customHeight="1" x14ac:dyDescent="0.25"/>
    <row r="8359" ht="16.5" customHeight="1" x14ac:dyDescent="0.25"/>
    <row r="8360" ht="16.5" customHeight="1" x14ac:dyDescent="0.25"/>
    <row r="8361" ht="16.5" customHeight="1" x14ac:dyDescent="0.25"/>
    <row r="8362" ht="16.5" customHeight="1" x14ac:dyDescent="0.25"/>
    <row r="8363" ht="16.5" customHeight="1" x14ac:dyDescent="0.25"/>
    <row r="8364" ht="16.5" customHeight="1" x14ac:dyDescent="0.25"/>
    <row r="8365" ht="16.5" customHeight="1" x14ac:dyDescent="0.25"/>
    <row r="8366" ht="16.5" customHeight="1" x14ac:dyDescent="0.25"/>
    <row r="8367" ht="16.5" customHeight="1" x14ac:dyDescent="0.25"/>
    <row r="8368" ht="16.5" customHeight="1" x14ac:dyDescent="0.25"/>
    <row r="8369" ht="16.5" customHeight="1" x14ac:dyDescent="0.25"/>
    <row r="8370" ht="16.5" customHeight="1" x14ac:dyDescent="0.25"/>
    <row r="8371" ht="16.5" customHeight="1" x14ac:dyDescent="0.25"/>
    <row r="8372" ht="16.5" customHeight="1" x14ac:dyDescent="0.25"/>
    <row r="8373" ht="16.5" customHeight="1" x14ac:dyDescent="0.25"/>
    <row r="8374" ht="16.5" customHeight="1" x14ac:dyDescent="0.25"/>
    <row r="8375" ht="16.5" customHeight="1" x14ac:dyDescent="0.25"/>
    <row r="8376" ht="16.5" customHeight="1" x14ac:dyDescent="0.25"/>
    <row r="8377" ht="16.5" customHeight="1" x14ac:dyDescent="0.25"/>
    <row r="8378" ht="16.5" customHeight="1" x14ac:dyDescent="0.25"/>
    <row r="8379" ht="16.5" customHeight="1" x14ac:dyDescent="0.25"/>
    <row r="8380" ht="16.5" customHeight="1" x14ac:dyDescent="0.25"/>
    <row r="8381" ht="16.5" customHeight="1" x14ac:dyDescent="0.25"/>
    <row r="8382" ht="16.5" customHeight="1" x14ac:dyDescent="0.25"/>
    <row r="8383" ht="16.5" customHeight="1" x14ac:dyDescent="0.25"/>
    <row r="8384" ht="16.5" customHeight="1" x14ac:dyDescent="0.25"/>
    <row r="8385" ht="16.5" customHeight="1" x14ac:dyDescent="0.25"/>
    <row r="8386" ht="16.5" customHeight="1" x14ac:dyDescent="0.25"/>
    <row r="8387" ht="16.5" customHeight="1" x14ac:dyDescent="0.25"/>
    <row r="8388" ht="16.5" customHeight="1" x14ac:dyDescent="0.25"/>
    <row r="8389" ht="16.5" customHeight="1" x14ac:dyDescent="0.25"/>
    <row r="8390" ht="16.5" customHeight="1" x14ac:dyDescent="0.25"/>
    <row r="8391" ht="16.5" customHeight="1" x14ac:dyDescent="0.25"/>
    <row r="8392" ht="16.5" customHeight="1" x14ac:dyDescent="0.25"/>
    <row r="8393" ht="16.5" customHeight="1" x14ac:dyDescent="0.25"/>
    <row r="8394" ht="16.5" customHeight="1" x14ac:dyDescent="0.25"/>
    <row r="8395" ht="16.5" customHeight="1" x14ac:dyDescent="0.25"/>
    <row r="8396" ht="16.5" customHeight="1" x14ac:dyDescent="0.25"/>
    <row r="8397" ht="16.5" customHeight="1" x14ac:dyDescent="0.25"/>
    <row r="8398" ht="16.5" customHeight="1" x14ac:dyDescent="0.25"/>
    <row r="8399" ht="16.5" customHeight="1" x14ac:dyDescent="0.25"/>
    <row r="8400" ht="16.5" customHeight="1" x14ac:dyDescent="0.25"/>
    <row r="8401" ht="16.5" customHeight="1" x14ac:dyDescent="0.25"/>
    <row r="8402" ht="16.5" customHeight="1" x14ac:dyDescent="0.25"/>
    <row r="8403" ht="16.5" customHeight="1" x14ac:dyDescent="0.25"/>
    <row r="8404" ht="16.5" customHeight="1" x14ac:dyDescent="0.25"/>
    <row r="8405" ht="16.5" customHeight="1" x14ac:dyDescent="0.25"/>
    <row r="8406" ht="16.5" customHeight="1" x14ac:dyDescent="0.25"/>
    <row r="8407" ht="16.5" customHeight="1" x14ac:dyDescent="0.25"/>
    <row r="8408" ht="16.5" customHeight="1" x14ac:dyDescent="0.25"/>
    <row r="8409" ht="16.5" customHeight="1" x14ac:dyDescent="0.25"/>
    <row r="8410" ht="16.5" customHeight="1" x14ac:dyDescent="0.25"/>
    <row r="8411" ht="16.5" customHeight="1" x14ac:dyDescent="0.25"/>
    <row r="8412" ht="16.5" customHeight="1" x14ac:dyDescent="0.25"/>
    <row r="8413" ht="16.5" customHeight="1" x14ac:dyDescent="0.25"/>
    <row r="8414" ht="16.5" customHeight="1" x14ac:dyDescent="0.25"/>
    <row r="8415" ht="16.5" customHeight="1" x14ac:dyDescent="0.25"/>
    <row r="8416" ht="16.5" customHeight="1" x14ac:dyDescent="0.25"/>
    <row r="8417" ht="16.5" customHeight="1" x14ac:dyDescent="0.25"/>
    <row r="8418" ht="16.5" customHeight="1" x14ac:dyDescent="0.25"/>
    <row r="8419" ht="16.5" customHeight="1" x14ac:dyDescent="0.25"/>
    <row r="8420" ht="16.5" customHeight="1" x14ac:dyDescent="0.25"/>
    <row r="8421" ht="16.5" customHeight="1" x14ac:dyDescent="0.25"/>
    <row r="8422" ht="16.5" customHeight="1" x14ac:dyDescent="0.25"/>
    <row r="8423" ht="16.5" customHeight="1" x14ac:dyDescent="0.25"/>
    <row r="8424" ht="16.5" customHeight="1" x14ac:dyDescent="0.25"/>
    <row r="8425" ht="16.5" customHeight="1" x14ac:dyDescent="0.25"/>
    <row r="8426" ht="16.5" customHeight="1" x14ac:dyDescent="0.25"/>
    <row r="8427" ht="16.5" customHeight="1" x14ac:dyDescent="0.25"/>
    <row r="8428" ht="16.5" customHeight="1" x14ac:dyDescent="0.25"/>
    <row r="8429" ht="16.5" customHeight="1" x14ac:dyDescent="0.25"/>
    <row r="8430" ht="16.5" customHeight="1" x14ac:dyDescent="0.25"/>
    <row r="8431" ht="16.5" customHeight="1" x14ac:dyDescent="0.25"/>
    <row r="8432" ht="16.5" customHeight="1" x14ac:dyDescent="0.25"/>
    <row r="8433" ht="16.5" customHeight="1" x14ac:dyDescent="0.25"/>
    <row r="8434" ht="16.5" customHeight="1" x14ac:dyDescent="0.25"/>
    <row r="8435" ht="16.5" customHeight="1" x14ac:dyDescent="0.25"/>
    <row r="8436" ht="16.5" customHeight="1" x14ac:dyDescent="0.25"/>
    <row r="8437" ht="16.5" customHeight="1" x14ac:dyDescent="0.25"/>
    <row r="8438" ht="16.5" customHeight="1" x14ac:dyDescent="0.25"/>
    <row r="8439" ht="16.5" customHeight="1" x14ac:dyDescent="0.25"/>
    <row r="8440" ht="16.5" customHeight="1" x14ac:dyDescent="0.25"/>
    <row r="8441" ht="16.5" customHeight="1" x14ac:dyDescent="0.25"/>
    <row r="8442" ht="16.5" customHeight="1" x14ac:dyDescent="0.25"/>
    <row r="8443" ht="16.5" customHeight="1" x14ac:dyDescent="0.25"/>
    <row r="8444" ht="16.5" customHeight="1" x14ac:dyDescent="0.25"/>
    <row r="8445" ht="16.5" customHeight="1" x14ac:dyDescent="0.25"/>
    <row r="8446" ht="16.5" customHeight="1" x14ac:dyDescent="0.25"/>
    <row r="8447" ht="16.5" customHeight="1" x14ac:dyDescent="0.25"/>
    <row r="8448" ht="16.5" customHeight="1" x14ac:dyDescent="0.25"/>
    <row r="8449" ht="16.5" customHeight="1" x14ac:dyDescent="0.25"/>
    <row r="8450" ht="16.5" customHeight="1" x14ac:dyDescent="0.25"/>
    <row r="8451" ht="16.5" customHeight="1" x14ac:dyDescent="0.25"/>
    <row r="8452" ht="16.5" customHeight="1" x14ac:dyDescent="0.25"/>
    <row r="8453" ht="16.5" customHeight="1" x14ac:dyDescent="0.25"/>
    <row r="8454" ht="16.5" customHeight="1" x14ac:dyDescent="0.25"/>
    <row r="8455" ht="16.5" customHeight="1" x14ac:dyDescent="0.25"/>
    <row r="8456" ht="16.5" customHeight="1" x14ac:dyDescent="0.25"/>
    <row r="8457" ht="16.5" customHeight="1" x14ac:dyDescent="0.25"/>
    <row r="8458" ht="16.5" customHeight="1" x14ac:dyDescent="0.25"/>
    <row r="8459" ht="16.5" customHeight="1" x14ac:dyDescent="0.25"/>
    <row r="8460" ht="16.5" customHeight="1" x14ac:dyDescent="0.25"/>
    <row r="8461" ht="16.5" customHeight="1" x14ac:dyDescent="0.25"/>
    <row r="8462" ht="16.5" customHeight="1" x14ac:dyDescent="0.25"/>
    <row r="8463" ht="16.5" customHeight="1" x14ac:dyDescent="0.25"/>
    <row r="8464" ht="16.5" customHeight="1" x14ac:dyDescent="0.25"/>
    <row r="8465" ht="16.5" customHeight="1" x14ac:dyDescent="0.25"/>
    <row r="8466" ht="16.5" customHeight="1" x14ac:dyDescent="0.25"/>
    <row r="8467" ht="16.5" customHeight="1" x14ac:dyDescent="0.25"/>
    <row r="8468" ht="16.5" customHeight="1" x14ac:dyDescent="0.25"/>
    <row r="8469" ht="16.5" customHeight="1" x14ac:dyDescent="0.25"/>
    <row r="8470" ht="16.5" customHeight="1" x14ac:dyDescent="0.25"/>
    <row r="8471" ht="16.5" customHeight="1" x14ac:dyDescent="0.25"/>
    <row r="8472" ht="16.5" customHeight="1" x14ac:dyDescent="0.25"/>
    <row r="8473" ht="16.5" customHeight="1" x14ac:dyDescent="0.25"/>
    <row r="8474" ht="16.5" customHeight="1" x14ac:dyDescent="0.25"/>
    <row r="8475" ht="16.5" customHeight="1" x14ac:dyDescent="0.25"/>
    <row r="8476" ht="16.5" customHeight="1" x14ac:dyDescent="0.25"/>
    <row r="8477" ht="16.5" customHeight="1" x14ac:dyDescent="0.25"/>
    <row r="8478" ht="16.5" customHeight="1" x14ac:dyDescent="0.25"/>
    <row r="8479" ht="16.5" customHeight="1" x14ac:dyDescent="0.25"/>
    <row r="8480" ht="16.5" customHeight="1" x14ac:dyDescent="0.25"/>
    <row r="8481" ht="16.5" customHeight="1" x14ac:dyDescent="0.25"/>
    <row r="8482" ht="16.5" customHeight="1" x14ac:dyDescent="0.25"/>
    <row r="8483" ht="16.5" customHeight="1" x14ac:dyDescent="0.25"/>
    <row r="8484" ht="16.5" customHeight="1" x14ac:dyDescent="0.25"/>
    <row r="8485" ht="16.5" customHeight="1" x14ac:dyDescent="0.25"/>
    <row r="8486" ht="16.5" customHeight="1" x14ac:dyDescent="0.25"/>
    <row r="8487" ht="16.5" customHeight="1" x14ac:dyDescent="0.25"/>
    <row r="8488" ht="16.5" customHeight="1" x14ac:dyDescent="0.25"/>
    <row r="8489" ht="16.5" customHeight="1" x14ac:dyDescent="0.25"/>
    <row r="8490" ht="16.5" customHeight="1" x14ac:dyDescent="0.25"/>
    <row r="8491" ht="16.5" customHeight="1" x14ac:dyDescent="0.25"/>
    <row r="8492" ht="16.5" customHeight="1" x14ac:dyDescent="0.25"/>
    <row r="8493" ht="16.5" customHeight="1" x14ac:dyDescent="0.25"/>
    <row r="8494" ht="16.5" customHeight="1" x14ac:dyDescent="0.25"/>
    <row r="8495" ht="16.5" customHeight="1" x14ac:dyDescent="0.25"/>
    <row r="8496" ht="16.5" customHeight="1" x14ac:dyDescent="0.25"/>
    <row r="8497" ht="16.5" customHeight="1" x14ac:dyDescent="0.25"/>
    <row r="8498" ht="16.5" customHeight="1" x14ac:dyDescent="0.25"/>
    <row r="8499" ht="16.5" customHeight="1" x14ac:dyDescent="0.25"/>
    <row r="8500" ht="16.5" customHeight="1" x14ac:dyDescent="0.25"/>
    <row r="8501" ht="16.5" customHeight="1" x14ac:dyDescent="0.25"/>
    <row r="8502" ht="16.5" customHeight="1" x14ac:dyDescent="0.25"/>
    <row r="8503" ht="16.5" customHeight="1" x14ac:dyDescent="0.25"/>
    <row r="8504" ht="16.5" customHeight="1" x14ac:dyDescent="0.25"/>
    <row r="8505" ht="16.5" customHeight="1" x14ac:dyDescent="0.25"/>
    <row r="8506" ht="16.5" customHeight="1" x14ac:dyDescent="0.25"/>
    <row r="8507" ht="16.5" customHeight="1" x14ac:dyDescent="0.25"/>
    <row r="8508" ht="16.5" customHeight="1" x14ac:dyDescent="0.25"/>
    <row r="8509" ht="16.5" customHeight="1" x14ac:dyDescent="0.25"/>
    <row r="8510" ht="16.5" customHeight="1" x14ac:dyDescent="0.25"/>
    <row r="8511" ht="16.5" customHeight="1" x14ac:dyDescent="0.25"/>
    <row r="8512" ht="16.5" customHeight="1" x14ac:dyDescent="0.25"/>
    <row r="8513" ht="16.5" customHeight="1" x14ac:dyDescent="0.25"/>
    <row r="8514" ht="16.5" customHeight="1" x14ac:dyDescent="0.25"/>
    <row r="8515" ht="16.5" customHeight="1" x14ac:dyDescent="0.25"/>
    <row r="8516" ht="16.5" customHeight="1" x14ac:dyDescent="0.25"/>
    <row r="8517" ht="16.5" customHeight="1" x14ac:dyDescent="0.25"/>
    <row r="8518" ht="16.5" customHeight="1" x14ac:dyDescent="0.25"/>
    <row r="8519" ht="16.5" customHeight="1" x14ac:dyDescent="0.25"/>
    <row r="8520" ht="16.5" customHeight="1" x14ac:dyDescent="0.25"/>
    <row r="8521" ht="16.5" customHeight="1" x14ac:dyDescent="0.25"/>
    <row r="8522" ht="16.5" customHeight="1" x14ac:dyDescent="0.25"/>
    <row r="8523" ht="16.5" customHeight="1" x14ac:dyDescent="0.25"/>
    <row r="8524" ht="16.5" customHeight="1" x14ac:dyDescent="0.25"/>
    <row r="8525" ht="16.5" customHeight="1" x14ac:dyDescent="0.25"/>
    <row r="8526" ht="16.5" customHeight="1" x14ac:dyDescent="0.25"/>
    <row r="8527" ht="16.5" customHeight="1" x14ac:dyDescent="0.25"/>
    <row r="8528" ht="16.5" customHeight="1" x14ac:dyDescent="0.25"/>
    <row r="8529" ht="16.5" customHeight="1" x14ac:dyDescent="0.25"/>
    <row r="8530" ht="16.5" customHeight="1" x14ac:dyDescent="0.25"/>
    <row r="8531" ht="16.5" customHeight="1" x14ac:dyDescent="0.25"/>
    <row r="8532" ht="16.5" customHeight="1" x14ac:dyDescent="0.25"/>
    <row r="8533" ht="16.5" customHeight="1" x14ac:dyDescent="0.25"/>
    <row r="8534" ht="16.5" customHeight="1" x14ac:dyDescent="0.25"/>
    <row r="8535" ht="16.5" customHeight="1" x14ac:dyDescent="0.25"/>
    <row r="8536" ht="16.5" customHeight="1" x14ac:dyDescent="0.25"/>
    <row r="8537" ht="16.5" customHeight="1" x14ac:dyDescent="0.25"/>
    <row r="8538" ht="16.5" customHeight="1" x14ac:dyDescent="0.25"/>
    <row r="8539" ht="16.5" customHeight="1" x14ac:dyDescent="0.25"/>
    <row r="8540" ht="16.5" customHeight="1" x14ac:dyDescent="0.25"/>
    <row r="8541" ht="16.5" customHeight="1" x14ac:dyDescent="0.25"/>
    <row r="8542" ht="16.5" customHeight="1" x14ac:dyDescent="0.25"/>
    <row r="8543" ht="16.5" customHeight="1" x14ac:dyDescent="0.25"/>
    <row r="8544" ht="16.5" customHeight="1" x14ac:dyDescent="0.25"/>
    <row r="8545" ht="16.5" customHeight="1" x14ac:dyDescent="0.25"/>
    <row r="8546" ht="16.5" customHeight="1" x14ac:dyDescent="0.25"/>
    <row r="8547" ht="16.5" customHeight="1" x14ac:dyDescent="0.25"/>
    <row r="8548" ht="16.5" customHeight="1" x14ac:dyDescent="0.25"/>
    <row r="8549" ht="16.5" customHeight="1" x14ac:dyDescent="0.25"/>
    <row r="8550" ht="16.5" customHeight="1" x14ac:dyDescent="0.25"/>
    <row r="8551" ht="16.5" customHeight="1" x14ac:dyDescent="0.25"/>
    <row r="8552" ht="16.5" customHeight="1" x14ac:dyDescent="0.25"/>
    <row r="8553" ht="16.5" customHeight="1" x14ac:dyDescent="0.25"/>
    <row r="8554" ht="16.5" customHeight="1" x14ac:dyDescent="0.25"/>
    <row r="8555" ht="16.5" customHeight="1" x14ac:dyDescent="0.25"/>
    <row r="8556" ht="16.5" customHeight="1" x14ac:dyDescent="0.25"/>
    <row r="8557" ht="16.5" customHeight="1" x14ac:dyDescent="0.25"/>
    <row r="8558" ht="16.5" customHeight="1" x14ac:dyDescent="0.25"/>
    <row r="8559" ht="16.5" customHeight="1" x14ac:dyDescent="0.25"/>
    <row r="8560" ht="16.5" customHeight="1" x14ac:dyDescent="0.25"/>
    <row r="8561" ht="16.5" customHeight="1" x14ac:dyDescent="0.25"/>
    <row r="8562" ht="16.5" customHeight="1" x14ac:dyDescent="0.25"/>
    <row r="8563" ht="16.5" customHeight="1" x14ac:dyDescent="0.25"/>
    <row r="8564" ht="16.5" customHeight="1" x14ac:dyDescent="0.25"/>
    <row r="8565" ht="16.5" customHeight="1" x14ac:dyDescent="0.25"/>
    <row r="8566" ht="16.5" customHeight="1" x14ac:dyDescent="0.25"/>
    <row r="8567" ht="16.5" customHeight="1" x14ac:dyDescent="0.25"/>
    <row r="8568" ht="16.5" customHeight="1" x14ac:dyDescent="0.25"/>
    <row r="8569" ht="16.5" customHeight="1" x14ac:dyDescent="0.25"/>
    <row r="8570" ht="16.5" customHeight="1" x14ac:dyDescent="0.25"/>
    <row r="8571" ht="16.5" customHeight="1" x14ac:dyDescent="0.25"/>
    <row r="8572" ht="16.5" customHeight="1" x14ac:dyDescent="0.25"/>
    <row r="8573" ht="16.5" customHeight="1" x14ac:dyDescent="0.25"/>
    <row r="8574" ht="16.5" customHeight="1" x14ac:dyDescent="0.25"/>
    <row r="8575" ht="16.5" customHeight="1" x14ac:dyDescent="0.25"/>
    <row r="8576" ht="16.5" customHeight="1" x14ac:dyDescent="0.25"/>
    <row r="8577" ht="16.5" customHeight="1" x14ac:dyDescent="0.25"/>
    <row r="8578" ht="16.5" customHeight="1" x14ac:dyDescent="0.25"/>
    <row r="8579" ht="16.5" customHeight="1" x14ac:dyDescent="0.25"/>
    <row r="8580" ht="16.5" customHeight="1" x14ac:dyDescent="0.25"/>
    <row r="8581" ht="16.5" customHeight="1" x14ac:dyDescent="0.25"/>
    <row r="8582" ht="16.5" customHeight="1" x14ac:dyDescent="0.25"/>
    <row r="8583" ht="16.5" customHeight="1" x14ac:dyDescent="0.25"/>
    <row r="8584" ht="16.5" customHeight="1" x14ac:dyDescent="0.25"/>
    <row r="8585" ht="16.5" customHeight="1" x14ac:dyDescent="0.25"/>
    <row r="8586" ht="16.5" customHeight="1" x14ac:dyDescent="0.25"/>
    <row r="8587" ht="16.5" customHeight="1" x14ac:dyDescent="0.25"/>
    <row r="8588" ht="16.5" customHeight="1" x14ac:dyDescent="0.25"/>
    <row r="8589" ht="16.5" customHeight="1" x14ac:dyDescent="0.25"/>
    <row r="8590" ht="16.5" customHeight="1" x14ac:dyDescent="0.25"/>
    <row r="8591" ht="16.5" customHeight="1" x14ac:dyDescent="0.25"/>
    <row r="8592" ht="16.5" customHeight="1" x14ac:dyDescent="0.25"/>
    <row r="8593" ht="16.5" customHeight="1" x14ac:dyDescent="0.25"/>
    <row r="8594" ht="16.5" customHeight="1" x14ac:dyDescent="0.25"/>
    <row r="8595" ht="16.5" customHeight="1" x14ac:dyDescent="0.25"/>
    <row r="8596" ht="16.5" customHeight="1" x14ac:dyDescent="0.25"/>
    <row r="8597" ht="16.5" customHeight="1" x14ac:dyDescent="0.25"/>
    <row r="8598" ht="16.5" customHeight="1" x14ac:dyDescent="0.25"/>
    <row r="8599" ht="16.5" customHeight="1" x14ac:dyDescent="0.25"/>
    <row r="8600" ht="16.5" customHeight="1" x14ac:dyDescent="0.25"/>
    <row r="8601" ht="16.5" customHeight="1" x14ac:dyDescent="0.25"/>
    <row r="8602" ht="16.5" customHeight="1" x14ac:dyDescent="0.25"/>
    <row r="8603" ht="16.5" customHeight="1" x14ac:dyDescent="0.25"/>
    <row r="8604" ht="16.5" customHeight="1" x14ac:dyDescent="0.25"/>
    <row r="8605" ht="16.5" customHeight="1" x14ac:dyDescent="0.25"/>
    <row r="8606" ht="16.5" customHeight="1" x14ac:dyDescent="0.25"/>
    <row r="8607" ht="16.5" customHeight="1" x14ac:dyDescent="0.25"/>
    <row r="8608" ht="16.5" customHeight="1" x14ac:dyDescent="0.25"/>
    <row r="8609" ht="16.5" customHeight="1" x14ac:dyDescent="0.25"/>
    <row r="8610" ht="16.5" customHeight="1" x14ac:dyDescent="0.25"/>
    <row r="8611" ht="16.5" customHeight="1" x14ac:dyDescent="0.25"/>
    <row r="8612" ht="16.5" customHeight="1" x14ac:dyDescent="0.25"/>
    <row r="8613" ht="16.5" customHeight="1" x14ac:dyDescent="0.25"/>
    <row r="8614" ht="16.5" customHeight="1" x14ac:dyDescent="0.25"/>
    <row r="8615" ht="16.5" customHeight="1" x14ac:dyDescent="0.25"/>
    <row r="8616" ht="16.5" customHeight="1" x14ac:dyDescent="0.25"/>
    <row r="8617" ht="16.5" customHeight="1" x14ac:dyDescent="0.25"/>
    <row r="8618" ht="16.5" customHeight="1" x14ac:dyDescent="0.25"/>
    <row r="8619" ht="16.5" customHeight="1" x14ac:dyDescent="0.25"/>
    <row r="8620" ht="16.5" customHeight="1" x14ac:dyDescent="0.25"/>
    <row r="8621" ht="16.5" customHeight="1" x14ac:dyDescent="0.25"/>
    <row r="8622" ht="16.5" customHeight="1" x14ac:dyDescent="0.25"/>
    <row r="8623" ht="16.5" customHeight="1" x14ac:dyDescent="0.25"/>
    <row r="8624" ht="16.5" customHeight="1" x14ac:dyDescent="0.25"/>
    <row r="8625" ht="16.5" customHeight="1" x14ac:dyDescent="0.25"/>
    <row r="8626" ht="16.5" customHeight="1" x14ac:dyDescent="0.25"/>
    <row r="8627" ht="16.5" customHeight="1" x14ac:dyDescent="0.25"/>
    <row r="8628" ht="16.5" customHeight="1" x14ac:dyDescent="0.25"/>
    <row r="8629" ht="16.5" customHeight="1" x14ac:dyDescent="0.25"/>
    <row r="8630" ht="16.5" customHeight="1" x14ac:dyDescent="0.25"/>
    <row r="8631" ht="16.5" customHeight="1" x14ac:dyDescent="0.25"/>
    <row r="8632" ht="16.5" customHeight="1" x14ac:dyDescent="0.25"/>
    <row r="8633" ht="16.5" customHeight="1" x14ac:dyDescent="0.25"/>
    <row r="8634" ht="16.5" customHeight="1" x14ac:dyDescent="0.25"/>
    <row r="8635" ht="16.5" customHeight="1" x14ac:dyDescent="0.25"/>
    <row r="8636" ht="16.5" customHeight="1" x14ac:dyDescent="0.25"/>
    <row r="8637" ht="16.5" customHeight="1" x14ac:dyDescent="0.25"/>
    <row r="8638" ht="16.5" customHeight="1" x14ac:dyDescent="0.25"/>
    <row r="8639" ht="16.5" customHeight="1" x14ac:dyDescent="0.25"/>
    <row r="8640" ht="16.5" customHeight="1" x14ac:dyDescent="0.25"/>
    <row r="8641" ht="16.5" customHeight="1" x14ac:dyDescent="0.25"/>
    <row r="8642" ht="16.5" customHeight="1" x14ac:dyDescent="0.25"/>
    <row r="8643" ht="16.5" customHeight="1" x14ac:dyDescent="0.25"/>
    <row r="8644" ht="16.5" customHeight="1" x14ac:dyDescent="0.25"/>
    <row r="8645" ht="16.5" customHeight="1" x14ac:dyDescent="0.25"/>
    <row r="8646" ht="16.5" customHeight="1" x14ac:dyDescent="0.25"/>
    <row r="8647" ht="16.5" customHeight="1" x14ac:dyDescent="0.25"/>
    <row r="8648" ht="16.5" customHeight="1" x14ac:dyDescent="0.25"/>
    <row r="8649" ht="16.5" customHeight="1" x14ac:dyDescent="0.25"/>
    <row r="8650" ht="16.5" customHeight="1" x14ac:dyDescent="0.25"/>
    <row r="8651" ht="16.5" customHeight="1" x14ac:dyDescent="0.25"/>
    <row r="8652" ht="16.5" customHeight="1" x14ac:dyDescent="0.25"/>
    <row r="8653" ht="16.5" customHeight="1" x14ac:dyDescent="0.25"/>
    <row r="8654" ht="16.5" customHeight="1" x14ac:dyDescent="0.25"/>
    <row r="8655" ht="16.5" customHeight="1" x14ac:dyDescent="0.25"/>
    <row r="8656" ht="16.5" customHeight="1" x14ac:dyDescent="0.25"/>
    <row r="8657" ht="16.5" customHeight="1" x14ac:dyDescent="0.25"/>
    <row r="8658" ht="16.5" customHeight="1" x14ac:dyDescent="0.25"/>
    <row r="8659" ht="16.5" customHeight="1" x14ac:dyDescent="0.25"/>
    <row r="8660" ht="16.5" customHeight="1" x14ac:dyDescent="0.25"/>
    <row r="8661" ht="16.5" customHeight="1" x14ac:dyDescent="0.25"/>
    <row r="8662" ht="16.5" customHeight="1" x14ac:dyDescent="0.25"/>
    <row r="8663" ht="16.5" customHeight="1" x14ac:dyDescent="0.25"/>
    <row r="8664" ht="16.5" customHeight="1" x14ac:dyDescent="0.25"/>
    <row r="8665" ht="16.5" customHeight="1" x14ac:dyDescent="0.25"/>
    <row r="8666" ht="16.5" customHeight="1" x14ac:dyDescent="0.25"/>
    <row r="8667" ht="16.5" customHeight="1" x14ac:dyDescent="0.25"/>
    <row r="8668" ht="16.5" customHeight="1" x14ac:dyDescent="0.25"/>
    <row r="8669" ht="16.5" customHeight="1" x14ac:dyDescent="0.25"/>
    <row r="8670" ht="16.5" customHeight="1" x14ac:dyDescent="0.25"/>
    <row r="8671" ht="16.5" customHeight="1" x14ac:dyDescent="0.25"/>
    <row r="8672" ht="16.5" customHeight="1" x14ac:dyDescent="0.25"/>
    <row r="8673" ht="16.5" customHeight="1" x14ac:dyDescent="0.25"/>
    <row r="8674" ht="16.5" customHeight="1" x14ac:dyDescent="0.25"/>
    <row r="8675" ht="16.5" customHeight="1" x14ac:dyDescent="0.25"/>
    <row r="8676" ht="16.5" customHeight="1" x14ac:dyDescent="0.25"/>
    <row r="8677" ht="16.5" customHeight="1" x14ac:dyDescent="0.25"/>
    <row r="8678" ht="16.5" customHeight="1" x14ac:dyDescent="0.25"/>
    <row r="8679" ht="16.5" customHeight="1" x14ac:dyDescent="0.25"/>
    <row r="8680" ht="16.5" customHeight="1" x14ac:dyDescent="0.25"/>
    <row r="8681" ht="16.5" customHeight="1" x14ac:dyDescent="0.25"/>
    <row r="8682" ht="16.5" customHeight="1" x14ac:dyDescent="0.25"/>
    <row r="8683" ht="16.5" customHeight="1" x14ac:dyDescent="0.25"/>
    <row r="8684" ht="16.5" customHeight="1" x14ac:dyDescent="0.25"/>
    <row r="8685" ht="16.5" customHeight="1" x14ac:dyDescent="0.25"/>
    <row r="8686" ht="16.5" customHeight="1" x14ac:dyDescent="0.25"/>
    <row r="8687" ht="16.5" customHeight="1" x14ac:dyDescent="0.25"/>
    <row r="8688" ht="16.5" customHeight="1" x14ac:dyDescent="0.25"/>
    <row r="8689" ht="16.5" customHeight="1" x14ac:dyDescent="0.25"/>
    <row r="8690" ht="16.5" customHeight="1" x14ac:dyDescent="0.25"/>
    <row r="8691" ht="16.5" customHeight="1" x14ac:dyDescent="0.25"/>
    <row r="8692" ht="16.5" customHeight="1" x14ac:dyDescent="0.25"/>
    <row r="8693" ht="16.5" customHeight="1" x14ac:dyDescent="0.25"/>
    <row r="8694" ht="16.5" customHeight="1" x14ac:dyDescent="0.25"/>
    <row r="8695" ht="16.5" customHeight="1" x14ac:dyDescent="0.25"/>
    <row r="8696" ht="16.5" customHeight="1" x14ac:dyDescent="0.25"/>
    <row r="8697" ht="16.5" customHeight="1" x14ac:dyDescent="0.25"/>
    <row r="8698" ht="16.5" customHeight="1" x14ac:dyDescent="0.25"/>
    <row r="8699" ht="16.5" customHeight="1" x14ac:dyDescent="0.25"/>
    <row r="8700" ht="16.5" customHeight="1" x14ac:dyDescent="0.25"/>
    <row r="8701" ht="16.5" customHeight="1" x14ac:dyDescent="0.25"/>
    <row r="8702" ht="16.5" customHeight="1" x14ac:dyDescent="0.25"/>
    <row r="8703" ht="16.5" customHeight="1" x14ac:dyDescent="0.25"/>
    <row r="8704" ht="16.5" customHeight="1" x14ac:dyDescent="0.25"/>
    <row r="8705" ht="16.5" customHeight="1" x14ac:dyDescent="0.25"/>
    <row r="8706" ht="16.5" customHeight="1" x14ac:dyDescent="0.25"/>
    <row r="8707" ht="16.5" customHeight="1" x14ac:dyDescent="0.25"/>
    <row r="8708" ht="16.5" customHeight="1" x14ac:dyDescent="0.25"/>
    <row r="8709" ht="16.5" customHeight="1" x14ac:dyDescent="0.25"/>
    <row r="8710" ht="16.5" customHeight="1" x14ac:dyDescent="0.25"/>
    <row r="8711" ht="16.5" customHeight="1" x14ac:dyDescent="0.25"/>
    <row r="8712" ht="16.5" customHeight="1" x14ac:dyDescent="0.25"/>
    <row r="8713" ht="16.5" customHeight="1" x14ac:dyDescent="0.25"/>
    <row r="8714" ht="16.5" customHeight="1" x14ac:dyDescent="0.25"/>
    <row r="8715" ht="16.5" customHeight="1" x14ac:dyDescent="0.25"/>
    <row r="8716" ht="16.5" customHeight="1" x14ac:dyDescent="0.25"/>
    <row r="8717" ht="16.5" customHeight="1" x14ac:dyDescent="0.25"/>
    <row r="8718" ht="16.5" customHeight="1" x14ac:dyDescent="0.25"/>
    <row r="8719" ht="16.5" customHeight="1" x14ac:dyDescent="0.25"/>
    <row r="8720" ht="16.5" customHeight="1" x14ac:dyDescent="0.25"/>
    <row r="8721" ht="16.5" customHeight="1" x14ac:dyDescent="0.25"/>
    <row r="8722" ht="16.5" customHeight="1" x14ac:dyDescent="0.25"/>
    <row r="8723" ht="16.5" customHeight="1" x14ac:dyDescent="0.25"/>
    <row r="8724" ht="16.5" customHeight="1" x14ac:dyDescent="0.25"/>
    <row r="8725" ht="16.5" customHeight="1" x14ac:dyDescent="0.25"/>
    <row r="8726" ht="16.5" customHeight="1" x14ac:dyDescent="0.25"/>
    <row r="8727" ht="16.5" customHeight="1" x14ac:dyDescent="0.25"/>
    <row r="8728" ht="16.5" customHeight="1" x14ac:dyDescent="0.25"/>
    <row r="8729" ht="16.5" customHeight="1" x14ac:dyDescent="0.25"/>
    <row r="8730" ht="16.5" customHeight="1" x14ac:dyDescent="0.25"/>
    <row r="8731" ht="16.5" customHeight="1" x14ac:dyDescent="0.25"/>
    <row r="8732" ht="16.5" customHeight="1" x14ac:dyDescent="0.25"/>
    <row r="8733" ht="16.5" customHeight="1" x14ac:dyDescent="0.25"/>
    <row r="8734" ht="16.5" customHeight="1" x14ac:dyDescent="0.25"/>
    <row r="8735" ht="16.5" customHeight="1" x14ac:dyDescent="0.25"/>
    <row r="8736" ht="16.5" customHeight="1" x14ac:dyDescent="0.25"/>
    <row r="8737" ht="16.5" customHeight="1" x14ac:dyDescent="0.25"/>
    <row r="8738" ht="16.5" customHeight="1" x14ac:dyDescent="0.25"/>
    <row r="8739" ht="16.5" customHeight="1" x14ac:dyDescent="0.25"/>
    <row r="8740" ht="16.5" customHeight="1" x14ac:dyDescent="0.25"/>
    <row r="8741" ht="16.5" customHeight="1" x14ac:dyDescent="0.25"/>
    <row r="8742" ht="16.5" customHeight="1" x14ac:dyDescent="0.25"/>
    <row r="8743" ht="16.5" customHeight="1" x14ac:dyDescent="0.25"/>
    <row r="8744" ht="16.5" customHeight="1" x14ac:dyDescent="0.25"/>
    <row r="8745" ht="16.5" customHeight="1" x14ac:dyDescent="0.25"/>
    <row r="8746" ht="16.5" customHeight="1" x14ac:dyDescent="0.25"/>
    <row r="8747" ht="16.5" customHeight="1" x14ac:dyDescent="0.25"/>
    <row r="8748" ht="16.5" customHeight="1" x14ac:dyDescent="0.25"/>
    <row r="8749" ht="16.5" customHeight="1" x14ac:dyDescent="0.25"/>
    <row r="8750" ht="16.5" customHeight="1" x14ac:dyDescent="0.25"/>
    <row r="8751" ht="16.5" customHeight="1" x14ac:dyDescent="0.25"/>
    <row r="8752" ht="16.5" customHeight="1" x14ac:dyDescent="0.25"/>
    <row r="8753" ht="16.5" customHeight="1" x14ac:dyDescent="0.25"/>
    <row r="8754" ht="16.5" customHeight="1" x14ac:dyDescent="0.25"/>
    <row r="8755" ht="16.5" customHeight="1" x14ac:dyDescent="0.25"/>
    <row r="8756" ht="16.5" customHeight="1" x14ac:dyDescent="0.25"/>
    <row r="8757" ht="16.5" customHeight="1" x14ac:dyDescent="0.25"/>
    <row r="8758" ht="16.5" customHeight="1" x14ac:dyDescent="0.25"/>
    <row r="8759" ht="16.5" customHeight="1" x14ac:dyDescent="0.25"/>
    <row r="8760" ht="16.5" customHeight="1" x14ac:dyDescent="0.25"/>
    <row r="8761" ht="16.5" customHeight="1" x14ac:dyDescent="0.25"/>
    <row r="8762" ht="16.5" customHeight="1" x14ac:dyDescent="0.25"/>
    <row r="8763" ht="16.5" customHeight="1" x14ac:dyDescent="0.25"/>
    <row r="8764" ht="16.5" customHeight="1" x14ac:dyDescent="0.25"/>
    <row r="8765" ht="16.5" customHeight="1" x14ac:dyDescent="0.25"/>
    <row r="8766" ht="16.5" customHeight="1" x14ac:dyDescent="0.25"/>
    <row r="8767" ht="16.5" customHeight="1" x14ac:dyDescent="0.25"/>
    <row r="8768" ht="16.5" customHeight="1" x14ac:dyDescent="0.25"/>
    <row r="8769" ht="16.5" customHeight="1" x14ac:dyDescent="0.25"/>
    <row r="8770" ht="16.5" customHeight="1" x14ac:dyDescent="0.25"/>
    <row r="8771" ht="16.5" customHeight="1" x14ac:dyDescent="0.25"/>
    <row r="8772" ht="16.5" customHeight="1" x14ac:dyDescent="0.25"/>
    <row r="8773" ht="16.5" customHeight="1" x14ac:dyDescent="0.25"/>
    <row r="8774" ht="16.5" customHeight="1" x14ac:dyDescent="0.25"/>
    <row r="8775" ht="16.5" customHeight="1" x14ac:dyDescent="0.25"/>
    <row r="8776" ht="16.5" customHeight="1" x14ac:dyDescent="0.25"/>
    <row r="8777" ht="16.5" customHeight="1" x14ac:dyDescent="0.25"/>
    <row r="8778" ht="16.5" customHeight="1" x14ac:dyDescent="0.25"/>
    <row r="8779" ht="16.5" customHeight="1" x14ac:dyDescent="0.25"/>
    <row r="8780" ht="16.5" customHeight="1" x14ac:dyDescent="0.25"/>
    <row r="8781" ht="16.5" customHeight="1" x14ac:dyDescent="0.25"/>
    <row r="8782" ht="16.5" customHeight="1" x14ac:dyDescent="0.25"/>
    <row r="8783" ht="16.5" customHeight="1" x14ac:dyDescent="0.25"/>
    <row r="8784" ht="16.5" customHeight="1" x14ac:dyDescent="0.25"/>
    <row r="8785" ht="16.5" customHeight="1" x14ac:dyDescent="0.25"/>
    <row r="8786" ht="16.5" customHeight="1" x14ac:dyDescent="0.25"/>
    <row r="8787" ht="16.5" customHeight="1" x14ac:dyDescent="0.25"/>
    <row r="8788" ht="16.5" customHeight="1" x14ac:dyDescent="0.25"/>
    <row r="8789" ht="16.5" customHeight="1" x14ac:dyDescent="0.25"/>
    <row r="8790" ht="16.5" customHeight="1" x14ac:dyDescent="0.25"/>
    <row r="8791" ht="16.5" customHeight="1" x14ac:dyDescent="0.25"/>
    <row r="8792" ht="16.5" customHeight="1" x14ac:dyDescent="0.25"/>
    <row r="8793" ht="16.5" customHeight="1" x14ac:dyDescent="0.25"/>
    <row r="8794" ht="16.5" customHeight="1" x14ac:dyDescent="0.25"/>
    <row r="8795" ht="16.5" customHeight="1" x14ac:dyDescent="0.25"/>
    <row r="8796" ht="16.5" customHeight="1" x14ac:dyDescent="0.25"/>
    <row r="8797" ht="16.5" customHeight="1" x14ac:dyDescent="0.25"/>
    <row r="8798" ht="16.5" customHeight="1" x14ac:dyDescent="0.25"/>
    <row r="8799" ht="16.5" customHeight="1" x14ac:dyDescent="0.25"/>
    <row r="8800" ht="16.5" customHeight="1" x14ac:dyDescent="0.25"/>
    <row r="8801" ht="16.5" customHeight="1" x14ac:dyDescent="0.25"/>
    <row r="8802" ht="16.5" customHeight="1" x14ac:dyDescent="0.25"/>
    <row r="8803" ht="16.5" customHeight="1" x14ac:dyDescent="0.25"/>
    <row r="8804" ht="16.5" customHeight="1" x14ac:dyDescent="0.25"/>
    <row r="8805" ht="16.5" customHeight="1" x14ac:dyDescent="0.25"/>
    <row r="8806" ht="16.5" customHeight="1" x14ac:dyDescent="0.25"/>
    <row r="8807" ht="16.5" customHeight="1" x14ac:dyDescent="0.25"/>
    <row r="8808" ht="16.5" customHeight="1" x14ac:dyDescent="0.25"/>
    <row r="8809" ht="16.5" customHeight="1" x14ac:dyDescent="0.25"/>
    <row r="8810" ht="16.5" customHeight="1" x14ac:dyDescent="0.25"/>
    <row r="8811" ht="16.5" customHeight="1" x14ac:dyDescent="0.25"/>
    <row r="8812" ht="16.5" customHeight="1" x14ac:dyDescent="0.25"/>
    <row r="8813" ht="16.5" customHeight="1" x14ac:dyDescent="0.25"/>
    <row r="8814" ht="16.5" customHeight="1" x14ac:dyDescent="0.25"/>
    <row r="8815" ht="16.5" customHeight="1" x14ac:dyDescent="0.25"/>
    <row r="8816" ht="16.5" customHeight="1" x14ac:dyDescent="0.25"/>
    <row r="8817" ht="16.5" customHeight="1" x14ac:dyDescent="0.25"/>
    <row r="8818" ht="16.5" customHeight="1" x14ac:dyDescent="0.25"/>
    <row r="8819" ht="16.5" customHeight="1" x14ac:dyDescent="0.25"/>
    <row r="8820" ht="16.5" customHeight="1" x14ac:dyDescent="0.25"/>
    <row r="8821" ht="16.5" customHeight="1" x14ac:dyDescent="0.25"/>
    <row r="8822" ht="16.5" customHeight="1" x14ac:dyDescent="0.25"/>
    <row r="8823" ht="16.5" customHeight="1" x14ac:dyDescent="0.25"/>
    <row r="8824" ht="16.5" customHeight="1" x14ac:dyDescent="0.25"/>
    <row r="8825" ht="16.5" customHeight="1" x14ac:dyDescent="0.25"/>
    <row r="8826" ht="16.5" customHeight="1" x14ac:dyDescent="0.25"/>
    <row r="8827" ht="16.5" customHeight="1" x14ac:dyDescent="0.25"/>
    <row r="8828" ht="16.5" customHeight="1" x14ac:dyDescent="0.25"/>
    <row r="8829" ht="16.5" customHeight="1" x14ac:dyDescent="0.25"/>
    <row r="8830" ht="16.5" customHeight="1" x14ac:dyDescent="0.25"/>
    <row r="8831" ht="16.5" customHeight="1" x14ac:dyDescent="0.25"/>
    <row r="8832" ht="16.5" customHeight="1" x14ac:dyDescent="0.25"/>
    <row r="8833" ht="16.5" customHeight="1" x14ac:dyDescent="0.25"/>
    <row r="8834" ht="16.5" customHeight="1" x14ac:dyDescent="0.25"/>
    <row r="8835" ht="16.5" customHeight="1" x14ac:dyDescent="0.25"/>
    <row r="8836" ht="16.5" customHeight="1" x14ac:dyDescent="0.25"/>
    <row r="8837" ht="16.5" customHeight="1" x14ac:dyDescent="0.25"/>
    <row r="8838" ht="16.5" customHeight="1" x14ac:dyDescent="0.25"/>
    <row r="8839" ht="16.5" customHeight="1" x14ac:dyDescent="0.25"/>
    <row r="8840" ht="16.5" customHeight="1" x14ac:dyDescent="0.25"/>
    <row r="8841" ht="16.5" customHeight="1" x14ac:dyDescent="0.25"/>
    <row r="8842" ht="16.5" customHeight="1" x14ac:dyDescent="0.25"/>
    <row r="8843" ht="16.5" customHeight="1" x14ac:dyDescent="0.25"/>
    <row r="8844" ht="16.5" customHeight="1" x14ac:dyDescent="0.25"/>
    <row r="8845" ht="16.5" customHeight="1" x14ac:dyDescent="0.25"/>
    <row r="8846" ht="16.5" customHeight="1" x14ac:dyDescent="0.25"/>
    <row r="8847" ht="16.5" customHeight="1" x14ac:dyDescent="0.25"/>
    <row r="8848" ht="16.5" customHeight="1" x14ac:dyDescent="0.25"/>
    <row r="8849" ht="16.5" customHeight="1" x14ac:dyDescent="0.25"/>
    <row r="8850" ht="16.5" customHeight="1" x14ac:dyDescent="0.25"/>
    <row r="8851" ht="16.5" customHeight="1" x14ac:dyDescent="0.25"/>
    <row r="8852" ht="16.5" customHeight="1" x14ac:dyDescent="0.25"/>
    <row r="8853" ht="16.5" customHeight="1" x14ac:dyDescent="0.25"/>
    <row r="8854" ht="16.5" customHeight="1" x14ac:dyDescent="0.25"/>
    <row r="8855" ht="16.5" customHeight="1" x14ac:dyDescent="0.25"/>
    <row r="8856" ht="16.5" customHeight="1" x14ac:dyDescent="0.25"/>
    <row r="8857" ht="16.5" customHeight="1" x14ac:dyDescent="0.25"/>
    <row r="8858" ht="16.5" customHeight="1" x14ac:dyDescent="0.25"/>
    <row r="8859" ht="16.5" customHeight="1" x14ac:dyDescent="0.25"/>
    <row r="8860" ht="16.5" customHeight="1" x14ac:dyDescent="0.25"/>
    <row r="8861" ht="16.5" customHeight="1" x14ac:dyDescent="0.25"/>
    <row r="8862" ht="16.5" customHeight="1" x14ac:dyDescent="0.25"/>
    <row r="8863" ht="16.5" customHeight="1" x14ac:dyDescent="0.25"/>
    <row r="8864" ht="16.5" customHeight="1" x14ac:dyDescent="0.25"/>
    <row r="8865" ht="16.5" customHeight="1" x14ac:dyDescent="0.25"/>
    <row r="8866" ht="16.5" customHeight="1" x14ac:dyDescent="0.25"/>
    <row r="8867" ht="16.5" customHeight="1" x14ac:dyDescent="0.25"/>
    <row r="8868" ht="16.5" customHeight="1" x14ac:dyDescent="0.25"/>
    <row r="8869" ht="16.5" customHeight="1" x14ac:dyDescent="0.25"/>
    <row r="8870" ht="16.5" customHeight="1" x14ac:dyDescent="0.25"/>
    <row r="8871" ht="16.5" customHeight="1" x14ac:dyDescent="0.25"/>
    <row r="8872" ht="16.5" customHeight="1" x14ac:dyDescent="0.25"/>
    <row r="8873" ht="16.5" customHeight="1" x14ac:dyDescent="0.25"/>
    <row r="8874" ht="16.5" customHeight="1" x14ac:dyDescent="0.25"/>
    <row r="8875" ht="16.5" customHeight="1" x14ac:dyDescent="0.25"/>
    <row r="8876" ht="16.5" customHeight="1" x14ac:dyDescent="0.25"/>
    <row r="8877" ht="16.5" customHeight="1" x14ac:dyDescent="0.25"/>
    <row r="8878" ht="16.5" customHeight="1" x14ac:dyDescent="0.25"/>
    <row r="8879" ht="16.5" customHeight="1" x14ac:dyDescent="0.25"/>
    <row r="8880" ht="16.5" customHeight="1" x14ac:dyDescent="0.25"/>
    <row r="8881" ht="16.5" customHeight="1" x14ac:dyDescent="0.25"/>
    <row r="8882" ht="16.5" customHeight="1" x14ac:dyDescent="0.25"/>
    <row r="8883" ht="16.5" customHeight="1" x14ac:dyDescent="0.25"/>
    <row r="8884" ht="16.5" customHeight="1" x14ac:dyDescent="0.25"/>
    <row r="8885" ht="16.5" customHeight="1" x14ac:dyDescent="0.25"/>
    <row r="8886" ht="16.5" customHeight="1" x14ac:dyDescent="0.25"/>
    <row r="8887" ht="16.5" customHeight="1" x14ac:dyDescent="0.25"/>
    <row r="8888" ht="16.5" customHeight="1" x14ac:dyDescent="0.25"/>
    <row r="8889" ht="16.5" customHeight="1" x14ac:dyDescent="0.25"/>
    <row r="8890" ht="16.5" customHeight="1" x14ac:dyDescent="0.25"/>
    <row r="8891" ht="16.5" customHeight="1" x14ac:dyDescent="0.25"/>
    <row r="8892" ht="16.5" customHeight="1" x14ac:dyDescent="0.25"/>
    <row r="8893" ht="16.5" customHeight="1" x14ac:dyDescent="0.25"/>
    <row r="8894" ht="16.5" customHeight="1" x14ac:dyDescent="0.25"/>
    <row r="8895" ht="16.5" customHeight="1" x14ac:dyDescent="0.25"/>
    <row r="8896" ht="16.5" customHeight="1" x14ac:dyDescent="0.25"/>
    <row r="8897" ht="16.5" customHeight="1" x14ac:dyDescent="0.25"/>
    <row r="8898" ht="16.5" customHeight="1" x14ac:dyDescent="0.25"/>
    <row r="8899" ht="16.5" customHeight="1" x14ac:dyDescent="0.25"/>
    <row r="8900" ht="16.5" customHeight="1" x14ac:dyDescent="0.25"/>
    <row r="8901" ht="16.5" customHeight="1" x14ac:dyDescent="0.25"/>
    <row r="8902" ht="16.5" customHeight="1" x14ac:dyDescent="0.25"/>
    <row r="8903" ht="16.5" customHeight="1" x14ac:dyDescent="0.25"/>
    <row r="8904" ht="16.5" customHeight="1" x14ac:dyDescent="0.25"/>
    <row r="8905" ht="16.5" customHeight="1" x14ac:dyDescent="0.25"/>
    <row r="8906" ht="16.5" customHeight="1" x14ac:dyDescent="0.25"/>
    <row r="8907" ht="16.5" customHeight="1" x14ac:dyDescent="0.25"/>
    <row r="8908" ht="16.5" customHeight="1" x14ac:dyDescent="0.25"/>
    <row r="8909" ht="16.5" customHeight="1" x14ac:dyDescent="0.25"/>
    <row r="8910" ht="16.5" customHeight="1" x14ac:dyDescent="0.25"/>
    <row r="8911" ht="16.5" customHeight="1" x14ac:dyDescent="0.25"/>
    <row r="8912" ht="16.5" customHeight="1" x14ac:dyDescent="0.25"/>
    <row r="8913" ht="16.5" customHeight="1" x14ac:dyDescent="0.25"/>
    <row r="8914" ht="16.5" customHeight="1" x14ac:dyDescent="0.25"/>
    <row r="8915" ht="16.5" customHeight="1" x14ac:dyDescent="0.25"/>
    <row r="8916" ht="16.5" customHeight="1" x14ac:dyDescent="0.25"/>
    <row r="8917" ht="16.5" customHeight="1" x14ac:dyDescent="0.25"/>
    <row r="8918" ht="16.5" customHeight="1" x14ac:dyDescent="0.25"/>
    <row r="8919" ht="16.5" customHeight="1" x14ac:dyDescent="0.25"/>
    <row r="8920" ht="16.5" customHeight="1" x14ac:dyDescent="0.25"/>
    <row r="8921" ht="16.5" customHeight="1" x14ac:dyDescent="0.25"/>
    <row r="8922" ht="16.5" customHeight="1" x14ac:dyDescent="0.25"/>
    <row r="8923" ht="16.5" customHeight="1" x14ac:dyDescent="0.25"/>
    <row r="8924" ht="16.5" customHeight="1" x14ac:dyDescent="0.25"/>
    <row r="8925" ht="16.5" customHeight="1" x14ac:dyDescent="0.25"/>
    <row r="8926" ht="16.5" customHeight="1" x14ac:dyDescent="0.25"/>
    <row r="8927" ht="16.5" customHeight="1" x14ac:dyDescent="0.25"/>
    <row r="8928" ht="16.5" customHeight="1" x14ac:dyDescent="0.25"/>
    <row r="8929" ht="16.5" customHeight="1" x14ac:dyDescent="0.25"/>
    <row r="8930" ht="16.5" customHeight="1" x14ac:dyDescent="0.25"/>
    <row r="8931" ht="16.5" customHeight="1" x14ac:dyDescent="0.25"/>
    <row r="8932" ht="16.5" customHeight="1" x14ac:dyDescent="0.25"/>
    <row r="8933" ht="16.5" customHeight="1" x14ac:dyDescent="0.25"/>
    <row r="8934" ht="16.5" customHeight="1" x14ac:dyDescent="0.25"/>
    <row r="8935" ht="16.5" customHeight="1" x14ac:dyDescent="0.25"/>
    <row r="8936" ht="16.5" customHeight="1" x14ac:dyDescent="0.25"/>
    <row r="8937" ht="16.5" customHeight="1" x14ac:dyDescent="0.25"/>
    <row r="8938" ht="16.5" customHeight="1" x14ac:dyDescent="0.25"/>
    <row r="8939" ht="16.5" customHeight="1" x14ac:dyDescent="0.25"/>
    <row r="8940" ht="16.5" customHeight="1" x14ac:dyDescent="0.25"/>
    <row r="8941" ht="16.5" customHeight="1" x14ac:dyDescent="0.25"/>
    <row r="8942" ht="16.5" customHeight="1" x14ac:dyDescent="0.25"/>
    <row r="8943" ht="16.5" customHeight="1" x14ac:dyDescent="0.25"/>
    <row r="8944" ht="16.5" customHeight="1" x14ac:dyDescent="0.25"/>
    <row r="8945" ht="16.5" customHeight="1" x14ac:dyDescent="0.25"/>
    <row r="8946" ht="16.5" customHeight="1" x14ac:dyDescent="0.25"/>
    <row r="8947" ht="16.5" customHeight="1" x14ac:dyDescent="0.25"/>
    <row r="8948" ht="16.5" customHeight="1" x14ac:dyDescent="0.25"/>
    <row r="8949" ht="16.5" customHeight="1" x14ac:dyDescent="0.25"/>
    <row r="8950" ht="16.5" customHeight="1" x14ac:dyDescent="0.25"/>
    <row r="8951" ht="16.5" customHeight="1" x14ac:dyDescent="0.25"/>
    <row r="8952" ht="16.5" customHeight="1" x14ac:dyDescent="0.25"/>
    <row r="8953" ht="16.5" customHeight="1" x14ac:dyDescent="0.25"/>
    <row r="8954" ht="16.5" customHeight="1" x14ac:dyDescent="0.25"/>
    <row r="8955" ht="16.5" customHeight="1" x14ac:dyDescent="0.25"/>
    <row r="8956" ht="16.5" customHeight="1" x14ac:dyDescent="0.25"/>
    <row r="8957" ht="16.5" customHeight="1" x14ac:dyDescent="0.25"/>
    <row r="8958" ht="16.5" customHeight="1" x14ac:dyDescent="0.25"/>
    <row r="8959" ht="16.5" customHeight="1" x14ac:dyDescent="0.25"/>
    <row r="8960" ht="16.5" customHeight="1" x14ac:dyDescent="0.25"/>
    <row r="8961" ht="16.5" customHeight="1" x14ac:dyDescent="0.25"/>
    <row r="8962" ht="16.5" customHeight="1" x14ac:dyDescent="0.25"/>
    <row r="8963" ht="16.5" customHeight="1" x14ac:dyDescent="0.25"/>
    <row r="8964" ht="16.5" customHeight="1" x14ac:dyDescent="0.25"/>
    <row r="8965" ht="16.5" customHeight="1" x14ac:dyDescent="0.25"/>
    <row r="8966" ht="16.5" customHeight="1" x14ac:dyDescent="0.25"/>
    <row r="8967" ht="16.5" customHeight="1" x14ac:dyDescent="0.25"/>
    <row r="8968" ht="16.5" customHeight="1" x14ac:dyDescent="0.25"/>
    <row r="8969" ht="16.5" customHeight="1" x14ac:dyDescent="0.25"/>
    <row r="8970" ht="16.5" customHeight="1" x14ac:dyDescent="0.25"/>
    <row r="8971" ht="16.5" customHeight="1" x14ac:dyDescent="0.25"/>
    <row r="8972" ht="16.5" customHeight="1" x14ac:dyDescent="0.25"/>
    <row r="8973" ht="16.5" customHeight="1" x14ac:dyDescent="0.25"/>
    <row r="8974" ht="16.5" customHeight="1" x14ac:dyDescent="0.25"/>
    <row r="8975" ht="16.5" customHeight="1" x14ac:dyDescent="0.25"/>
    <row r="8976" ht="16.5" customHeight="1" x14ac:dyDescent="0.25"/>
    <row r="8977" ht="16.5" customHeight="1" x14ac:dyDescent="0.25"/>
    <row r="8978" ht="16.5" customHeight="1" x14ac:dyDescent="0.25"/>
    <row r="8979" ht="16.5" customHeight="1" x14ac:dyDescent="0.25"/>
    <row r="8980" ht="16.5" customHeight="1" x14ac:dyDescent="0.25"/>
    <row r="8981" ht="16.5" customHeight="1" x14ac:dyDescent="0.25"/>
    <row r="8982" ht="16.5" customHeight="1" x14ac:dyDescent="0.25"/>
    <row r="8983" ht="16.5" customHeight="1" x14ac:dyDescent="0.25"/>
    <row r="8984" ht="16.5" customHeight="1" x14ac:dyDescent="0.25"/>
    <row r="8985" ht="16.5" customHeight="1" x14ac:dyDescent="0.25"/>
    <row r="8986" ht="16.5" customHeight="1" x14ac:dyDescent="0.25"/>
    <row r="8987" ht="16.5" customHeight="1" x14ac:dyDescent="0.25"/>
    <row r="8988" ht="16.5" customHeight="1" x14ac:dyDescent="0.25"/>
    <row r="8989" ht="16.5" customHeight="1" x14ac:dyDescent="0.25"/>
    <row r="8990" ht="16.5" customHeight="1" x14ac:dyDescent="0.25"/>
    <row r="8991" ht="16.5" customHeight="1" x14ac:dyDescent="0.25"/>
    <row r="8992" ht="16.5" customHeight="1" x14ac:dyDescent="0.25"/>
    <row r="8993" ht="16.5" customHeight="1" x14ac:dyDescent="0.25"/>
    <row r="8994" ht="16.5" customHeight="1" x14ac:dyDescent="0.25"/>
    <row r="8995" ht="16.5" customHeight="1" x14ac:dyDescent="0.25"/>
    <row r="8996" ht="16.5" customHeight="1" x14ac:dyDescent="0.25"/>
    <row r="8997" ht="16.5" customHeight="1" x14ac:dyDescent="0.25"/>
    <row r="8998" ht="16.5" customHeight="1" x14ac:dyDescent="0.25"/>
    <row r="8999" ht="16.5" customHeight="1" x14ac:dyDescent="0.25"/>
    <row r="9000" ht="16.5" customHeight="1" x14ac:dyDescent="0.25"/>
    <row r="9001" ht="16.5" customHeight="1" x14ac:dyDescent="0.25"/>
    <row r="9002" ht="16.5" customHeight="1" x14ac:dyDescent="0.25"/>
    <row r="9003" ht="16.5" customHeight="1" x14ac:dyDescent="0.25"/>
    <row r="9004" ht="16.5" customHeight="1" x14ac:dyDescent="0.25"/>
    <row r="9005" ht="16.5" customHeight="1" x14ac:dyDescent="0.25"/>
    <row r="9006" ht="16.5" customHeight="1" x14ac:dyDescent="0.25"/>
    <row r="9007" ht="16.5" customHeight="1" x14ac:dyDescent="0.25"/>
    <row r="9008" ht="16.5" customHeight="1" x14ac:dyDescent="0.25"/>
    <row r="9009" ht="16.5" customHeight="1" x14ac:dyDescent="0.25"/>
    <row r="9010" ht="16.5" customHeight="1" x14ac:dyDescent="0.25"/>
    <row r="9011" ht="16.5" customHeight="1" x14ac:dyDescent="0.25"/>
    <row r="9012" ht="16.5" customHeight="1" x14ac:dyDescent="0.25"/>
    <row r="9013" ht="16.5" customHeight="1" x14ac:dyDescent="0.25"/>
    <row r="9014" ht="16.5" customHeight="1" x14ac:dyDescent="0.25"/>
    <row r="9015" ht="16.5" customHeight="1" x14ac:dyDescent="0.25"/>
    <row r="9016" ht="16.5" customHeight="1" x14ac:dyDescent="0.25"/>
    <row r="9017" ht="16.5" customHeight="1" x14ac:dyDescent="0.25"/>
    <row r="9018" ht="16.5" customHeight="1" x14ac:dyDescent="0.25"/>
    <row r="9019" ht="16.5" customHeight="1" x14ac:dyDescent="0.25"/>
    <row r="9020" ht="16.5" customHeight="1" x14ac:dyDescent="0.25"/>
    <row r="9021" ht="16.5" customHeight="1" x14ac:dyDescent="0.25"/>
    <row r="9022" ht="16.5" customHeight="1" x14ac:dyDescent="0.25"/>
    <row r="9023" ht="16.5" customHeight="1" x14ac:dyDescent="0.25"/>
    <row r="9024" ht="16.5" customHeight="1" x14ac:dyDescent="0.25"/>
    <row r="9025" ht="16.5" customHeight="1" x14ac:dyDescent="0.25"/>
    <row r="9026" ht="16.5" customHeight="1" x14ac:dyDescent="0.25"/>
    <row r="9027" ht="16.5" customHeight="1" x14ac:dyDescent="0.25"/>
    <row r="9028" ht="16.5" customHeight="1" x14ac:dyDescent="0.25"/>
    <row r="9029" ht="16.5" customHeight="1" x14ac:dyDescent="0.25"/>
    <row r="9030" ht="16.5" customHeight="1" x14ac:dyDescent="0.25"/>
    <row r="9031" ht="16.5" customHeight="1" x14ac:dyDescent="0.25"/>
    <row r="9032" ht="16.5" customHeight="1" x14ac:dyDescent="0.25"/>
    <row r="9033" ht="16.5" customHeight="1" x14ac:dyDescent="0.25"/>
    <row r="9034" ht="16.5" customHeight="1" x14ac:dyDescent="0.25"/>
    <row r="9035" ht="16.5" customHeight="1" x14ac:dyDescent="0.25"/>
    <row r="9036" ht="16.5" customHeight="1" x14ac:dyDescent="0.25"/>
    <row r="9037" ht="16.5" customHeight="1" x14ac:dyDescent="0.25"/>
    <row r="9038" ht="16.5" customHeight="1" x14ac:dyDescent="0.25"/>
    <row r="9039" ht="16.5" customHeight="1" x14ac:dyDescent="0.25"/>
    <row r="9040" ht="16.5" customHeight="1" x14ac:dyDescent="0.25"/>
    <row r="9041" ht="16.5" customHeight="1" x14ac:dyDescent="0.25"/>
    <row r="9042" ht="16.5" customHeight="1" x14ac:dyDescent="0.25"/>
    <row r="9043" ht="16.5" customHeight="1" x14ac:dyDescent="0.25"/>
    <row r="9044" ht="16.5" customHeight="1" x14ac:dyDescent="0.25"/>
    <row r="9045" ht="16.5" customHeight="1" x14ac:dyDescent="0.25"/>
    <row r="9046" ht="16.5" customHeight="1" x14ac:dyDescent="0.25"/>
    <row r="9047" ht="16.5" customHeight="1" x14ac:dyDescent="0.25"/>
    <row r="9048" ht="16.5" customHeight="1" x14ac:dyDescent="0.25"/>
    <row r="9049" ht="16.5" customHeight="1" x14ac:dyDescent="0.25"/>
    <row r="9050" ht="16.5" customHeight="1" x14ac:dyDescent="0.25"/>
    <row r="9051" ht="16.5" customHeight="1" x14ac:dyDescent="0.25"/>
    <row r="9052" ht="16.5" customHeight="1" x14ac:dyDescent="0.25"/>
    <row r="9053" ht="16.5" customHeight="1" x14ac:dyDescent="0.25"/>
    <row r="9054" ht="16.5" customHeight="1" x14ac:dyDescent="0.25"/>
    <row r="9055" ht="16.5" customHeight="1" x14ac:dyDescent="0.25"/>
    <row r="9056" ht="16.5" customHeight="1" x14ac:dyDescent="0.25"/>
    <row r="9057" ht="16.5" customHeight="1" x14ac:dyDescent="0.25"/>
    <row r="9058" ht="16.5" customHeight="1" x14ac:dyDescent="0.25"/>
    <row r="9059" ht="16.5" customHeight="1" x14ac:dyDescent="0.25"/>
    <row r="9060" ht="16.5" customHeight="1" x14ac:dyDescent="0.25"/>
    <row r="9061" ht="16.5" customHeight="1" x14ac:dyDescent="0.25"/>
    <row r="9062" ht="16.5" customHeight="1" x14ac:dyDescent="0.25"/>
    <row r="9063" ht="16.5" customHeight="1" x14ac:dyDescent="0.25"/>
    <row r="9064" ht="16.5" customHeight="1" x14ac:dyDescent="0.25"/>
    <row r="9065" ht="16.5" customHeight="1" x14ac:dyDescent="0.25"/>
    <row r="9066" ht="16.5" customHeight="1" x14ac:dyDescent="0.25"/>
    <row r="9067" ht="16.5" customHeight="1" x14ac:dyDescent="0.25"/>
    <row r="9068" ht="16.5" customHeight="1" x14ac:dyDescent="0.25"/>
    <row r="9069" ht="16.5" customHeight="1" x14ac:dyDescent="0.25"/>
    <row r="9070" ht="16.5" customHeight="1" x14ac:dyDescent="0.25"/>
    <row r="9071" ht="16.5" customHeight="1" x14ac:dyDescent="0.25"/>
    <row r="9072" ht="16.5" customHeight="1" x14ac:dyDescent="0.25"/>
    <row r="9073" ht="16.5" customHeight="1" x14ac:dyDescent="0.25"/>
    <row r="9074" ht="16.5" customHeight="1" x14ac:dyDescent="0.25"/>
    <row r="9075" ht="16.5" customHeight="1" x14ac:dyDescent="0.25"/>
    <row r="9076" ht="16.5" customHeight="1" x14ac:dyDescent="0.25"/>
    <row r="9077" ht="16.5" customHeight="1" x14ac:dyDescent="0.25"/>
    <row r="9078" ht="16.5" customHeight="1" x14ac:dyDescent="0.25"/>
    <row r="9079" ht="16.5" customHeight="1" x14ac:dyDescent="0.25"/>
    <row r="9080" ht="16.5" customHeight="1" x14ac:dyDescent="0.25"/>
    <row r="9081" ht="16.5" customHeight="1" x14ac:dyDescent="0.25"/>
    <row r="9082" ht="16.5" customHeight="1" x14ac:dyDescent="0.25"/>
    <row r="9083" ht="16.5" customHeight="1" x14ac:dyDescent="0.25"/>
    <row r="9084" ht="16.5" customHeight="1" x14ac:dyDescent="0.25"/>
    <row r="9085" ht="16.5" customHeight="1" x14ac:dyDescent="0.25"/>
    <row r="9086" ht="16.5" customHeight="1" x14ac:dyDescent="0.25"/>
    <row r="9087" ht="16.5" customHeight="1" x14ac:dyDescent="0.25"/>
    <row r="9088" ht="16.5" customHeight="1" x14ac:dyDescent="0.25"/>
    <row r="9089" ht="16.5" customHeight="1" x14ac:dyDescent="0.25"/>
    <row r="9090" ht="16.5" customHeight="1" x14ac:dyDescent="0.25"/>
    <row r="9091" ht="16.5" customHeight="1" x14ac:dyDescent="0.25"/>
    <row r="9092" ht="16.5" customHeight="1" x14ac:dyDescent="0.25"/>
    <row r="9093" ht="16.5" customHeight="1" x14ac:dyDescent="0.25"/>
    <row r="9094" ht="16.5" customHeight="1" x14ac:dyDescent="0.25"/>
    <row r="9095" ht="16.5" customHeight="1" x14ac:dyDescent="0.25"/>
    <row r="9096" ht="16.5" customHeight="1" x14ac:dyDescent="0.25"/>
    <row r="9097" ht="16.5" customHeight="1" x14ac:dyDescent="0.25"/>
    <row r="9098" ht="16.5" customHeight="1" x14ac:dyDescent="0.25"/>
    <row r="9099" ht="16.5" customHeight="1" x14ac:dyDescent="0.25"/>
    <row r="9100" ht="16.5" customHeight="1" x14ac:dyDescent="0.25"/>
    <row r="9101" ht="16.5" customHeight="1" x14ac:dyDescent="0.25"/>
    <row r="9102" ht="16.5" customHeight="1" x14ac:dyDescent="0.25"/>
    <row r="9103" ht="16.5" customHeight="1" x14ac:dyDescent="0.25"/>
    <row r="9104" ht="16.5" customHeight="1" x14ac:dyDescent="0.25"/>
    <row r="9105" ht="16.5" customHeight="1" x14ac:dyDescent="0.25"/>
    <row r="9106" ht="16.5" customHeight="1" x14ac:dyDescent="0.25"/>
    <row r="9107" ht="16.5" customHeight="1" x14ac:dyDescent="0.25"/>
    <row r="9108" ht="16.5" customHeight="1" x14ac:dyDescent="0.25"/>
    <row r="9109" ht="16.5" customHeight="1" x14ac:dyDescent="0.25"/>
    <row r="9110" ht="16.5" customHeight="1" x14ac:dyDescent="0.25"/>
    <row r="9111" ht="16.5" customHeight="1" x14ac:dyDescent="0.25"/>
    <row r="9112" ht="16.5" customHeight="1" x14ac:dyDescent="0.25"/>
    <row r="9113" ht="16.5" customHeight="1" x14ac:dyDescent="0.25"/>
    <row r="9114" ht="16.5" customHeight="1" x14ac:dyDescent="0.25"/>
    <row r="9115" ht="16.5" customHeight="1" x14ac:dyDescent="0.25"/>
    <row r="9116" ht="16.5" customHeight="1" x14ac:dyDescent="0.25"/>
    <row r="9117" ht="16.5" customHeight="1" x14ac:dyDescent="0.25"/>
    <row r="9118" ht="16.5" customHeight="1" x14ac:dyDescent="0.25"/>
    <row r="9119" ht="16.5" customHeight="1" x14ac:dyDescent="0.25"/>
    <row r="9120" ht="16.5" customHeight="1" x14ac:dyDescent="0.25"/>
    <row r="9121" ht="16.5" customHeight="1" x14ac:dyDescent="0.25"/>
    <row r="9122" ht="16.5" customHeight="1" x14ac:dyDescent="0.25"/>
    <row r="9123" ht="16.5" customHeight="1" x14ac:dyDescent="0.25"/>
    <row r="9124" ht="16.5" customHeight="1" x14ac:dyDescent="0.25"/>
    <row r="9125" ht="16.5" customHeight="1" x14ac:dyDescent="0.25"/>
    <row r="9126" ht="16.5" customHeight="1" x14ac:dyDescent="0.25"/>
    <row r="9127" ht="16.5" customHeight="1" x14ac:dyDescent="0.25"/>
    <row r="9128" ht="16.5" customHeight="1" x14ac:dyDescent="0.25"/>
    <row r="9129" ht="16.5" customHeight="1" x14ac:dyDescent="0.25"/>
    <row r="9130" ht="16.5" customHeight="1" x14ac:dyDescent="0.25"/>
    <row r="9131" ht="16.5" customHeight="1" x14ac:dyDescent="0.25"/>
    <row r="9132" ht="16.5" customHeight="1" x14ac:dyDescent="0.25"/>
    <row r="9133" ht="16.5" customHeight="1" x14ac:dyDescent="0.25"/>
    <row r="9134" ht="16.5" customHeight="1" x14ac:dyDescent="0.25"/>
    <row r="9135" ht="16.5" customHeight="1" x14ac:dyDescent="0.25"/>
    <row r="9136" ht="16.5" customHeight="1" x14ac:dyDescent="0.25"/>
    <row r="9137" ht="16.5" customHeight="1" x14ac:dyDescent="0.25"/>
    <row r="9138" ht="16.5" customHeight="1" x14ac:dyDescent="0.25"/>
    <row r="9139" ht="16.5" customHeight="1" x14ac:dyDescent="0.25"/>
    <row r="9140" ht="16.5" customHeight="1" x14ac:dyDescent="0.25"/>
    <row r="9141" ht="16.5" customHeight="1" x14ac:dyDescent="0.25"/>
    <row r="9142" ht="16.5" customHeight="1" x14ac:dyDescent="0.25"/>
    <row r="9143" ht="16.5" customHeight="1" x14ac:dyDescent="0.25"/>
    <row r="9144" ht="16.5" customHeight="1" x14ac:dyDescent="0.25"/>
    <row r="9145" ht="16.5" customHeight="1" x14ac:dyDescent="0.25"/>
    <row r="9146" ht="16.5" customHeight="1" x14ac:dyDescent="0.25"/>
    <row r="9147" ht="16.5" customHeight="1" x14ac:dyDescent="0.25"/>
    <row r="9148" ht="16.5" customHeight="1" x14ac:dyDescent="0.25"/>
    <row r="9149" ht="16.5" customHeight="1" x14ac:dyDescent="0.25"/>
    <row r="9150" ht="16.5" customHeight="1" x14ac:dyDescent="0.25"/>
    <row r="9151" ht="16.5" customHeight="1" x14ac:dyDescent="0.25"/>
    <row r="9152" ht="16.5" customHeight="1" x14ac:dyDescent="0.25"/>
    <row r="9153" ht="16.5" customHeight="1" x14ac:dyDescent="0.25"/>
    <row r="9154" ht="16.5" customHeight="1" x14ac:dyDescent="0.25"/>
    <row r="9155" ht="16.5" customHeight="1" x14ac:dyDescent="0.25"/>
    <row r="9156" ht="16.5" customHeight="1" x14ac:dyDescent="0.25"/>
    <row r="9157" ht="16.5" customHeight="1" x14ac:dyDescent="0.25"/>
    <row r="9158" ht="16.5" customHeight="1" x14ac:dyDescent="0.25"/>
    <row r="9159" ht="16.5" customHeight="1" x14ac:dyDescent="0.25"/>
    <row r="9160" ht="16.5" customHeight="1" x14ac:dyDescent="0.25"/>
    <row r="9161" ht="16.5" customHeight="1" x14ac:dyDescent="0.25"/>
    <row r="9162" ht="16.5" customHeight="1" x14ac:dyDescent="0.25"/>
    <row r="9163" ht="16.5" customHeight="1" x14ac:dyDescent="0.25"/>
    <row r="9164" ht="16.5" customHeight="1" x14ac:dyDescent="0.25"/>
    <row r="9165" ht="16.5" customHeight="1" x14ac:dyDescent="0.25"/>
    <row r="9166" ht="16.5" customHeight="1" x14ac:dyDescent="0.25"/>
    <row r="9167" ht="16.5" customHeight="1" x14ac:dyDescent="0.25"/>
    <row r="9168" ht="16.5" customHeight="1" x14ac:dyDescent="0.25"/>
    <row r="9169" ht="16.5" customHeight="1" x14ac:dyDescent="0.25"/>
    <row r="9170" ht="16.5" customHeight="1" x14ac:dyDescent="0.25"/>
    <row r="9171" ht="16.5" customHeight="1" x14ac:dyDescent="0.25"/>
    <row r="9172" ht="16.5" customHeight="1" x14ac:dyDescent="0.25"/>
    <row r="9173" ht="16.5" customHeight="1" x14ac:dyDescent="0.25"/>
    <row r="9174" ht="16.5" customHeight="1" x14ac:dyDescent="0.25"/>
    <row r="9175" ht="16.5" customHeight="1" x14ac:dyDescent="0.25"/>
    <row r="9176" ht="16.5" customHeight="1" x14ac:dyDescent="0.25"/>
    <row r="9177" ht="16.5" customHeight="1" x14ac:dyDescent="0.25"/>
    <row r="9178" ht="16.5" customHeight="1" x14ac:dyDescent="0.25"/>
    <row r="9179" ht="16.5" customHeight="1" x14ac:dyDescent="0.25"/>
    <row r="9180" ht="16.5" customHeight="1" x14ac:dyDescent="0.25"/>
    <row r="9181" ht="16.5" customHeight="1" x14ac:dyDescent="0.25"/>
    <row r="9182" ht="16.5" customHeight="1" x14ac:dyDescent="0.25"/>
    <row r="9183" ht="16.5" customHeight="1" x14ac:dyDescent="0.25"/>
    <row r="9184" ht="16.5" customHeight="1" x14ac:dyDescent="0.25"/>
    <row r="9185" ht="16.5" customHeight="1" x14ac:dyDescent="0.25"/>
    <row r="9186" ht="16.5" customHeight="1" x14ac:dyDescent="0.25"/>
    <row r="9187" ht="16.5" customHeight="1" x14ac:dyDescent="0.25"/>
    <row r="9188" ht="16.5" customHeight="1" x14ac:dyDescent="0.25"/>
    <row r="9189" ht="16.5" customHeight="1" x14ac:dyDescent="0.25"/>
    <row r="9190" ht="16.5" customHeight="1" x14ac:dyDescent="0.25"/>
    <row r="9191" ht="16.5" customHeight="1" x14ac:dyDescent="0.25"/>
    <row r="9192" ht="16.5" customHeight="1" x14ac:dyDescent="0.25"/>
    <row r="9193" ht="16.5" customHeight="1" x14ac:dyDescent="0.25"/>
    <row r="9194" ht="16.5" customHeight="1" x14ac:dyDescent="0.25"/>
    <row r="9195" ht="16.5" customHeight="1" x14ac:dyDescent="0.25"/>
    <row r="9196" ht="16.5" customHeight="1" x14ac:dyDescent="0.25"/>
    <row r="9197" ht="16.5" customHeight="1" x14ac:dyDescent="0.25"/>
    <row r="9198" ht="16.5" customHeight="1" x14ac:dyDescent="0.25"/>
    <row r="9199" ht="16.5" customHeight="1" x14ac:dyDescent="0.25"/>
    <row r="9200" ht="16.5" customHeight="1" x14ac:dyDescent="0.25"/>
    <row r="9201" ht="16.5" customHeight="1" x14ac:dyDescent="0.25"/>
    <row r="9202" ht="16.5" customHeight="1" x14ac:dyDescent="0.25"/>
    <row r="9203" ht="16.5" customHeight="1" x14ac:dyDescent="0.25"/>
    <row r="9204" ht="16.5" customHeight="1" x14ac:dyDescent="0.25"/>
    <row r="9205" ht="16.5" customHeight="1" x14ac:dyDescent="0.25"/>
    <row r="9206" ht="16.5" customHeight="1" x14ac:dyDescent="0.25"/>
    <row r="9207" ht="16.5" customHeight="1" x14ac:dyDescent="0.25"/>
    <row r="9208" ht="16.5" customHeight="1" x14ac:dyDescent="0.25"/>
    <row r="9209" ht="16.5" customHeight="1" x14ac:dyDescent="0.25"/>
    <row r="9210" ht="16.5" customHeight="1" x14ac:dyDescent="0.25"/>
    <row r="9211" ht="16.5" customHeight="1" x14ac:dyDescent="0.25"/>
    <row r="9212" ht="16.5" customHeight="1" x14ac:dyDescent="0.25"/>
    <row r="9213" ht="16.5" customHeight="1" x14ac:dyDescent="0.25"/>
    <row r="9214" ht="16.5" customHeight="1" x14ac:dyDescent="0.25"/>
    <row r="9215" ht="16.5" customHeight="1" x14ac:dyDescent="0.25"/>
    <row r="9216" ht="16.5" customHeight="1" x14ac:dyDescent="0.25"/>
    <row r="9217" ht="16.5" customHeight="1" x14ac:dyDescent="0.25"/>
    <row r="9218" ht="16.5" customHeight="1" x14ac:dyDescent="0.25"/>
    <row r="9219" ht="16.5" customHeight="1" x14ac:dyDescent="0.25"/>
    <row r="9220" ht="16.5" customHeight="1" x14ac:dyDescent="0.25"/>
    <row r="9221" ht="16.5" customHeight="1" x14ac:dyDescent="0.25"/>
    <row r="9222" ht="16.5" customHeight="1" x14ac:dyDescent="0.25"/>
    <row r="9223" ht="16.5" customHeight="1" x14ac:dyDescent="0.25"/>
    <row r="9224" ht="16.5" customHeight="1" x14ac:dyDescent="0.25"/>
    <row r="9225" ht="16.5" customHeight="1" x14ac:dyDescent="0.25"/>
    <row r="9226" ht="16.5" customHeight="1" x14ac:dyDescent="0.25"/>
    <row r="9227" ht="16.5" customHeight="1" x14ac:dyDescent="0.25"/>
    <row r="9228" ht="16.5" customHeight="1" x14ac:dyDescent="0.25"/>
    <row r="9229" ht="16.5" customHeight="1" x14ac:dyDescent="0.25"/>
    <row r="9230" ht="16.5" customHeight="1" x14ac:dyDescent="0.25"/>
    <row r="9231" ht="16.5" customHeight="1" x14ac:dyDescent="0.25"/>
    <row r="9232" ht="16.5" customHeight="1" x14ac:dyDescent="0.25"/>
    <row r="9233" ht="16.5" customHeight="1" x14ac:dyDescent="0.25"/>
    <row r="9234" ht="16.5" customHeight="1" x14ac:dyDescent="0.25"/>
    <row r="9235" ht="16.5" customHeight="1" x14ac:dyDescent="0.25"/>
    <row r="9236" ht="16.5" customHeight="1" x14ac:dyDescent="0.25"/>
    <row r="9237" ht="16.5" customHeight="1" x14ac:dyDescent="0.25"/>
    <row r="9238" ht="16.5" customHeight="1" x14ac:dyDescent="0.25"/>
    <row r="9239" ht="16.5" customHeight="1" x14ac:dyDescent="0.25"/>
    <row r="9240" ht="16.5" customHeight="1" x14ac:dyDescent="0.25"/>
    <row r="9241" ht="16.5" customHeight="1" x14ac:dyDescent="0.25"/>
    <row r="9242" ht="16.5" customHeight="1" x14ac:dyDescent="0.25"/>
    <row r="9243" ht="16.5" customHeight="1" x14ac:dyDescent="0.25"/>
    <row r="9244" ht="16.5" customHeight="1" x14ac:dyDescent="0.25"/>
    <row r="9245" ht="16.5" customHeight="1" x14ac:dyDescent="0.25"/>
    <row r="9246" ht="16.5" customHeight="1" x14ac:dyDescent="0.25"/>
    <row r="9247" ht="16.5" customHeight="1" x14ac:dyDescent="0.25"/>
    <row r="9248" ht="16.5" customHeight="1" x14ac:dyDescent="0.25"/>
    <row r="9249" ht="16.5" customHeight="1" x14ac:dyDescent="0.25"/>
    <row r="9250" ht="16.5" customHeight="1" x14ac:dyDescent="0.25"/>
    <row r="9251" ht="16.5" customHeight="1" x14ac:dyDescent="0.25"/>
    <row r="9252" ht="16.5" customHeight="1" x14ac:dyDescent="0.25"/>
    <row r="9253" ht="16.5" customHeight="1" x14ac:dyDescent="0.25"/>
    <row r="9254" ht="16.5" customHeight="1" x14ac:dyDescent="0.25"/>
    <row r="9255" ht="16.5" customHeight="1" x14ac:dyDescent="0.25"/>
    <row r="9256" ht="16.5" customHeight="1" x14ac:dyDescent="0.25"/>
    <row r="9257" ht="16.5" customHeight="1" x14ac:dyDescent="0.25"/>
    <row r="9258" ht="16.5" customHeight="1" x14ac:dyDescent="0.25"/>
    <row r="9259" ht="16.5" customHeight="1" x14ac:dyDescent="0.25"/>
    <row r="9260" ht="16.5" customHeight="1" x14ac:dyDescent="0.25"/>
    <row r="9261" ht="16.5" customHeight="1" x14ac:dyDescent="0.25"/>
    <row r="9262" ht="16.5" customHeight="1" x14ac:dyDescent="0.25"/>
    <row r="9263" ht="16.5" customHeight="1" x14ac:dyDescent="0.25"/>
    <row r="9264" ht="16.5" customHeight="1" x14ac:dyDescent="0.25"/>
    <row r="9265" ht="16.5" customHeight="1" x14ac:dyDescent="0.25"/>
    <row r="9266" ht="16.5" customHeight="1" x14ac:dyDescent="0.25"/>
    <row r="9267" ht="16.5" customHeight="1" x14ac:dyDescent="0.25"/>
    <row r="9268" ht="16.5" customHeight="1" x14ac:dyDescent="0.25"/>
    <row r="9269" ht="16.5" customHeight="1" x14ac:dyDescent="0.25"/>
    <row r="9270" ht="16.5" customHeight="1" x14ac:dyDescent="0.25"/>
    <row r="9271" ht="16.5" customHeight="1" x14ac:dyDescent="0.25"/>
    <row r="9272" ht="16.5" customHeight="1" x14ac:dyDescent="0.25"/>
    <row r="9273" ht="16.5" customHeight="1" x14ac:dyDescent="0.25"/>
    <row r="9274" ht="16.5" customHeight="1" x14ac:dyDescent="0.25"/>
    <row r="9275" ht="16.5" customHeight="1" x14ac:dyDescent="0.25"/>
    <row r="9276" ht="16.5" customHeight="1" x14ac:dyDescent="0.25"/>
    <row r="9277" ht="16.5" customHeight="1" x14ac:dyDescent="0.25"/>
    <row r="9278" ht="16.5" customHeight="1" x14ac:dyDescent="0.25"/>
    <row r="9279" ht="16.5" customHeight="1" x14ac:dyDescent="0.25"/>
    <row r="9280" ht="16.5" customHeight="1" x14ac:dyDescent="0.25"/>
    <row r="9281" ht="16.5" customHeight="1" x14ac:dyDescent="0.25"/>
    <row r="9282" ht="16.5" customHeight="1" x14ac:dyDescent="0.25"/>
    <row r="9283" ht="16.5" customHeight="1" x14ac:dyDescent="0.25"/>
    <row r="9284" ht="16.5" customHeight="1" x14ac:dyDescent="0.25"/>
    <row r="9285" ht="16.5" customHeight="1" x14ac:dyDescent="0.25"/>
    <row r="9286" ht="16.5" customHeight="1" x14ac:dyDescent="0.25"/>
    <row r="9287" ht="16.5" customHeight="1" x14ac:dyDescent="0.25"/>
    <row r="9288" ht="16.5" customHeight="1" x14ac:dyDescent="0.25"/>
    <row r="9289" ht="16.5" customHeight="1" x14ac:dyDescent="0.25"/>
    <row r="9290" ht="16.5" customHeight="1" x14ac:dyDescent="0.25"/>
    <row r="9291" ht="16.5" customHeight="1" x14ac:dyDescent="0.25"/>
    <row r="9292" ht="16.5" customHeight="1" x14ac:dyDescent="0.25"/>
    <row r="9293" ht="16.5" customHeight="1" x14ac:dyDescent="0.25"/>
    <row r="9294" ht="16.5" customHeight="1" x14ac:dyDescent="0.25"/>
    <row r="9295" ht="16.5" customHeight="1" x14ac:dyDescent="0.25"/>
    <row r="9296" ht="16.5" customHeight="1" x14ac:dyDescent="0.25"/>
    <row r="9297" ht="16.5" customHeight="1" x14ac:dyDescent="0.25"/>
    <row r="9298" ht="16.5" customHeight="1" x14ac:dyDescent="0.25"/>
    <row r="9299" ht="16.5" customHeight="1" x14ac:dyDescent="0.25"/>
    <row r="9300" ht="16.5" customHeight="1" x14ac:dyDescent="0.25"/>
    <row r="9301" ht="16.5" customHeight="1" x14ac:dyDescent="0.25"/>
    <row r="9302" ht="16.5" customHeight="1" x14ac:dyDescent="0.25"/>
    <row r="9303" ht="16.5" customHeight="1" x14ac:dyDescent="0.25"/>
    <row r="9304" ht="16.5" customHeight="1" x14ac:dyDescent="0.25"/>
    <row r="9305" ht="16.5" customHeight="1" x14ac:dyDescent="0.25"/>
    <row r="9306" ht="16.5" customHeight="1" x14ac:dyDescent="0.25"/>
    <row r="9307" ht="16.5" customHeight="1" x14ac:dyDescent="0.25"/>
    <row r="9308" ht="16.5" customHeight="1" x14ac:dyDescent="0.25"/>
    <row r="9309" ht="16.5" customHeight="1" x14ac:dyDescent="0.25"/>
    <row r="9310" ht="16.5" customHeight="1" x14ac:dyDescent="0.25"/>
    <row r="9311" ht="16.5" customHeight="1" x14ac:dyDescent="0.25"/>
    <row r="9312" ht="16.5" customHeight="1" x14ac:dyDescent="0.25"/>
    <row r="9313" ht="16.5" customHeight="1" x14ac:dyDescent="0.25"/>
    <row r="9314" ht="16.5" customHeight="1" x14ac:dyDescent="0.25"/>
    <row r="9315" ht="16.5" customHeight="1" x14ac:dyDescent="0.25"/>
    <row r="9316" ht="16.5" customHeight="1" x14ac:dyDescent="0.25"/>
    <row r="9317" ht="16.5" customHeight="1" x14ac:dyDescent="0.25"/>
    <row r="9318" ht="16.5" customHeight="1" x14ac:dyDescent="0.25"/>
    <row r="9319" ht="16.5" customHeight="1" x14ac:dyDescent="0.25"/>
    <row r="9320" ht="16.5" customHeight="1" x14ac:dyDescent="0.25"/>
    <row r="9321" ht="16.5" customHeight="1" x14ac:dyDescent="0.25"/>
    <row r="9322" ht="16.5" customHeight="1" x14ac:dyDescent="0.25"/>
    <row r="9323" ht="16.5" customHeight="1" x14ac:dyDescent="0.25"/>
    <row r="9324" ht="16.5" customHeight="1" x14ac:dyDescent="0.25"/>
    <row r="9325" ht="16.5" customHeight="1" x14ac:dyDescent="0.25"/>
    <row r="9326" ht="16.5" customHeight="1" x14ac:dyDescent="0.25"/>
    <row r="9327" ht="16.5" customHeight="1" x14ac:dyDescent="0.25"/>
    <row r="9328" ht="16.5" customHeight="1" x14ac:dyDescent="0.25"/>
    <row r="9329" ht="16.5" customHeight="1" x14ac:dyDescent="0.25"/>
    <row r="9330" ht="16.5" customHeight="1" x14ac:dyDescent="0.25"/>
    <row r="9331" ht="16.5" customHeight="1" x14ac:dyDescent="0.25"/>
    <row r="9332" ht="16.5" customHeight="1" x14ac:dyDescent="0.25"/>
    <row r="9333" ht="16.5" customHeight="1" x14ac:dyDescent="0.25"/>
    <row r="9334" ht="16.5" customHeight="1" x14ac:dyDescent="0.25"/>
    <row r="9335" ht="16.5" customHeight="1" x14ac:dyDescent="0.25"/>
    <row r="9336" ht="16.5" customHeight="1" x14ac:dyDescent="0.25"/>
    <row r="9337" ht="16.5" customHeight="1" x14ac:dyDescent="0.25"/>
    <row r="9338" ht="16.5" customHeight="1" x14ac:dyDescent="0.25"/>
    <row r="9339" ht="16.5" customHeight="1" x14ac:dyDescent="0.25"/>
    <row r="9340" ht="16.5" customHeight="1" x14ac:dyDescent="0.25"/>
    <row r="9341" ht="16.5" customHeight="1" x14ac:dyDescent="0.25"/>
    <row r="9342" ht="16.5" customHeight="1" x14ac:dyDescent="0.25"/>
    <row r="9343" ht="16.5" customHeight="1" x14ac:dyDescent="0.25"/>
    <row r="9344" ht="16.5" customHeight="1" x14ac:dyDescent="0.25"/>
    <row r="9345" ht="16.5" customHeight="1" x14ac:dyDescent="0.25"/>
    <row r="9346" ht="16.5" customHeight="1" x14ac:dyDescent="0.25"/>
    <row r="9347" ht="16.5" customHeight="1" x14ac:dyDescent="0.25"/>
    <row r="9348" ht="16.5" customHeight="1" x14ac:dyDescent="0.25"/>
    <row r="9349" ht="16.5" customHeight="1" x14ac:dyDescent="0.25"/>
    <row r="9350" ht="16.5" customHeight="1" x14ac:dyDescent="0.25"/>
    <row r="9351" ht="16.5" customHeight="1" x14ac:dyDescent="0.25"/>
    <row r="9352" ht="16.5" customHeight="1" x14ac:dyDescent="0.25"/>
    <row r="9353" ht="16.5" customHeight="1" x14ac:dyDescent="0.25"/>
    <row r="9354" ht="16.5" customHeight="1" x14ac:dyDescent="0.25"/>
    <row r="9355" ht="16.5" customHeight="1" x14ac:dyDescent="0.25"/>
    <row r="9356" ht="16.5" customHeight="1" x14ac:dyDescent="0.25"/>
    <row r="9357" ht="16.5" customHeight="1" x14ac:dyDescent="0.25"/>
    <row r="9358" ht="16.5" customHeight="1" x14ac:dyDescent="0.25"/>
    <row r="9359" ht="16.5" customHeight="1" x14ac:dyDescent="0.25"/>
    <row r="9360" ht="16.5" customHeight="1" x14ac:dyDescent="0.25"/>
    <row r="9361" ht="16.5" customHeight="1" x14ac:dyDescent="0.25"/>
    <row r="9362" ht="16.5" customHeight="1" x14ac:dyDescent="0.25"/>
    <row r="9363" ht="16.5" customHeight="1" x14ac:dyDescent="0.25"/>
    <row r="9364" ht="16.5" customHeight="1" x14ac:dyDescent="0.25"/>
    <row r="9365" ht="16.5" customHeight="1" x14ac:dyDescent="0.25"/>
    <row r="9366" ht="16.5" customHeight="1" x14ac:dyDescent="0.25"/>
    <row r="9367" ht="16.5" customHeight="1" x14ac:dyDescent="0.25"/>
    <row r="9368" ht="16.5" customHeight="1" x14ac:dyDescent="0.25"/>
    <row r="9369" ht="16.5" customHeight="1" x14ac:dyDescent="0.25"/>
    <row r="9370" ht="16.5" customHeight="1" x14ac:dyDescent="0.25"/>
    <row r="9371" ht="16.5" customHeight="1" x14ac:dyDescent="0.25"/>
    <row r="9372" ht="16.5" customHeight="1" x14ac:dyDescent="0.25"/>
    <row r="9373" ht="16.5" customHeight="1" x14ac:dyDescent="0.25"/>
    <row r="9374" ht="16.5" customHeight="1" x14ac:dyDescent="0.25"/>
    <row r="9375" ht="16.5" customHeight="1" x14ac:dyDescent="0.25"/>
    <row r="9376" ht="16.5" customHeight="1" x14ac:dyDescent="0.25"/>
    <row r="9377" ht="16.5" customHeight="1" x14ac:dyDescent="0.25"/>
    <row r="9378" ht="16.5" customHeight="1" x14ac:dyDescent="0.25"/>
    <row r="9379" ht="16.5" customHeight="1" x14ac:dyDescent="0.25"/>
    <row r="9380" ht="16.5" customHeight="1" x14ac:dyDescent="0.25"/>
    <row r="9381" ht="16.5" customHeight="1" x14ac:dyDescent="0.25"/>
    <row r="9382" ht="16.5" customHeight="1" x14ac:dyDescent="0.25"/>
    <row r="9383" ht="16.5" customHeight="1" x14ac:dyDescent="0.25"/>
    <row r="9384" ht="16.5" customHeight="1" x14ac:dyDescent="0.25"/>
    <row r="9385" ht="16.5" customHeight="1" x14ac:dyDescent="0.25"/>
    <row r="9386" ht="16.5" customHeight="1" x14ac:dyDescent="0.25"/>
    <row r="9387" ht="16.5" customHeight="1" x14ac:dyDescent="0.25"/>
    <row r="9388" ht="16.5" customHeight="1" x14ac:dyDescent="0.25"/>
    <row r="9389" ht="16.5" customHeight="1" x14ac:dyDescent="0.25"/>
    <row r="9390" ht="16.5" customHeight="1" x14ac:dyDescent="0.25"/>
    <row r="9391" ht="16.5" customHeight="1" x14ac:dyDescent="0.25"/>
    <row r="9392" ht="16.5" customHeight="1" x14ac:dyDescent="0.25"/>
    <row r="9393" ht="16.5" customHeight="1" x14ac:dyDescent="0.25"/>
    <row r="9394" ht="16.5" customHeight="1" x14ac:dyDescent="0.25"/>
    <row r="9395" ht="16.5" customHeight="1" x14ac:dyDescent="0.25"/>
    <row r="9396" ht="16.5" customHeight="1" x14ac:dyDescent="0.25"/>
    <row r="9397" ht="16.5" customHeight="1" x14ac:dyDescent="0.25"/>
    <row r="9398" ht="16.5" customHeight="1" x14ac:dyDescent="0.25"/>
    <row r="9399" ht="16.5" customHeight="1" x14ac:dyDescent="0.25"/>
    <row r="9400" ht="16.5" customHeight="1" x14ac:dyDescent="0.25"/>
    <row r="9401" ht="16.5" customHeight="1" x14ac:dyDescent="0.25"/>
    <row r="9402" ht="16.5" customHeight="1" x14ac:dyDescent="0.25"/>
    <row r="9403" ht="16.5" customHeight="1" x14ac:dyDescent="0.25"/>
    <row r="9404" ht="16.5" customHeight="1" x14ac:dyDescent="0.25"/>
    <row r="9405" ht="16.5" customHeight="1" x14ac:dyDescent="0.25"/>
    <row r="9406" ht="16.5" customHeight="1" x14ac:dyDescent="0.25"/>
    <row r="9407" ht="16.5" customHeight="1" x14ac:dyDescent="0.25"/>
    <row r="9408" ht="16.5" customHeight="1" x14ac:dyDescent="0.25"/>
    <row r="9409" ht="16.5" customHeight="1" x14ac:dyDescent="0.25"/>
    <row r="9410" ht="16.5" customHeight="1" x14ac:dyDescent="0.25"/>
    <row r="9411" ht="16.5" customHeight="1" x14ac:dyDescent="0.25"/>
    <row r="9412" ht="16.5" customHeight="1" x14ac:dyDescent="0.25"/>
    <row r="9413" ht="16.5" customHeight="1" x14ac:dyDescent="0.25"/>
    <row r="9414" ht="16.5" customHeight="1" x14ac:dyDescent="0.25"/>
    <row r="9415" ht="16.5" customHeight="1" x14ac:dyDescent="0.25"/>
    <row r="9416" ht="16.5" customHeight="1" x14ac:dyDescent="0.25"/>
    <row r="9417" ht="16.5" customHeight="1" x14ac:dyDescent="0.25"/>
    <row r="9418" ht="16.5" customHeight="1" x14ac:dyDescent="0.25"/>
    <row r="9419" ht="16.5" customHeight="1" x14ac:dyDescent="0.25"/>
    <row r="9420" ht="16.5" customHeight="1" x14ac:dyDescent="0.25"/>
    <row r="9421" ht="16.5" customHeight="1" x14ac:dyDescent="0.25"/>
    <row r="9422" ht="16.5" customHeight="1" x14ac:dyDescent="0.25"/>
    <row r="9423" ht="16.5" customHeight="1" x14ac:dyDescent="0.25"/>
    <row r="9424" ht="16.5" customHeight="1" x14ac:dyDescent="0.25"/>
    <row r="9425" ht="16.5" customHeight="1" x14ac:dyDescent="0.25"/>
    <row r="9426" ht="16.5" customHeight="1" x14ac:dyDescent="0.25"/>
    <row r="9427" ht="16.5" customHeight="1" x14ac:dyDescent="0.25"/>
    <row r="9428" ht="16.5" customHeight="1" x14ac:dyDescent="0.25"/>
    <row r="9429" ht="16.5" customHeight="1" x14ac:dyDescent="0.25"/>
    <row r="9430" ht="16.5" customHeight="1" x14ac:dyDescent="0.25"/>
    <row r="9431" ht="16.5" customHeight="1" x14ac:dyDescent="0.25"/>
    <row r="9432" ht="16.5" customHeight="1" x14ac:dyDescent="0.25"/>
    <row r="9433" ht="16.5" customHeight="1" x14ac:dyDescent="0.25"/>
    <row r="9434" ht="16.5" customHeight="1" x14ac:dyDescent="0.25"/>
    <row r="9435" ht="16.5" customHeight="1" x14ac:dyDescent="0.25"/>
    <row r="9436" ht="16.5" customHeight="1" x14ac:dyDescent="0.25"/>
    <row r="9437" ht="16.5" customHeight="1" x14ac:dyDescent="0.25"/>
    <row r="9438" ht="16.5" customHeight="1" x14ac:dyDescent="0.25"/>
    <row r="9439" ht="16.5" customHeight="1" x14ac:dyDescent="0.25"/>
    <row r="9440" ht="16.5" customHeight="1" x14ac:dyDescent="0.25"/>
    <row r="9441" ht="16.5" customHeight="1" x14ac:dyDescent="0.25"/>
    <row r="9442" ht="16.5" customHeight="1" x14ac:dyDescent="0.25"/>
    <row r="9443" ht="16.5" customHeight="1" x14ac:dyDescent="0.25"/>
    <row r="9444" ht="16.5" customHeight="1" x14ac:dyDescent="0.25"/>
    <row r="9445" ht="16.5" customHeight="1" x14ac:dyDescent="0.25"/>
    <row r="9446" ht="16.5" customHeight="1" x14ac:dyDescent="0.25"/>
    <row r="9447" ht="16.5" customHeight="1" x14ac:dyDescent="0.25"/>
    <row r="9448" ht="16.5" customHeight="1" x14ac:dyDescent="0.25"/>
    <row r="9449" ht="16.5" customHeight="1" x14ac:dyDescent="0.25"/>
    <row r="9450" ht="16.5" customHeight="1" x14ac:dyDescent="0.25"/>
    <row r="9451" ht="16.5" customHeight="1" x14ac:dyDescent="0.25"/>
    <row r="9452" ht="16.5" customHeight="1" x14ac:dyDescent="0.25"/>
    <row r="9453" ht="16.5" customHeight="1" x14ac:dyDescent="0.25"/>
    <row r="9454" ht="16.5" customHeight="1" x14ac:dyDescent="0.25"/>
    <row r="9455" ht="16.5" customHeight="1" x14ac:dyDescent="0.25"/>
    <row r="9456" ht="16.5" customHeight="1" x14ac:dyDescent="0.25"/>
    <row r="9457" ht="16.5" customHeight="1" x14ac:dyDescent="0.25"/>
    <row r="9458" ht="16.5" customHeight="1" x14ac:dyDescent="0.25"/>
    <row r="9459" ht="16.5" customHeight="1" x14ac:dyDescent="0.25"/>
    <row r="9460" ht="16.5" customHeight="1" x14ac:dyDescent="0.25"/>
    <row r="9461" ht="16.5" customHeight="1" x14ac:dyDescent="0.25"/>
    <row r="9462" ht="16.5" customHeight="1" x14ac:dyDescent="0.25"/>
    <row r="9463" ht="16.5" customHeight="1" x14ac:dyDescent="0.25"/>
    <row r="9464" ht="16.5" customHeight="1" x14ac:dyDescent="0.25"/>
    <row r="9465" ht="16.5" customHeight="1" x14ac:dyDescent="0.25"/>
    <row r="9466" ht="16.5" customHeight="1" x14ac:dyDescent="0.25"/>
    <row r="9467" ht="16.5" customHeight="1" x14ac:dyDescent="0.25"/>
    <row r="9468" ht="16.5" customHeight="1" x14ac:dyDescent="0.25"/>
    <row r="9469" ht="16.5" customHeight="1" x14ac:dyDescent="0.25"/>
    <row r="9470" ht="16.5" customHeight="1" x14ac:dyDescent="0.25"/>
    <row r="9471" ht="16.5" customHeight="1" x14ac:dyDescent="0.25"/>
    <row r="9472" ht="16.5" customHeight="1" x14ac:dyDescent="0.25"/>
    <row r="9473" ht="16.5" customHeight="1" x14ac:dyDescent="0.25"/>
    <row r="9474" ht="16.5" customHeight="1" x14ac:dyDescent="0.25"/>
    <row r="9475" ht="16.5" customHeight="1" x14ac:dyDescent="0.25"/>
    <row r="9476" ht="16.5" customHeight="1" x14ac:dyDescent="0.25"/>
    <row r="9477" ht="16.5" customHeight="1" x14ac:dyDescent="0.25"/>
    <row r="9478" ht="16.5" customHeight="1" x14ac:dyDescent="0.25"/>
    <row r="9479" ht="16.5" customHeight="1" x14ac:dyDescent="0.25"/>
    <row r="9480" ht="16.5" customHeight="1" x14ac:dyDescent="0.25"/>
    <row r="9481" ht="16.5" customHeight="1" x14ac:dyDescent="0.25"/>
    <row r="9482" ht="16.5" customHeight="1" x14ac:dyDescent="0.25"/>
    <row r="9483" ht="16.5" customHeight="1" x14ac:dyDescent="0.25"/>
    <row r="9484" ht="16.5" customHeight="1" x14ac:dyDescent="0.25"/>
    <row r="9485" ht="16.5" customHeight="1" x14ac:dyDescent="0.25"/>
    <row r="9486" ht="16.5" customHeight="1" x14ac:dyDescent="0.25"/>
    <row r="9487" ht="16.5" customHeight="1" x14ac:dyDescent="0.25"/>
    <row r="9488" ht="16.5" customHeight="1" x14ac:dyDescent="0.25"/>
    <row r="9489" ht="16.5" customHeight="1" x14ac:dyDescent="0.25"/>
    <row r="9490" ht="16.5" customHeight="1" x14ac:dyDescent="0.25"/>
    <row r="9491" ht="16.5" customHeight="1" x14ac:dyDescent="0.25"/>
    <row r="9492" ht="16.5" customHeight="1" x14ac:dyDescent="0.25"/>
    <row r="9493" ht="16.5" customHeight="1" x14ac:dyDescent="0.25"/>
    <row r="9494" ht="16.5" customHeight="1" x14ac:dyDescent="0.25"/>
    <row r="9495" ht="16.5" customHeight="1" x14ac:dyDescent="0.25"/>
    <row r="9496" ht="16.5" customHeight="1" x14ac:dyDescent="0.25"/>
    <row r="9497" ht="16.5" customHeight="1" x14ac:dyDescent="0.25"/>
    <row r="9498" ht="16.5" customHeight="1" x14ac:dyDescent="0.25"/>
    <row r="9499" ht="16.5" customHeight="1" x14ac:dyDescent="0.25"/>
    <row r="9500" ht="16.5" customHeight="1" x14ac:dyDescent="0.25"/>
    <row r="9501" ht="16.5" customHeight="1" x14ac:dyDescent="0.25"/>
    <row r="9502" ht="16.5" customHeight="1" x14ac:dyDescent="0.25"/>
    <row r="9503" ht="16.5" customHeight="1" x14ac:dyDescent="0.25"/>
    <row r="9504" ht="16.5" customHeight="1" x14ac:dyDescent="0.25"/>
    <row r="9505" ht="16.5" customHeight="1" x14ac:dyDescent="0.25"/>
    <row r="9506" ht="16.5" customHeight="1" x14ac:dyDescent="0.25"/>
    <row r="9507" ht="16.5" customHeight="1" x14ac:dyDescent="0.25"/>
    <row r="9508" ht="16.5" customHeight="1" x14ac:dyDescent="0.25"/>
    <row r="9509" ht="16.5" customHeight="1" x14ac:dyDescent="0.25"/>
    <row r="9510" ht="16.5" customHeight="1" x14ac:dyDescent="0.25"/>
    <row r="9511" ht="16.5" customHeight="1" x14ac:dyDescent="0.25"/>
    <row r="9512" ht="16.5" customHeight="1" x14ac:dyDescent="0.25"/>
    <row r="9513" ht="16.5" customHeight="1" x14ac:dyDescent="0.25"/>
    <row r="9514" ht="16.5" customHeight="1" x14ac:dyDescent="0.25"/>
    <row r="9515" ht="16.5" customHeight="1" x14ac:dyDescent="0.25"/>
    <row r="9516" ht="16.5" customHeight="1" x14ac:dyDescent="0.25"/>
    <row r="9517" ht="16.5" customHeight="1" x14ac:dyDescent="0.25"/>
    <row r="9518" ht="16.5" customHeight="1" x14ac:dyDescent="0.25"/>
    <row r="9519" ht="16.5" customHeight="1" x14ac:dyDescent="0.25"/>
    <row r="9520" ht="16.5" customHeight="1" x14ac:dyDescent="0.25"/>
    <row r="9521" ht="16.5" customHeight="1" x14ac:dyDescent="0.25"/>
    <row r="9522" ht="16.5" customHeight="1" x14ac:dyDescent="0.25"/>
    <row r="9523" ht="16.5" customHeight="1" x14ac:dyDescent="0.25"/>
    <row r="9524" ht="16.5" customHeight="1" x14ac:dyDescent="0.25"/>
    <row r="9525" ht="16.5" customHeight="1" x14ac:dyDescent="0.25"/>
    <row r="9526" ht="16.5" customHeight="1" x14ac:dyDescent="0.25"/>
    <row r="9527" ht="16.5" customHeight="1" x14ac:dyDescent="0.25"/>
    <row r="9528" ht="16.5" customHeight="1" x14ac:dyDescent="0.25"/>
    <row r="9529" ht="16.5" customHeight="1" x14ac:dyDescent="0.25"/>
    <row r="9530" ht="16.5" customHeight="1" x14ac:dyDescent="0.25"/>
    <row r="9531" ht="16.5" customHeight="1" x14ac:dyDescent="0.25"/>
    <row r="9532" ht="16.5" customHeight="1" x14ac:dyDescent="0.25"/>
    <row r="9533" ht="16.5" customHeight="1" x14ac:dyDescent="0.25"/>
    <row r="9534" ht="16.5" customHeight="1" x14ac:dyDescent="0.25"/>
    <row r="9535" ht="16.5" customHeight="1" x14ac:dyDescent="0.25"/>
    <row r="9536" ht="16.5" customHeight="1" x14ac:dyDescent="0.25"/>
    <row r="9537" ht="16.5" customHeight="1" x14ac:dyDescent="0.25"/>
    <row r="9538" ht="16.5" customHeight="1" x14ac:dyDescent="0.25"/>
    <row r="9539" ht="16.5" customHeight="1" x14ac:dyDescent="0.25"/>
    <row r="9540" ht="16.5" customHeight="1" x14ac:dyDescent="0.25"/>
    <row r="9541" ht="16.5" customHeight="1" x14ac:dyDescent="0.25"/>
    <row r="9542" ht="16.5" customHeight="1" x14ac:dyDescent="0.25"/>
    <row r="9543" ht="16.5" customHeight="1" x14ac:dyDescent="0.25"/>
    <row r="9544" ht="16.5" customHeight="1" x14ac:dyDescent="0.25"/>
    <row r="9545" ht="16.5" customHeight="1" x14ac:dyDescent="0.25"/>
    <row r="9546" ht="16.5" customHeight="1" x14ac:dyDescent="0.25"/>
    <row r="9547" ht="16.5" customHeight="1" x14ac:dyDescent="0.25"/>
    <row r="9548" ht="16.5" customHeight="1" x14ac:dyDescent="0.25"/>
    <row r="9549" ht="16.5" customHeight="1" x14ac:dyDescent="0.25"/>
    <row r="9550" ht="16.5" customHeight="1" x14ac:dyDescent="0.25"/>
    <row r="9551" ht="16.5" customHeight="1" x14ac:dyDescent="0.25"/>
    <row r="9552" ht="16.5" customHeight="1" x14ac:dyDescent="0.25"/>
    <row r="9553" ht="16.5" customHeight="1" x14ac:dyDescent="0.25"/>
    <row r="9554" ht="16.5" customHeight="1" x14ac:dyDescent="0.25"/>
    <row r="9555" ht="16.5" customHeight="1" x14ac:dyDescent="0.25"/>
    <row r="9556" ht="16.5" customHeight="1" x14ac:dyDescent="0.25"/>
    <row r="9557" ht="16.5" customHeight="1" x14ac:dyDescent="0.25"/>
    <row r="9558" ht="16.5" customHeight="1" x14ac:dyDescent="0.25"/>
    <row r="9559" ht="16.5" customHeight="1" x14ac:dyDescent="0.25"/>
    <row r="9560" ht="16.5" customHeight="1" x14ac:dyDescent="0.25"/>
    <row r="9561" ht="16.5" customHeight="1" x14ac:dyDescent="0.25"/>
    <row r="9562" ht="16.5" customHeight="1" x14ac:dyDescent="0.25"/>
    <row r="9563" ht="16.5" customHeight="1" x14ac:dyDescent="0.25"/>
    <row r="9564" ht="16.5" customHeight="1" x14ac:dyDescent="0.25"/>
    <row r="9565" ht="16.5" customHeight="1" x14ac:dyDescent="0.25"/>
    <row r="9566" ht="16.5" customHeight="1" x14ac:dyDescent="0.25"/>
    <row r="9567" ht="16.5" customHeight="1" x14ac:dyDescent="0.25"/>
    <row r="9568" ht="16.5" customHeight="1" x14ac:dyDescent="0.25"/>
    <row r="9569" ht="16.5" customHeight="1" x14ac:dyDescent="0.25"/>
    <row r="9570" ht="16.5" customHeight="1" x14ac:dyDescent="0.25"/>
    <row r="9571" ht="16.5" customHeight="1" x14ac:dyDescent="0.25"/>
    <row r="9572" ht="16.5" customHeight="1" x14ac:dyDescent="0.25"/>
    <row r="9573" ht="16.5" customHeight="1" x14ac:dyDescent="0.25"/>
    <row r="9574" ht="16.5" customHeight="1" x14ac:dyDescent="0.25"/>
    <row r="9575" ht="16.5" customHeight="1" x14ac:dyDescent="0.25"/>
    <row r="9576" ht="16.5" customHeight="1" x14ac:dyDescent="0.25"/>
    <row r="9577" ht="16.5" customHeight="1" x14ac:dyDescent="0.25"/>
    <row r="9578" ht="16.5" customHeight="1" x14ac:dyDescent="0.25"/>
    <row r="9579" ht="16.5" customHeight="1" x14ac:dyDescent="0.25"/>
    <row r="9580" ht="16.5" customHeight="1" x14ac:dyDescent="0.25"/>
    <row r="9581" ht="16.5" customHeight="1" x14ac:dyDescent="0.25"/>
    <row r="9582" ht="16.5" customHeight="1" x14ac:dyDescent="0.25"/>
    <row r="9583" ht="16.5" customHeight="1" x14ac:dyDescent="0.25"/>
    <row r="9584" ht="16.5" customHeight="1" x14ac:dyDescent="0.25"/>
    <row r="9585" ht="16.5" customHeight="1" x14ac:dyDescent="0.25"/>
    <row r="9586" ht="16.5" customHeight="1" x14ac:dyDescent="0.25"/>
    <row r="9587" ht="16.5" customHeight="1" x14ac:dyDescent="0.25"/>
    <row r="9588" ht="16.5" customHeight="1" x14ac:dyDescent="0.25"/>
    <row r="9589" ht="16.5" customHeight="1" x14ac:dyDescent="0.25"/>
    <row r="9590" ht="16.5" customHeight="1" x14ac:dyDescent="0.25"/>
    <row r="9591" ht="16.5" customHeight="1" x14ac:dyDescent="0.25"/>
    <row r="9592" ht="16.5" customHeight="1" x14ac:dyDescent="0.25"/>
    <row r="9593" ht="16.5" customHeight="1" x14ac:dyDescent="0.25"/>
    <row r="9594" ht="16.5" customHeight="1" x14ac:dyDescent="0.25"/>
    <row r="9595" ht="16.5" customHeight="1" x14ac:dyDescent="0.25"/>
    <row r="9596" ht="16.5" customHeight="1" x14ac:dyDescent="0.25"/>
    <row r="9597" ht="16.5" customHeight="1" x14ac:dyDescent="0.25"/>
    <row r="9598" ht="16.5" customHeight="1" x14ac:dyDescent="0.25"/>
    <row r="9599" ht="16.5" customHeight="1" x14ac:dyDescent="0.25"/>
    <row r="9600" ht="16.5" customHeight="1" x14ac:dyDescent="0.25"/>
    <row r="9601" ht="16.5" customHeight="1" x14ac:dyDescent="0.25"/>
    <row r="9602" ht="16.5" customHeight="1" x14ac:dyDescent="0.25"/>
    <row r="9603" ht="16.5" customHeight="1" x14ac:dyDescent="0.25"/>
    <row r="9604" ht="16.5" customHeight="1" x14ac:dyDescent="0.25"/>
    <row r="9605" ht="16.5" customHeight="1" x14ac:dyDescent="0.25"/>
    <row r="9606" ht="16.5" customHeight="1" x14ac:dyDescent="0.25"/>
    <row r="9607" ht="16.5" customHeight="1" x14ac:dyDescent="0.25"/>
    <row r="9608" ht="16.5" customHeight="1" x14ac:dyDescent="0.25"/>
    <row r="9609" ht="16.5" customHeight="1" x14ac:dyDescent="0.25"/>
    <row r="9610" ht="16.5" customHeight="1" x14ac:dyDescent="0.25"/>
    <row r="9611" ht="16.5" customHeight="1" x14ac:dyDescent="0.25"/>
    <row r="9612" ht="16.5" customHeight="1" x14ac:dyDescent="0.25"/>
    <row r="9613" ht="16.5" customHeight="1" x14ac:dyDescent="0.25"/>
    <row r="9614" ht="16.5" customHeight="1" x14ac:dyDescent="0.25"/>
    <row r="9615" ht="16.5" customHeight="1" x14ac:dyDescent="0.25"/>
    <row r="9616" ht="16.5" customHeight="1" x14ac:dyDescent="0.25"/>
    <row r="9617" ht="16.5" customHeight="1" x14ac:dyDescent="0.25"/>
    <row r="9618" ht="16.5" customHeight="1" x14ac:dyDescent="0.25"/>
    <row r="9619" ht="16.5" customHeight="1" x14ac:dyDescent="0.25"/>
    <row r="9620" ht="16.5" customHeight="1" x14ac:dyDescent="0.25"/>
    <row r="9621" ht="16.5" customHeight="1" x14ac:dyDescent="0.25"/>
    <row r="9622" ht="16.5" customHeight="1" x14ac:dyDescent="0.25"/>
    <row r="9623" ht="16.5" customHeight="1" x14ac:dyDescent="0.25"/>
    <row r="9624" ht="16.5" customHeight="1" x14ac:dyDescent="0.25"/>
    <row r="9625" ht="16.5" customHeight="1" x14ac:dyDescent="0.25"/>
    <row r="9626" ht="16.5" customHeight="1" x14ac:dyDescent="0.25"/>
    <row r="9627" ht="16.5" customHeight="1" x14ac:dyDescent="0.25"/>
    <row r="9628" ht="16.5" customHeight="1" x14ac:dyDescent="0.25"/>
    <row r="9629" ht="16.5" customHeight="1" x14ac:dyDescent="0.25"/>
    <row r="9630" ht="16.5" customHeight="1" x14ac:dyDescent="0.25"/>
    <row r="9631" ht="16.5" customHeight="1" x14ac:dyDescent="0.25"/>
    <row r="9632" ht="16.5" customHeight="1" x14ac:dyDescent="0.25"/>
    <row r="9633" ht="16.5" customHeight="1" x14ac:dyDescent="0.25"/>
    <row r="9634" ht="16.5" customHeight="1" x14ac:dyDescent="0.25"/>
    <row r="9635" ht="16.5" customHeight="1" x14ac:dyDescent="0.25"/>
    <row r="9636" ht="16.5" customHeight="1" x14ac:dyDescent="0.25"/>
    <row r="9637" ht="16.5" customHeight="1" x14ac:dyDescent="0.25"/>
    <row r="9638" ht="16.5" customHeight="1" x14ac:dyDescent="0.25"/>
    <row r="9639" ht="16.5" customHeight="1" x14ac:dyDescent="0.25"/>
    <row r="9640" ht="16.5" customHeight="1" x14ac:dyDescent="0.25"/>
    <row r="9641" ht="16.5" customHeight="1" x14ac:dyDescent="0.25"/>
    <row r="9642" ht="16.5" customHeight="1" x14ac:dyDescent="0.25"/>
    <row r="9643" ht="16.5" customHeight="1" x14ac:dyDescent="0.25"/>
    <row r="9644" ht="16.5" customHeight="1" x14ac:dyDescent="0.25"/>
    <row r="9645" ht="16.5" customHeight="1" x14ac:dyDescent="0.25"/>
    <row r="9646" ht="16.5" customHeight="1" x14ac:dyDescent="0.25"/>
    <row r="9647" ht="16.5" customHeight="1" x14ac:dyDescent="0.25"/>
    <row r="9648" ht="16.5" customHeight="1" x14ac:dyDescent="0.25"/>
    <row r="9649" ht="16.5" customHeight="1" x14ac:dyDescent="0.25"/>
    <row r="9650" ht="16.5" customHeight="1" x14ac:dyDescent="0.25"/>
    <row r="9651" ht="16.5" customHeight="1" x14ac:dyDescent="0.25"/>
    <row r="9652" ht="16.5" customHeight="1" x14ac:dyDescent="0.25"/>
    <row r="9653" ht="16.5" customHeight="1" x14ac:dyDescent="0.25"/>
    <row r="9654" ht="16.5" customHeight="1" x14ac:dyDescent="0.25"/>
    <row r="9655" ht="16.5" customHeight="1" x14ac:dyDescent="0.25"/>
    <row r="9656" ht="16.5" customHeight="1" x14ac:dyDescent="0.25"/>
    <row r="9657" ht="16.5" customHeight="1" x14ac:dyDescent="0.25"/>
    <row r="9658" ht="16.5" customHeight="1" x14ac:dyDescent="0.25"/>
    <row r="9659" ht="16.5" customHeight="1" x14ac:dyDescent="0.25"/>
    <row r="9660" ht="16.5" customHeight="1" x14ac:dyDescent="0.25"/>
    <row r="9661" ht="16.5" customHeight="1" x14ac:dyDescent="0.25"/>
    <row r="9662" ht="16.5" customHeight="1" x14ac:dyDescent="0.25"/>
    <row r="9663" ht="16.5" customHeight="1" x14ac:dyDescent="0.25"/>
    <row r="9664" ht="16.5" customHeight="1" x14ac:dyDescent="0.25"/>
    <row r="9665" ht="16.5" customHeight="1" x14ac:dyDescent="0.25"/>
    <row r="9666" ht="16.5" customHeight="1" x14ac:dyDescent="0.25"/>
    <row r="9667" ht="16.5" customHeight="1" x14ac:dyDescent="0.25"/>
    <row r="9668" ht="16.5" customHeight="1" x14ac:dyDescent="0.25"/>
    <row r="9669" ht="16.5" customHeight="1" x14ac:dyDescent="0.25"/>
    <row r="9670" ht="16.5" customHeight="1" x14ac:dyDescent="0.25"/>
    <row r="9671" ht="16.5" customHeight="1" x14ac:dyDescent="0.25"/>
    <row r="9672" ht="16.5" customHeight="1" x14ac:dyDescent="0.25"/>
    <row r="9673" ht="16.5" customHeight="1" x14ac:dyDescent="0.25"/>
    <row r="9674" ht="16.5" customHeight="1" x14ac:dyDescent="0.25"/>
    <row r="9675" ht="16.5" customHeight="1" x14ac:dyDescent="0.25"/>
    <row r="9676" ht="16.5" customHeight="1" x14ac:dyDescent="0.25"/>
    <row r="9677" ht="16.5" customHeight="1" x14ac:dyDescent="0.25"/>
    <row r="9678" ht="16.5" customHeight="1" x14ac:dyDescent="0.25"/>
    <row r="9679" ht="16.5" customHeight="1" x14ac:dyDescent="0.25"/>
    <row r="9680" ht="16.5" customHeight="1" x14ac:dyDescent="0.25"/>
    <row r="9681" ht="16.5" customHeight="1" x14ac:dyDescent="0.25"/>
    <row r="9682" ht="16.5" customHeight="1" x14ac:dyDescent="0.25"/>
    <row r="9683" ht="16.5" customHeight="1" x14ac:dyDescent="0.25"/>
    <row r="9684" ht="16.5" customHeight="1" x14ac:dyDescent="0.25"/>
    <row r="9685" ht="16.5" customHeight="1" x14ac:dyDescent="0.25"/>
    <row r="9686" ht="16.5" customHeight="1" x14ac:dyDescent="0.25"/>
    <row r="9687" ht="16.5" customHeight="1" x14ac:dyDescent="0.25"/>
    <row r="9688" ht="16.5" customHeight="1" x14ac:dyDescent="0.25"/>
    <row r="9689" ht="16.5" customHeight="1" x14ac:dyDescent="0.25"/>
    <row r="9690" ht="16.5" customHeight="1" x14ac:dyDescent="0.25"/>
    <row r="9691" ht="16.5" customHeight="1" x14ac:dyDescent="0.25"/>
    <row r="9692" ht="16.5" customHeight="1" x14ac:dyDescent="0.25"/>
    <row r="9693" ht="16.5" customHeight="1" x14ac:dyDescent="0.25"/>
    <row r="9694" ht="16.5" customHeight="1" x14ac:dyDescent="0.25"/>
    <row r="9695" ht="16.5" customHeight="1" x14ac:dyDescent="0.25"/>
    <row r="9696" ht="16.5" customHeight="1" x14ac:dyDescent="0.25"/>
    <row r="9697" ht="16.5" customHeight="1" x14ac:dyDescent="0.25"/>
    <row r="9698" ht="16.5" customHeight="1" x14ac:dyDescent="0.25"/>
    <row r="9699" ht="16.5" customHeight="1" x14ac:dyDescent="0.25"/>
    <row r="9700" ht="16.5" customHeight="1" x14ac:dyDescent="0.25"/>
    <row r="9701" ht="16.5" customHeight="1" x14ac:dyDescent="0.25"/>
    <row r="9702" ht="16.5" customHeight="1" x14ac:dyDescent="0.25"/>
    <row r="9703" ht="16.5" customHeight="1" x14ac:dyDescent="0.25"/>
    <row r="9704" ht="16.5" customHeight="1" x14ac:dyDescent="0.25"/>
    <row r="9705" ht="16.5" customHeight="1" x14ac:dyDescent="0.25"/>
    <row r="9706" ht="16.5" customHeight="1" x14ac:dyDescent="0.25"/>
    <row r="9707" ht="16.5" customHeight="1" x14ac:dyDescent="0.25"/>
    <row r="9708" ht="16.5" customHeight="1" x14ac:dyDescent="0.25"/>
    <row r="9709" ht="16.5" customHeight="1" x14ac:dyDescent="0.25"/>
    <row r="9710" ht="16.5" customHeight="1" x14ac:dyDescent="0.25"/>
    <row r="9711" ht="16.5" customHeight="1" x14ac:dyDescent="0.25"/>
    <row r="9712" ht="16.5" customHeight="1" x14ac:dyDescent="0.25"/>
    <row r="9713" ht="16.5" customHeight="1" x14ac:dyDescent="0.25"/>
    <row r="9714" ht="16.5" customHeight="1" x14ac:dyDescent="0.25"/>
    <row r="9715" ht="16.5" customHeight="1" x14ac:dyDescent="0.25"/>
    <row r="9716" ht="16.5" customHeight="1" x14ac:dyDescent="0.25"/>
    <row r="9717" ht="16.5" customHeight="1" x14ac:dyDescent="0.25"/>
    <row r="9718" ht="16.5" customHeight="1" x14ac:dyDescent="0.25"/>
    <row r="9719" ht="16.5" customHeight="1" x14ac:dyDescent="0.25"/>
    <row r="9720" ht="16.5" customHeight="1" x14ac:dyDescent="0.25"/>
    <row r="9721" ht="16.5" customHeight="1" x14ac:dyDescent="0.25"/>
    <row r="9722" ht="16.5" customHeight="1" x14ac:dyDescent="0.25"/>
    <row r="9723" ht="16.5" customHeight="1" x14ac:dyDescent="0.25"/>
    <row r="9724" ht="16.5" customHeight="1" x14ac:dyDescent="0.25"/>
    <row r="9725" ht="16.5" customHeight="1" x14ac:dyDescent="0.25"/>
    <row r="9726" ht="16.5" customHeight="1" x14ac:dyDescent="0.25"/>
    <row r="9727" ht="16.5" customHeight="1" x14ac:dyDescent="0.25"/>
    <row r="9728" ht="16.5" customHeight="1" x14ac:dyDescent="0.25"/>
    <row r="9729" ht="16.5" customHeight="1" x14ac:dyDescent="0.25"/>
    <row r="9730" ht="16.5" customHeight="1" x14ac:dyDescent="0.25"/>
    <row r="9731" ht="16.5" customHeight="1" x14ac:dyDescent="0.25"/>
    <row r="9732" ht="16.5" customHeight="1" x14ac:dyDescent="0.25"/>
    <row r="9733" ht="16.5" customHeight="1" x14ac:dyDescent="0.25"/>
    <row r="9734" ht="16.5" customHeight="1" x14ac:dyDescent="0.25"/>
    <row r="9735" ht="16.5" customHeight="1" x14ac:dyDescent="0.25"/>
    <row r="9736" ht="16.5" customHeight="1" x14ac:dyDescent="0.25"/>
    <row r="9737" ht="16.5" customHeight="1" x14ac:dyDescent="0.25"/>
    <row r="9738" ht="16.5" customHeight="1" x14ac:dyDescent="0.25"/>
    <row r="9739" ht="16.5" customHeight="1" x14ac:dyDescent="0.25"/>
    <row r="9740" ht="16.5" customHeight="1" x14ac:dyDescent="0.25"/>
    <row r="9741" ht="16.5" customHeight="1" x14ac:dyDescent="0.25"/>
    <row r="9742" ht="16.5" customHeight="1" x14ac:dyDescent="0.25"/>
    <row r="9743" ht="16.5" customHeight="1" x14ac:dyDescent="0.25"/>
    <row r="9744" ht="16.5" customHeight="1" x14ac:dyDescent="0.25"/>
    <row r="9745" ht="16.5" customHeight="1" x14ac:dyDescent="0.25"/>
    <row r="9746" ht="16.5" customHeight="1" x14ac:dyDescent="0.25"/>
    <row r="9747" ht="16.5" customHeight="1" x14ac:dyDescent="0.25"/>
    <row r="9748" ht="16.5" customHeight="1" x14ac:dyDescent="0.25"/>
    <row r="9749" ht="16.5" customHeight="1" x14ac:dyDescent="0.25"/>
    <row r="9750" ht="16.5" customHeight="1" x14ac:dyDescent="0.25"/>
    <row r="9751" ht="16.5" customHeight="1" x14ac:dyDescent="0.25"/>
    <row r="9752" ht="16.5" customHeight="1" x14ac:dyDescent="0.25"/>
    <row r="9753" ht="16.5" customHeight="1" x14ac:dyDescent="0.25"/>
    <row r="9754" ht="16.5" customHeight="1" x14ac:dyDescent="0.25"/>
    <row r="9755" ht="16.5" customHeight="1" x14ac:dyDescent="0.25"/>
    <row r="9756" ht="16.5" customHeight="1" x14ac:dyDescent="0.25"/>
    <row r="9757" ht="16.5" customHeight="1" x14ac:dyDescent="0.25"/>
    <row r="9758" ht="16.5" customHeight="1" x14ac:dyDescent="0.25"/>
    <row r="9759" ht="16.5" customHeight="1" x14ac:dyDescent="0.25"/>
    <row r="9760" ht="16.5" customHeight="1" x14ac:dyDescent="0.25"/>
    <row r="9761" ht="16.5" customHeight="1" x14ac:dyDescent="0.25"/>
    <row r="9762" ht="16.5" customHeight="1" x14ac:dyDescent="0.25"/>
    <row r="9763" ht="16.5" customHeight="1" x14ac:dyDescent="0.25"/>
    <row r="9764" ht="16.5" customHeight="1" x14ac:dyDescent="0.25"/>
    <row r="9765" ht="16.5" customHeight="1" x14ac:dyDescent="0.25"/>
    <row r="9766" ht="16.5" customHeight="1" x14ac:dyDescent="0.25"/>
    <row r="9767" ht="16.5" customHeight="1" x14ac:dyDescent="0.25"/>
    <row r="9768" ht="16.5" customHeight="1" x14ac:dyDescent="0.25"/>
    <row r="9769" ht="16.5" customHeight="1" x14ac:dyDescent="0.25"/>
    <row r="9770" ht="16.5" customHeight="1" x14ac:dyDescent="0.25"/>
    <row r="9771" ht="16.5" customHeight="1" x14ac:dyDescent="0.25"/>
    <row r="9772" ht="16.5" customHeight="1" x14ac:dyDescent="0.25"/>
    <row r="9773" ht="16.5" customHeight="1" x14ac:dyDescent="0.25"/>
    <row r="9774" ht="16.5" customHeight="1" x14ac:dyDescent="0.25"/>
    <row r="9775" ht="16.5" customHeight="1" x14ac:dyDescent="0.25"/>
    <row r="9776" ht="16.5" customHeight="1" x14ac:dyDescent="0.25"/>
    <row r="9777" ht="16.5" customHeight="1" x14ac:dyDescent="0.25"/>
    <row r="9778" ht="16.5" customHeight="1" x14ac:dyDescent="0.25"/>
    <row r="9779" ht="16.5" customHeight="1" x14ac:dyDescent="0.25"/>
    <row r="9780" ht="16.5" customHeight="1" x14ac:dyDescent="0.25"/>
    <row r="9781" ht="16.5" customHeight="1" x14ac:dyDescent="0.25"/>
    <row r="9782" ht="16.5" customHeight="1" x14ac:dyDescent="0.25"/>
    <row r="9783" ht="16.5" customHeight="1" x14ac:dyDescent="0.25"/>
    <row r="9784" ht="16.5" customHeight="1" x14ac:dyDescent="0.25"/>
    <row r="9785" ht="16.5" customHeight="1" x14ac:dyDescent="0.25"/>
    <row r="9786" ht="16.5" customHeight="1" x14ac:dyDescent="0.25"/>
    <row r="9787" ht="16.5" customHeight="1" x14ac:dyDescent="0.25"/>
    <row r="9788" ht="16.5" customHeight="1" x14ac:dyDescent="0.25"/>
    <row r="9789" ht="16.5" customHeight="1" x14ac:dyDescent="0.25"/>
    <row r="9790" ht="16.5" customHeight="1" x14ac:dyDescent="0.25"/>
    <row r="9791" ht="16.5" customHeight="1" x14ac:dyDescent="0.25"/>
    <row r="9792" ht="16.5" customHeight="1" x14ac:dyDescent="0.25"/>
    <row r="9793" ht="16.5" customHeight="1" x14ac:dyDescent="0.25"/>
    <row r="9794" ht="16.5" customHeight="1" x14ac:dyDescent="0.25"/>
    <row r="9795" ht="16.5" customHeight="1" x14ac:dyDescent="0.25"/>
    <row r="9796" ht="16.5" customHeight="1" x14ac:dyDescent="0.25"/>
    <row r="9797" ht="16.5" customHeight="1" x14ac:dyDescent="0.25"/>
    <row r="9798" ht="16.5" customHeight="1" x14ac:dyDescent="0.25"/>
    <row r="9799" ht="16.5" customHeight="1" x14ac:dyDescent="0.25"/>
    <row r="9800" ht="16.5" customHeight="1" x14ac:dyDescent="0.25"/>
    <row r="9801" ht="16.5" customHeight="1" x14ac:dyDescent="0.25"/>
    <row r="9802" ht="16.5" customHeight="1" x14ac:dyDescent="0.25"/>
    <row r="9803" ht="16.5" customHeight="1" x14ac:dyDescent="0.25"/>
    <row r="9804" ht="16.5" customHeight="1" x14ac:dyDescent="0.25"/>
    <row r="9805" ht="16.5" customHeight="1" x14ac:dyDescent="0.25"/>
    <row r="9806" ht="16.5" customHeight="1" x14ac:dyDescent="0.25"/>
    <row r="9807" ht="16.5" customHeight="1" x14ac:dyDescent="0.25"/>
    <row r="9808" ht="16.5" customHeight="1" x14ac:dyDescent="0.25"/>
    <row r="9809" ht="16.5" customHeight="1" x14ac:dyDescent="0.25"/>
    <row r="9810" ht="16.5" customHeight="1" x14ac:dyDescent="0.25"/>
    <row r="9811" ht="16.5" customHeight="1" x14ac:dyDescent="0.25"/>
    <row r="9812" ht="16.5" customHeight="1" x14ac:dyDescent="0.25"/>
    <row r="9813" ht="16.5" customHeight="1" x14ac:dyDescent="0.25"/>
    <row r="9814" ht="16.5" customHeight="1" x14ac:dyDescent="0.25"/>
    <row r="9815" ht="16.5" customHeight="1" x14ac:dyDescent="0.25"/>
    <row r="9816" ht="16.5" customHeight="1" x14ac:dyDescent="0.25"/>
    <row r="9817" ht="16.5" customHeight="1" x14ac:dyDescent="0.25"/>
    <row r="9818" ht="16.5" customHeight="1" x14ac:dyDescent="0.25"/>
    <row r="9819" ht="16.5" customHeight="1" x14ac:dyDescent="0.25"/>
    <row r="9820" ht="16.5" customHeight="1" x14ac:dyDescent="0.25"/>
    <row r="9821" ht="16.5" customHeight="1" x14ac:dyDescent="0.25"/>
    <row r="9822" ht="16.5" customHeight="1" x14ac:dyDescent="0.25"/>
    <row r="9823" ht="16.5" customHeight="1" x14ac:dyDescent="0.25"/>
    <row r="9824" ht="16.5" customHeight="1" x14ac:dyDescent="0.25"/>
    <row r="9825" ht="16.5" customHeight="1" x14ac:dyDescent="0.25"/>
    <row r="9826" ht="16.5" customHeight="1" x14ac:dyDescent="0.25"/>
    <row r="9827" ht="16.5" customHeight="1" x14ac:dyDescent="0.25"/>
    <row r="9828" ht="16.5" customHeight="1" x14ac:dyDescent="0.25"/>
    <row r="9829" ht="16.5" customHeight="1" x14ac:dyDescent="0.25"/>
    <row r="9830" ht="16.5" customHeight="1" x14ac:dyDescent="0.25"/>
    <row r="9831" ht="16.5" customHeight="1" x14ac:dyDescent="0.25"/>
    <row r="9832" ht="16.5" customHeight="1" x14ac:dyDescent="0.25"/>
    <row r="9833" ht="16.5" customHeight="1" x14ac:dyDescent="0.25"/>
    <row r="9834" ht="16.5" customHeight="1" x14ac:dyDescent="0.25"/>
    <row r="9835" ht="16.5" customHeight="1" x14ac:dyDescent="0.25"/>
    <row r="9836" ht="16.5" customHeight="1" x14ac:dyDescent="0.25"/>
    <row r="9837" ht="16.5" customHeight="1" x14ac:dyDescent="0.25"/>
    <row r="9838" ht="16.5" customHeight="1" x14ac:dyDescent="0.25"/>
    <row r="9839" ht="16.5" customHeight="1" x14ac:dyDescent="0.25"/>
    <row r="9840" ht="16.5" customHeight="1" x14ac:dyDescent="0.25"/>
    <row r="9841" ht="16.5" customHeight="1" x14ac:dyDescent="0.25"/>
    <row r="9842" ht="16.5" customHeight="1" x14ac:dyDescent="0.25"/>
    <row r="9843" ht="16.5" customHeight="1" x14ac:dyDescent="0.25"/>
    <row r="9844" ht="16.5" customHeight="1" x14ac:dyDescent="0.25"/>
    <row r="9845" ht="16.5" customHeight="1" x14ac:dyDescent="0.25"/>
    <row r="9846" ht="16.5" customHeight="1" x14ac:dyDescent="0.25"/>
    <row r="9847" ht="16.5" customHeight="1" x14ac:dyDescent="0.25"/>
    <row r="9848" ht="16.5" customHeight="1" x14ac:dyDescent="0.25"/>
    <row r="9849" ht="16.5" customHeight="1" x14ac:dyDescent="0.25"/>
    <row r="9850" ht="16.5" customHeight="1" x14ac:dyDescent="0.25"/>
    <row r="9851" ht="16.5" customHeight="1" x14ac:dyDescent="0.25"/>
    <row r="9852" ht="16.5" customHeight="1" x14ac:dyDescent="0.25"/>
    <row r="9853" ht="16.5" customHeight="1" x14ac:dyDescent="0.25"/>
    <row r="9854" ht="16.5" customHeight="1" x14ac:dyDescent="0.25"/>
    <row r="9855" ht="16.5" customHeight="1" x14ac:dyDescent="0.25"/>
    <row r="9856" ht="16.5" customHeight="1" x14ac:dyDescent="0.25"/>
    <row r="9857" ht="16.5" customHeight="1" x14ac:dyDescent="0.25"/>
    <row r="9858" ht="16.5" customHeight="1" x14ac:dyDescent="0.25"/>
    <row r="9859" ht="16.5" customHeight="1" x14ac:dyDescent="0.25"/>
    <row r="9860" ht="16.5" customHeight="1" x14ac:dyDescent="0.25"/>
    <row r="9861" ht="16.5" customHeight="1" x14ac:dyDescent="0.25"/>
    <row r="9862" ht="16.5" customHeight="1" x14ac:dyDescent="0.25"/>
    <row r="9863" ht="16.5" customHeight="1" x14ac:dyDescent="0.25"/>
    <row r="9864" ht="16.5" customHeight="1" x14ac:dyDescent="0.25"/>
    <row r="9865" ht="16.5" customHeight="1" x14ac:dyDescent="0.25"/>
    <row r="9866" ht="16.5" customHeight="1" x14ac:dyDescent="0.25"/>
    <row r="9867" ht="16.5" customHeight="1" x14ac:dyDescent="0.25"/>
    <row r="9868" ht="16.5" customHeight="1" x14ac:dyDescent="0.25"/>
    <row r="9869" ht="16.5" customHeight="1" x14ac:dyDescent="0.25"/>
    <row r="9870" ht="16.5" customHeight="1" x14ac:dyDescent="0.25"/>
    <row r="9871" ht="16.5" customHeight="1" x14ac:dyDescent="0.25"/>
    <row r="9872" ht="16.5" customHeight="1" x14ac:dyDescent="0.25"/>
    <row r="9873" ht="16.5" customHeight="1" x14ac:dyDescent="0.25"/>
    <row r="9874" ht="16.5" customHeight="1" x14ac:dyDescent="0.25"/>
    <row r="9875" ht="16.5" customHeight="1" x14ac:dyDescent="0.25"/>
    <row r="9876" ht="16.5" customHeight="1" x14ac:dyDescent="0.25"/>
    <row r="9877" ht="16.5" customHeight="1" x14ac:dyDescent="0.25"/>
    <row r="9878" ht="16.5" customHeight="1" x14ac:dyDescent="0.25"/>
    <row r="9879" ht="16.5" customHeight="1" x14ac:dyDescent="0.25"/>
    <row r="9880" ht="16.5" customHeight="1" x14ac:dyDescent="0.25"/>
    <row r="9881" ht="16.5" customHeight="1" x14ac:dyDescent="0.25"/>
    <row r="9882" ht="16.5" customHeight="1" x14ac:dyDescent="0.25"/>
    <row r="9883" ht="16.5" customHeight="1" x14ac:dyDescent="0.25"/>
    <row r="9884" ht="16.5" customHeight="1" x14ac:dyDescent="0.25"/>
    <row r="9885" ht="16.5" customHeight="1" x14ac:dyDescent="0.25"/>
    <row r="9886" ht="16.5" customHeight="1" x14ac:dyDescent="0.25"/>
    <row r="9887" ht="16.5" customHeight="1" x14ac:dyDescent="0.25"/>
    <row r="9888" ht="16.5" customHeight="1" x14ac:dyDescent="0.25"/>
    <row r="9889" ht="16.5" customHeight="1" x14ac:dyDescent="0.25"/>
    <row r="9890" ht="16.5" customHeight="1" x14ac:dyDescent="0.25"/>
    <row r="9891" ht="16.5" customHeight="1" x14ac:dyDescent="0.25"/>
    <row r="9892" ht="16.5" customHeight="1" x14ac:dyDescent="0.25"/>
    <row r="9893" ht="16.5" customHeight="1" x14ac:dyDescent="0.25"/>
    <row r="9894" ht="16.5" customHeight="1" x14ac:dyDescent="0.25"/>
    <row r="9895" ht="16.5" customHeight="1" x14ac:dyDescent="0.25"/>
    <row r="9896" ht="16.5" customHeight="1" x14ac:dyDescent="0.25"/>
    <row r="9897" ht="16.5" customHeight="1" x14ac:dyDescent="0.25"/>
    <row r="9898" ht="16.5" customHeight="1" x14ac:dyDescent="0.25"/>
    <row r="9899" ht="16.5" customHeight="1" x14ac:dyDescent="0.25"/>
    <row r="9900" ht="16.5" customHeight="1" x14ac:dyDescent="0.25"/>
    <row r="9901" ht="16.5" customHeight="1" x14ac:dyDescent="0.25"/>
    <row r="9902" ht="16.5" customHeight="1" x14ac:dyDescent="0.25"/>
    <row r="9903" ht="16.5" customHeight="1" x14ac:dyDescent="0.25"/>
    <row r="9904" ht="16.5" customHeight="1" x14ac:dyDescent="0.25"/>
    <row r="9905" ht="16.5" customHeight="1" x14ac:dyDescent="0.25"/>
    <row r="9906" ht="16.5" customHeight="1" x14ac:dyDescent="0.25"/>
    <row r="9907" ht="16.5" customHeight="1" x14ac:dyDescent="0.25"/>
    <row r="9908" ht="16.5" customHeight="1" x14ac:dyDescent="0.25"/>
    <row r="9909" ht="16.5" customHeight="1" x14ac:dyDescent="0.25"/>
    <row r="9910" ht="16.5" customHeight="1" x14ac:dyDescent="0.25"/>
    <row r="9911" ht="16.5" customHeight="1" x14ac:dyDescent="0.25"/>
    <row r="9912" ht="16.5" customHeight="1" x14ac:dyDescent="0.25"/>
    <row r="9913" ht="16.5" customHeight="1" x14ac:dyDescent="0.25"/>
    <row r="9914" ht="16.5" customHeight="1" x14ac:dyDescent="0.25"/>
    <row r="9915" ht="16.5" customHeight="1" x14ac:dyDescent="0.25"/>
    <row r="9916" ht="16.5" customHeight="1" x14ac:dyDescent="0.25"/>
    <row r="9917" ht="16.5" customHeight="1" x14ac:dyDescent="0.25"/>
    <row r="9918" ht="16.5" customHeight="1" x14ac:dyDescent="0.25"/>
    <row r="9919" ht="16.5" customHeight="1" x14ac:dyDescent="0.25"/>
    <row r="9920" ht="16.5" customHeight="1" x14ac:dyDescent="0.25"/>
    <row r="9921" ht="16.5" customHeight="1" x14ac:dyDescent="0.25"/>
    <row r="9922" ht="16.5" customHeight="1" x14ac:dyDescent="0.25"/>
    <row r="9923" ht="16.5" customHeight="1" x14ac:dyDescent="0.25"/>
    <row r="9924" ht="16.5" customHeight="1" x14ac:dyDescent="0.25"/>
    <row r="9925" ht="16.5" customHeight="1" x14ac:dyDescent="0.25"/>
    <row r="9926" ht="16.5" customHeight="1" x14ac:dyDescent="0.25"/>
    <row r="9927" ht="16.5" customHeight="1" x14ac:dyDescent="0.25"/>
    <row r="9928" ht="16.5" customHeight="1" x14ac:dyDescent="0.25"/>
    <row r="9929" ht="16.5" customHeight="1" x14ac:dyDescent="0.25"/>
    <row r="9930" ht="16.5" customHeight="1" x14ac:dyDescent="0.25"/>
    <row r="9931" ht="16.5" customHeight="1" x14ac:dyDescent="0.25"/>
    <row r="9932" ht="16.5" customHeight="1" x14ac:dyDescent="0.25"/>
    <row r="9933" ht="16.5" customHeight="1" x14ac:dyDescent="0.25"/>
    <row r="9934" ht="16.5" customHeight="1" x14ac:dyDescent="0.25"/>
    <row r="9935" ht="16.5" customHeight="1" x14ac:dyDescent="0.25"/>
    <row r="9936" ht="16.5" customHeight="1" x14ac:dyDescent="0.25"/>
    <row r="9937" ht="16.5" customHeight="1" x14ac:dyDescent="0.25"/>
    <row r="9938" ht="16.5" customHeight="1" x14ac:dyDescent="0.25"/>
    <row r="9939" ht="16.5" customHeight="1" x14ac:dyDescent="0.25"/>
    <row r="9940" ht="16.5" customHeight="1" x14ac:dyDescent="0.25"/>
    <row r="9941" ht="16.5" customHeight="1" x14ac:dyDescent="0.25"/>
    <row r="9942" ht="16.5" customHeight="1" x14ac:dyDescent="0.25"/>
    <row r="9943" ht="16.5" customHeight="1" x14ac:dyDescent="0.25"/>
    <row r="9944" ht="16.5" customHeight="1" x14ac:dyDescent="0.25"/>
    <row r="9945" ht="16.5" customHeight="1" x14ac:dyDescent="0.25"/>
    <row r="9946" ht="16.5" customHeight="1" x14ac:dyDescent="0.25"/>
    <row r="9947" ht="16.5" customHeight="1" x14ac:dyDescent="0.25"/>
    <row r="9948" ht="16.5" customHeight="1" x14ac:dyDescent="0.25"/>
    <row r="9949" ht="16.5" customHeight="1" x14ac:dyDescent="0.25"/>
    <row r="9950" ht="16.5" customHeight="1" x14ac:dyDescent="0.25"/>
    <row r="9951" ht="16.5" customHeight="1" x14ac:dyDescent="0.25"/>
    <row r="9952" ht="16.5" customHeight="1" x14ac:dyDescent="0.25"/>
    <row r="9953" ht="16.5" customHeight="1" x14ac:dyDescent="0.25"/>
    <row r="9954" ht="16.5" customHeight="1" x14ac:dyDescent="0.25"/>
    <row r="9955" ht="16.5" customHeight="1" x14ac:dyDescent="0.25"/>
    <row r="9956" ht="16.5" customHeight="1" x14ac:dyDescent="0.25"/>
    <row r="9957" ht="16.5" customHeight="1" x14ac:dyDescent="0.25"/>
    <row r="9958" ht="16.5" customHeight="1" x14ac:dyDescent="0.25"/>
    <row r="9959" ht="16.5" customHeight="1" x14ac:dyDescent="0.25"/>
    <row r="9960" ht="16.5" customHeight="1" x14ac:dyDescent="0.25"/>
    <row r="9961" ht="16.5" customHeight="1" x14ac:dyDescent="0.25"/>
    <row r="9962" ht="16.5" customHeight="1" x14ac:dyDescent="0.25"/>
    <row r="9963" ht="16.5" customHeight="1" x14ac:dyDescent="0.25"/>
    <row r="9964" ht="16.5" customHeight="1" x14ac:dyDescent="0.25"/>
    <row r="9965" ht="16.5" customHeight="1" x14ac:dyDescent="0.25"/>
    <row r="9966" ht="16.5" customHeight="1" x14ac:dyDescent="0.25"/>
    <row r="9967" ht="16.5" customHeight="1" x14ac:dyDescent="0.25"/>
    <row r="9968" ht="16.5" customHeight="1" x14ac:dyDescent="0.25"/>
    <row r="9969" ht="16.5" customHeight="1" x14ac:dyDescent="0.25"/>
    <row r="9970" ht="16.5" customHeight="1" x14ac:dyDescent="0.25"/>
    <row r="9971" ht="16.5" customHeight="1" x14ac:dyDescent="0.25"/>
    <row r="9972" ht="16.5" customHeight="1" x14ac:dyDescent="0.25"/>
    <row r="9973" ht="16.5" customHeight="1" x14ac:dyDescent="0.25"/>
    <row r="9974" ht="16.5" customHeight="1" x14ac:dyDescent="0.25"/>
    <row r="9975" ht="16.5" customHeight="1" x14ac:dyDescent="0.25"/>
    <row r="9976" ht="16.5" customHeight="1" x14ac:dyDescent="0.25"/>
    <row r="9977" ht="16.5" customHeight="1" x14ac:dyDescent="0.25"/>
    <row r="9978" ht="16.5" customHeight="1" x14ac:dyDescent="0.25"/>
    <row r="9979" ht="16.5" customHeight="1" x14ac:dyDescent="0.25"/>
    <row r="9980" ht="16.5" customHeight="1" x14ac:dyDescent="0.25"/>
    <row r="9981" ht="16.5" customHeight="1" x14ac:dyDescent="0.25"/>
    <row r="9982" ht="16.5" customHeight="1" x14ac:dyDescent="0.25"/>
    <row r="9983" ht="16.5" customHeight="1" x14ac:dyDescent="0.25"/>
    <row r="9984" ht="16.5" customHeight="1" x14ac:dyDescent="0.25"/>
    <row r="9985" ht="16.5" customHeight="1" x14ac:dyDescent="0.25"/>
    <row r="9986" ht="16.5" customHeight="1" x14ac:dyDescent="0.25"/>
    <row r="9987" ht="16.5" customHeight="1" x14ac:dyDescent="0.25"/>
    <row r="9988" ht="16.5" customHeight="1" x14ac:dyDescent="0.25"/>
    <row r="9989" ht="16.5" customHeight="1" x14ac:dyDescent="0.25"/>
    <row r="9990" ht="16.5" customHeight="1" x14ac:dyDescent="0.25"/>
    <row r="9991" ht="16.5" customHeight="1" x14ac:dyDescent="0.25"/>
    <row r="9992" ht="16.5" customHeight="1" x14ac:dyDescent="0.25"/>
    <row r="9993" ht="16.5" customHeight="1" x14ac:dyDescent="0.25"/>
    <row r="9994" ht="16.5" customHeight="1" x14ac:dyDescent="0.25"/>
    <row r="9995" ht="16.5" customHeight="1" x14ac:dyDescent="0.25"/>
    <row r="9996" ht="16.5" customHeight="1" x14ac:dyDescent="0.25"/>
    <row r="9997" ht="16.5" customHeight="1" x14ac:dyDescent="0.25"/>
    <row r="9998" ht="16.5" customHeight="1" x14ac:dyDescent="0.25"/>
    <row r="9999" ht="16.5" customHeight="1" x14ac:dyDescent="0.25"/>
    <row r="10000" ht="16.5" customHeight="1" x14ac:dyDescent="0.25"/>
    <row r="10001" ht="16.5" customHeight="1" x14ac:dyDescent="0.25"/>
    <row r="10002" ht="16.5" customHeight="1" x14ac:dyDescent="0.25"/>
    <row r="10003" ht="16.5" customHeight="1" x14ac:dyDescent="0.25"/>
    <row r="10004" ht="16.5" customHeight="1" x14ac:dyDescent="0.25"/>
    <row r="10005" ht="16.5" customHeight="1" x14ac:dyDescent="0.25"/>
    <row r="10006" ht="16.5" customHeight="1" x14ac:dyDescent="0.25"/>
    <row r="10007" ht="16.5" customHeight="1" x14ac:dyDescent="0.25"/>
    <row r="10008" ht="16.5" customHeight="1" x14ac:dyDescent="0.25"/>
    <row r="10009" ht="16.5" customHeight="1" x14ac:dyDescent="0.25"/>
    <row r="10010" ht="16.5" customHeight="1" x14ac:dyDescent="0.25"/>
    <row r="10011" ht="16.5" customHeight="1" x14ac:dyDescent="0.25"/>
    <row r="10012" ht="16.5" customHeight="1" x14ac:dyDescent="0.25"/>
    <row r="10013" ht="16.5" customHeight="1" x14ac:dyDescent="0.25"/>
    <row r="10014" ht="16.5" customHeight="1" x14ac:dyDescent="0.25"/>
    <row r="10015" ht="16.5" customHeight="1" x14ac:dyDescent="0.25"/>
    <row r="10016" ht="16.5" customHeight="1" x14ac:dyDescent="0.25"/>
    <row r="10017" ht="16.5" customHeight="1" x14ac:dyDescent="0.25"/>
    <row r="10018" ht="16.5" customHeight="1" x14ac:dyDescent="0.25"/>
    <row r="10019" ht="16.5" customHeight="1" x14ac:dyDescent="0.25"/>
    <row r="10020" ht="16.5" customHeight="1" x14ac:dyDescent="0.25"/>
    <row r="10021" ht="16.5" customHeight="1" x14ac:dyDescent="0.25"/>
    <row r="10022" ht="16.5" customHeight="1" x14ac:dyDescent="0.25"/>
    <row r="10023" ht="16.5" customHeight="1" x14ac:dyDescent="0.25"/>
    <row r="10024" ht="16.5" customHeight="1" x14ac:dyDescent="0.25"/>
    <row r="10025" ht="16.5" customHeight="1" x14ac:dyDescent="0.25"/>
    <row r="10026" ht="16.5" customHeight="1" x14ac:dyDescent="0.25"/>
    <row r="10027" ht="16.5" customHeight="1" x14ac:dyDescent="0.25"/>
    <row r="10028" ht="16.5" customHeight="1" x14ac:dyDescent="0.25"/>
    <row r="10029" ht="16.5" customHeight="1" x14ac:dyDescent="0.25"/>
    <row r="10030" ht="16.5" customHeight="1" x14ac:dyDescent="0.25"/>
    <row r="10031" ht="16.5" customHeight="1" x14ac:dyDescent="0.25"/>
    <row r="10032" ht="16.5" customHeight="1" x14ac:dyDescent="0.25"/>
    <row r="10033" ht="16.5" customHeight="1" x14ac:dyDescent="0.25"/>
    <row r="10034" ht="16.5" customHeight="1" x14ac:dyDescent="0.25"/>
    <row r="10035" ht="16.5" customHeight="1" x14ac:dyDescent="0.25"/>
    <row r="10036" ht="16.5" customHeight="1" x14ac:dyDescent="0.25"/>
    <row r="10037" ht="16.5" customHeight="1" x14ac:dyDescent="0.25"/>
    <row r="10038" ht="16.5" customHeight="1" x14ac:dyDescent="0.25"/>
    <row r="10039" ht="16.5" customHeight="1" x14ac:dyDescent="0.25"/>
    <row r="10040" ht="16.5" customHeight="1" x14ac:dyDescent="0.25"/>
    <row r="10041" ht="16.5" customHeight="1" x14ac:dyDescent="0.25"/>
    <row r="10042" ht="16.5" customHeight="1" x14ac:dyDescent="0.25"/>
    <row r="10043" ht="16.5" customHeight="1" x14ac:dyDescent="0.25"/>
    <row r="10044" ht="16.5" customHeight="1" x14ac:dyDescent="0.25"/>
    <row r="10045" ht="16.5" customHeight="1" x14ac:dyDescent="0.25"/>
    <row r="10046" ht="16.5" customHeight="1" x14ac:dyDescent="0.25"/>
    <row r="10047" ht="16.5" customHeight="1" x14ac:dyDescent="0.25"/>
    <row r="10048" ht="16.5" customHeight="1" x14ac:dyDescent="0.25"/>
    <row r="10049" ht="16.5" customHeight="1" x14ac:dyDescent="0.25"/>
    <row r="10050" ht="16.5" customHeight="1" x14ac:dyDescent="0.25"/>
    <row r="10051" ht="16.5" customHeight="1" x14ac:dyDescent="0.25"/>
    <row r="10052" ht="16.5" customHeight="1" x14ac:dyDescent="0.25"/>
    <row r="10053" ht="16.5" customHeight="1" x14ac:dyDescent="0.25"/>
    <row r="10054" ht="16.5" customHeight="1" x14ac:dyDescent="0.25"/>
    <row r="10055" ht="16.5" customHeight="1" x14ac:dyDescent="0.25"/>
    <row r="10056" ht="16.5" customHeight="1" x14ac:dyDescent="0.25"/>
    <row r="10057" ht="16.5" customHeight="1" x14ac:dyDescent="0.25"/>
    <row r="10058" ht="16.5" customHeight="1" x14ac:dyDescent="0.25"/>
    <row r="10059" ht="16.5" customHeight="1" x14ac:dyDescent="0.25"/>
    <row r="10060" ht="16.5" customHeight="1" x14ac:dyDescent="0.25"/>
    <row r="10061" ht="16.5" customHeight="1" x14ac:dyDescent="0.25"/>
    <row r="10062" ht="16.5" customHeight="1" x14ac:dyDescent="0.25"/>
    <row r="10063" ht="16.5" customHeight="1" x14ac:dyDescent="0.25"/>
    <row r="10064" ht="16.5" customHeight="1" x14ac:dyDescent="0.25"/>
    <row r="10065" ht="16.5" customHeight="1" x14ac:dyDescent="0.25"/>
    <row r="10066" ht="16.5" customHeight="1" x14ac:dyDescent="0.25"/>
    <row r="10067" ht="16.5" customHeight="1" x14ac:dyDescent="0.25"/>
    <row r="10068" ht="16.5" customHeight="1" x14ac:dyDescent="0.25"/>
    <row r="10069" ht="16.5" customHeight="1" x14ac:dyDescent="0.25"/>
    <row r="10070" ht="16.5" customHeight="1" x14ac:dyDescent="0.25"/>
    <row r="10071" ht="16.5" customHeight="1" x14ac:dyDescent="0.25"/>
    <row r="10072" ht="16.5" customHeight="1" x14ac:dyDescent="0.25"/>
    <row r="10073" ht="16.5" customHeight="1" x14ac:dyDescent="0.25"/>
    <row r="10074" ht="16.5" customHeight="1" x14ac:dyDescent="0.25"/>
    <row r="10075" ht="16.5" customHeight="1" x14ac:dyDescent="0.25"/>
    <row r="10076" ht="16.5" customHeight="1" x14ac:dyDescent="0.25"/>
    <row r="10077" ht="16.5" customHeight="1" x14ac:dyDescent="0.25"/>
    <row r="10078" ht="16.5" customHeight="1" x14ac:dyDescent="0.25"/>
    <row r="10079" ht="16.5" customHeight="1" x14ac:dyDescent="0.25"/>
    <row r="10080" ht="16.5" customHeight="1" x14ac:dyDescent="0.25"/>
    <row r="10081" ht="16.5" customHeight="1" x14ac:dyDescent="0.25"/>
    <row r="10082" ht="16.5" customHeight="1" x14ac:dyDescent="0.25"/>
    <row r="10083" ht="16.5" customHeight="1" x14ac:dyDescent="0.25"/>
    <row r="10084" ht="16.5" customHeight="1" x14ac:dyDescent="0.25"/>
    <row r="10085" ht="16.5" customHeight="1" x14ac:dyDescent="0.25"/>
    <row r="10086" ht="16.5" customHeight="1" x14ac:dyDescent="0.25"/>
    <row r="10087" ht="16.5" customHeight="1" x14ac:dyDescent="0.25"/>
    <row r="10088" ht="16.5" customHeight="1" x14ac:dyDescent="0.25"/>
    <row r="10089" ht="16.5" customHeight="1" x14ac:dyDescent="0.25"/>
    <row r="10090" ht="16.5" customHeight="1" x14ac:dyDescent="0.25"/>
    <row r="10091" ht="16.5" customHeight="1" x14ac:dyDescent="0.25"/>
    <row r="10092" ht="16.5" customHeight="1" x14ac:dyDescent="0.25"/>
    <row r="10093" ht="16.5" customHeight="1" x14ac:dyDescent="0.25"/>
    <row r="10094" ht="16.5" customHeight="1" x14ac:dyDescent="0.25"/>
    <row r="10095" ht="16.5" customHeight="1" x14ac:dyDescent="0.25"/>
    <row r="10096" ht="16.5" customHeight="1" x14ac:dyDescent="0.25"/>
    <row r="10097" ht="16.5" customHeight="1" x14ac:dyDescent="0.25"/>
    <row r="10098" ht="16.5" customHeight="1" x14ac:dyDescent="0.25"/>
    <row r="10099" ht="16.5" customHeight="1" x14ac:dyDescent="0.25"/>
    <row r="10100" ht="16.5" customHeight="1" x14ac:dyDescent="0.25"/>
    <row r="10101" ht="16.5" customHeight="1" x14ac:dyDescent="0.25"/>
    <row r="10102" ht="16.5" customHeight="1" x14ac:dyDescent="0.25"/>
    <row r="10103" ht="16.5" customHeight="1" x14ac:dyDescent="0.25"/>
    <row r="10104" ht="16.5" customHeight="1" x14ac:dyDescent="0.25"/>
    <row r="10105" ht="16.5" customHeight="1" x14ac:dyDescent="0.25"/>
    <row r="10106" ht="16.5" customHeight="1" x14ac:dyDescent="0.25"/>
    <row r="10107" ht="16.5" customHeight="1" x14ac:dyDescent="0.25"/>
    <row r="10108" ht="16.5" customHeight="1" x14ac:dyDescent="0.25"/>
    <row r="10109" ht="16.5" customHeight="1" x14ac:dyDescent="0.25"/>
    <row r="10110" ht="16.5" customHeight="1" x14ac:dyDescent="0.25"/>
    <row r="10111" ht="16.5" customHeight="1" x14ac:dyDescent="0.25"/>
    <row r="10112" ht="16.5" customHeight="1" x14ac:dyDescent="0.25"/>
    <row r="10113" ht="16.5" customHeight="1" x14ac:dyDescent="0.25"/>
    <row r="10114" ht="16.5" customHeight="1" x14ac:dyDescent="0.25"/>
    <row r="10115" ht="16.5" customHeight="1" x14ac:dyDescent="0.25"/>
    <row r="10116" ht="16.5" customHeight="1" x14ac:dyDescent="0.25"/>
    <row r="10117" ht="16.5" customHeight="1" x14ac:dyDescent="0.25"/>
    <row r="10118" ht="16.5" customHeight="1" x14ac:dyDescent="0.25"/>
    <row r="10119" ht="16.5" customHeight="1" x14ac:dyDescent="0.25"/>
    <row r="10120" ht="16.5" customHeight="1" x14ac:dyDescent="0.25"/>
    <row r="10121" ht="16.5" customHeight="1" x14ac:dyDescent="0.25"/>
    <row r="10122" ht="16.5" customHeight="1" x14ac:dyDescent="0.25"/>
    <row r="10123" ht="16.5" customHeight="1" x14ac:dyDescent="0.25"/>
    <row r="10124" ht="16.5" customHeight="1" x14ac:dyDescent="0.25"/>
    <row r="10125" ht="16.5" customHeight="1" x14ac:dyDescent="0.25"/>
    <row r="10126" ht="16.5" customHeight="1" x14ac:dyDescent="0.25"/>
    <row r="10127" ht="16.5" customHeight="1" x14ac:dyDescent="0.25"/>
    <row r="10128" ht="16.5" customHeight="1" x14ac:dyDescent="0.25"/>
    <row r="10129" ht="16.5" customHeight="1" x14ac:dyDescent="0.25"/>
    <row r="10130" ht="16.5" customHeight="1" x14ac:dyDescent="0.25"/>
    <row r="10131" ht="16.5" customHeight="1" x14ac:dyDescent="0.25"/>
    <row r="10132" ht="16.5" customHeight="1" x14ac:dyDescent="0.25"/>
    <row r="10133" ht="16.5" customHeight="1" x14ac:dyDescent="0.25"/>
    <row r="10134" ht="16.5" customHeight="1" x14ac:dyDescent="0.25"/>
    <row r="10135" ht="16.5" customHeight="1" x14ac:dyDescent="0.25"/>
    <row r="10136" ht="16.5" customHeight="1" x14ac:dyDescent="0.25"/>
    <row r="10137" ht="16.5" customHeight="1" x14ac:dyDescent="0.25"/>
    <row r="10138" ht="16.5" customHeight="1" x14ac:dyDescent="0.25"/>
    <row r="10139" ht="16.5" customHeight="1" x14ac:dyDescent="0.25"/>
    <row r="10140" ht="16.5" customHeight="1" x14ac:dyDescent="0.25"/>
    <row r="10141" ht="16.5" customHeight="1" x14ac:dyDescent="0.25"/>
    <row r="10142" ht="16.5" customHeight="1" x14ac:dyDescent="0.25"/>
    <row r="10143" ht="16.5" customHeight="1" x14ac:dyDescent="0.25"/>
    <row r="10144" ht="16.5" customHeight="1" x14ac:dyDescent="0.25"/>
    <row r="10145" ht="16.5" customHeight="1" x14ac:dyDescent="0.25"/>
    <row r="10146" ht="16.5" customHeight="1" x14ac:dyDescent="0.25"/>
    <row r="10147" ht="16.5" customHeight="1" x14ac:dyDescent="0.25"/>
    <row r="10148" ht="16.5" customHeight="1" x14ac:dyDescent="0.25"/>
    <row r="10149" ht="16.5" customHeight="1" x14ac:dyDescent="0.25"/>
    <row r="10150" ht="16.5" customHeight="1" x14ac:dyDescent="0.25"/>
    <row r="10151" ht="16.5" customHeight="1" x14ac:dyDescent="0.25"/>
    <row r="10152" ht="16.5" customHeight="1" x14ac:dyDescent="0.25"/>
    <row r="10153" ht="16.5" customHeight="1" x14ac:dyDescent="0.25"/>
    <row r="10154" ht="16.5" customHeight="1" x14ac:dyDescent="0.25"/>
    <row r="10155" ht="16.5" customHeight="1" x14ac:dyDescent="0.25"/>
    <row r="10156" ht="16.5" customHeight="1" x14ac:dyDescent="0.25"/>
    <row r="10157" ht="16.5" customHeight="1" x14ac:dyDescent="0.25"/>
    <row r="10158" ht="16.5" customHeight="1" x14ac:dyDescent="0.25"/>
    <row r="10159" ht="16.5" customHeight="1" x14ac:dyDescent="0.25"/>
    <row r="10160" ht="16.5" customHeight="1" x14ac:dyDescent="0.25"/>
    <row r="10161" ht="16.5" customHeight="1" x14ac:dyDescent="0.25"/>
    <row r="10162" ht="16.5" customHeight="1" x14ac:dyDescent="0.25"/>
    <row r="10163" ht="16.5" customHeight="1" x14ac:dyDescent="0.25"/>
    <row r="10164" ht="16.5" customHeight="1" x14ac:dyDescent="0.25"/>
    <row r="10165" ht="16.5" customHeight="1" x14ac:dyDescent="0.25"/>
    <row r="10166" ht="16.5" customHeight="1" x14ac:dyDescent="0.25"/>
    <row r="10167" ht="16.5" customHeight="1" x14ac:dyDescent="0.25"/>
    <row r="10168" ht="16.5" customHeight="1" x14ac:dyDescent="0.25"/>
    <row r="10169" ht="16.5" customHeight="1" x14ac:dyDescent="0.25"/>
    <row r="10170" ht="16.5" customHeight="1" x14ac:dyDescent="0.25"/>
    <row r="10171" ht="16.5" customHeight="1" x14ac:dyDescent="0.25"/>
    <row r="10172" ht="16.5" customHeight="1" x14ac:dyDescent="0.25"/>
    <row r="10173" ht="16.5" customHeight="1" x14ac:dyDescent="0.25"/>
    <row r="10174" ht="16.5" customHeight="1" x14ac:dyDescent="0.25"/>
    <row r="10175" ht="16.5" customHeight="1" x14ac:dyDescent="0.25"/>
    <row r="10176" ht="16.5" customHeight="1" x14ac:dyDescent="0.25"/>
    <row r="10177" ht="16.5" customHeight="1" x14ac:dyDescent="0.25"/>
    <row r="10178" ht="16.5" customHeight="1" x14ac:dyDescent="0.25"/>
    <row r="10179" ht="16.5" customHeight="1" x14ac:dyDescent="0.25"/>
    <row r="10180" ht="16.5" customHeight="1" x14ac:dyDescent="0.25"/>
    <row r="10181" ht="16.5" customHeight="1" x14ac:dyDescent="0.25"/>
    <row r="10182" ht="16.5" customHeight="1" x14ac:dyDescent="0.25"/>
    <row r="10183" ht="16.5" customHeight="1" x14ac:dyDescent="0.25"/>
    <row r="10184" ht="16.5" customHeight="1" x14ac:dyDescent="0.25"/>
    <row r="10185" ht="16.5" customHeight="1" x14ac:dyDescent="0.25"/>
    <row r="10186" ht="16.5" customHeight="1" x14ac:dyDescent="0.25"/>
    <row r="10187" ht="16.5" customHeight="1" x14ac:dyDescent="0.25"/>
    <row r="10188" ht="16.5" customHeight="1" x14ac:dyDescent="0.25"/>
    <row r="10189" ht="16.5" customHeight="1" x14ac:dyDescent="0.25"/>
    <row r="10190" ht="16.5" customHeight="1" x14ac:dyDescent="0.25"/>
    <row r="10191" ht="16.5" customHeight="1" x14ac:dyDescent="0.25"/>
    <row r="10192" ht="16.5" customHeight="1" x14ac:dyDescent="0.25"/>
    <row r="10193" ht="16.5" customHeight="1" x14ac:dyDescent="0.25"/>
    <row r="10194" ht="16.5" customHeight="1" x14ac:dyDescent="0.25"/>
    <row r="10195" ht="16.5" customHeight="1" x14ac:dyDescent="0.25"/>
    <row r="10196" ht="16.5" customHeight="1" x14ac:dyDescent="0.25"/>
    <row r="10197" ht="16.5" customHeight="1" x14ac:dyDescent="0.25"/>
    <row r="10198" ht="16.5" customHeight="1" x14ac:dyDescent="0.25"/>
    <row r="10199" ht="16.5" customHeight="1" x14ac:dyDescent="0.25"/>
    <row r="10200" ht="16.5" customHeight="1" x14ac:dyDescent="0.25"/>
    <row r="10201" ht="16.5" customHeight="1" x14ac:dyDescent="0.25"/>
    <row r="10202" ht="16.5" customHeight="1" x14ac:dyDescent="0.25"/>
    <row r="10203" ht="16.5" customHeight="1" x14ac:dyDescent="0.25"/>
    <row r="10204" ht="16.5" customHeight="1" x14ac:dyDescent="0.25"/>
    <row r="10205" ht="16.5" customHeight="1" x14ac:dyDescent="0.25"/>
    <row r="10206" ht="16.5" customHeight="1" x14ac:dyDescent="0.25"/>
    <row r="10207" ht="16.5" customHeight="1" x14ac:dyDescent="0.25"/>
    <row r="10208" ht="16.5" customHeight="1" x14ac:dyDescent="0.25"/>
    <row r="10209" ht="16.5" customHeight="1" x14ac:dyDescent="0.25"/>
    <row r="10210" ht="16.5" customHeight="1" x14ac:dyDescent="0.25"/>
    <row r="10211" ht="16.5" customHeight="1" x14ac:dyDescent="0.25"/>
    <row r="10212" ht="16.5" customHeight="1" x14ac:dyDescent="0.25"/>
    <row r="10213" ht="16.5" customHeight="1" x14ac:dyDescent="0.25"/>
    <row r="10214" ht="16.5" customHeight="1" x14ac:dyDescent="0.25"/>
    <row r="10215" ht="16.5" customHeight="1" x14ac:dyDescent="0.25"/>
    <row r="10216" ht="16.5" customHeight="1" x14ac:dyDescent="0.25"/>
    <row r="10217" ht="16.5" customHeight="1" x14ac:dyDescent="0.25"/>
    <row r="10218" ht="16.5" customHeight="1" x14ac:dyDescent="0.25"/>
    <row r="10219" ht="16.5" customHeight="1" x14ac:dyDescent="0.25"/>
    <row r="10220" ht="16.5" customHeight="1" x14ac:dyDescent="0.25"/>
    <row r="10221" ht="16.5" customHeight="1" x14ac:dyDescent="0.25"/>
    <row r="10222" ht="16.5" customHeight="1" x14ac:dyDescent="0.25"/>
    <row r="10223" ht="16.5" customHeight="1" x14ac:dyDescent="0.25"/>
    <row r="10224" ht="16.5" customHeight="1" x14ac:dyDescent="0.25"/>
    <row r="10225" ht="16.5" customHeight="1" x14ac:dyDescent="0.25"/>
    <row r="10226" ht="16.5" customHeight="1" x14ac:dyDescent="0.25"/>
    <row r="10227" ht="16.5" customHeight="1" x14ac:dyDescent="0.25"/>
    <row r="10228" ht="16.5" customHeight="1" x14ac:dyDescent="0.25"/>
    <row r="10229" ht="16.5" customHeight="1" x14ac:dyDescent="0.25"/>
    <row r="10230" ht="16.5" customHeight="1" x14ac:dyDescent="0.25"/>
    <row r="10231" ht="16.5" customHeight="1" x14ac:dyDescent="0.25"/>
    <row r="10232" ht="16.5" customHeight="1" x14ac:dyDescent="0.25"/>
    <row r="10233" ht="16.5" customHeight="1" x14ac:dyDescent="0.25"/>
    <row r="10234" ht="16.5" customHeight="1" x14ac:dyDescent="0.25"/>
    <row r="10235" ht="16.5" customHeight="1" x14ac:dyDescent="0.25"/>
    <row r="10236" ht="16.5" customHeight="1" x14ac:dyDescent="0.25"/>
    <row r="10237" ht="16.5" customHeight="1" x14ac:dyDescent="0.25"/>
    <row r="10238" ht="16.5" customHeight="1" x14ac:dyDescent="0.25"/>
    <row r="10239" ht="16.5" customHeight="1" x14ac:dyDescent="0.25"/>
    <row r="10240" ht="16.5" customHeight="1" x14ac:dyDescent="0.25"/>
    <row r="10241" ht="16.5" customHeight="1" x14ac:dyDescent="0.25"/>
    <row r="10242" ht="16.5" customHeight="1" x14ac:dyDescent="0.25"/>
    <row r="10243" ht="16.5" customHeight="1" x14ac:dyDescent="0.25"/>
    <row r="10244" ht="16.5" customHeight="1" x14ac:dyDescent="0.25"/>
    <row r="10245" ht="16.5" customHeight="1" x14ac:dyDescent="0.25"/>
    <row r="10246" ht="16.5" customHeight="1" x14ac:dyDescent="0.25"/>
    <row r="10247" ht="16.5" customHeight="1" x14ac:dyDescent="0.25"/>
    <row r="10248" ht="16.5" customHeight="1" x14ac:dyDescent="0.25"/>
    <row r="10249" ht="16.5" customHeight="1" x14ac:dyDescent="0.25"/>
    <row r="10250" ht="16.5" customHeight="1" x14ac:dyDescent="0.25"/>
    <row r="10251" ht="16.5" customHeight="1" x14ac:dyDescent="0.25"/>
    <row r="10252" ht="16.5" customHeight="1" x14ac:dyDescent="0.25"/>
    <row r="10253" ht="16.5" customHeight="1" x14ac:dyDescent="0.25"/>
    <row r="10254" ht="16.5" customHeight="1" x14ac:dyDescent="0.25"/>
    <row r="10255" ht="16.5" customHeight="1" x14ac:dyDescent="0.25"/>
    <row r="10256" ht="16.5" customHeight="1" x14ac:dyDescent="0.25"/>
    <row r="10257" ht="16.5" customHeight="1" x14ac:dyDescent="0.25"/>
    <row r="10258" ht="16.5" customHeight="1" x14ac:dyDescent="0.25"/>
    <row r="10259" ht="16.5" customHeight="1" x14ac:dyDescent="0.25"/>
    <row r="10260" ht="16.5" customHeight="1" x14ac:dyDescent="0.25"/>
    <row r="10261" ht="16.5" customHeight="1" x14ac:dyDescent="0.25"/>
    <row r="10262" ht="16.5" customHeight="1" x14ac:dyDescent="0.25"/>
    <row r="10263" ht="16.5" customHeight="1" x14ac:dyDescent="0.25"/>
    <row r="10264" ht="16.5" customHeight="1" x14ac:dyDescent="0.25"/>
    <row r="10265" ht="16.5" customHeight="1" x14ac:dyDescent="0.25"/>
    <row r="10266" ht="16.5" customHeight="1" x14ac:dyDescent="0.25"/>
    <row r="10267" ht="16.5" customHeight="1" x14ac:dyDescent="0.25"/>
    <row r="10268" ht="16.5" customHeight="1" x14ac:dyDescent="0.25"/>
    <row r="10269" ht="16.5" customHeight="1" x14ac:dyDescent="0.25"/>
    <row r="10270" ht="16.5" customHeight="1" x14ac:dyDescent="0.25"/>
    <row r="10271" ht="16.5" customHeight="1" x14ac:dyDescent="0.25"/>
    <row r="10272" ht="16.5" customHeight="1" x14ac:dyDescent="0.25"/>
    <row r="10273" ht="16.5" customHeight="1" x14ac:dyDescent="0.25"/>
    <row r="10274" ht="16.5" customHeight="1" x14ac:dyDescent="0.25"/>
    <row r="10275" ht="16.5" customHeight="1" x14ac:dyDescent="0.25"/>
    <row r="10276" ht="16.5" customHeight="1" x14ac:dyDescent="0.25"/>
    <row r="10277" ht="16.5" customHeight="1" x14ac:dyDescent="0.25"/>
    <row r="10278" ht="16.5" customHeight="1" x14ac:dyDescent="0.25"/>
    <row r="10279" ht="16.5" customHeight="1" x14ac:dyDescent="0.25"/>
    <row r="10280" ht="16.5" customHeight="1" x14ac:dyDescent="0.25"/>
    <row r="10281" ht="16.5" customHeight="1" x14ac:dyDescent="0.25"/>
    <row r="10282" ht="16.5" customHeight="1" x14ac:dyDescent="0.25"/>
    <row r="10283" ht="16.5" customHeight="1" x14ac:dyDescent="0.25"/>
    <row r="10284" ht="16.5" customHeight="1" x14ac:dyDescent="0.25"/>
    <row r="10285" ht="16.5" customHeight="1" x14ac:dyDescent="0.25"/>
    <row r="10286" ht="16.5" customHeight="1" x14ac:dyDescent="0.25"/>
    <row r="10287" ht="16.5" customHeight="1" x14ac:dyDescent="0.25"/>
    <row r="10288" ht="16.5" customHeight="1" x14ac:dyDescent="0.25"/>
    <row r="10289" ht="16.5" customHeight="1" x14ac:dyDescent="0.25"/>
    <row r="10290" ht="16.5" customHeight="1" x14ac:dyDescent="0.25"/>
    <row r="10291" ht="16.5" customHeight="1" x14ac:dyDescent="0.25"/>
    <row r="10292" ht="16.5" customHeight="1" x14ac:dyDescent="0.25"/>
    <row r="10293" ht="16.5" customHeight="1" x14ac:dyDescent="0.25"/>
    <row r="10294" ht="16.5" customHeight="1" x14ac:dyDescent="0.25"/>
    <row r="10295" ht="16.5" customHeight="1" x14ac:dyDescent="0.25"/>
    <row r="10296" ht="16.5" customHeight="1" x14ac:dyDescent="0.25"/>
    <row r="10297" ht="16.5" customHeight="1" x14ac:dyDescent="0.25"/>
    <row r="10298" ht="16.5" customHeight="1" x14ac:dyDescent="0.25"/>
    <row r="10299" ht="16.5" customHeight="1" x14ac:dyDescent="0.25"/>
    <row r="10300" ht="16.5" customHeight="1" x14ac:dyDescent="0.25"/>
    <row r="10301" ht="16.5" customHeight="1" x14ac:dyDescent="0.25"/>
    <row r="10302" ht="16.5" customHeight="1" x14ac:dyDescent="0.25"/>
    <row r="10303" ht="16.5" customHeight="1" x14ac:dyDescent="0.25"/>
    <row r="10304" ht="16.5" customHeight="1" x14ac:dyDescent="0.25"/>
    <row r="10305" ht="16.5" customHeight="1" x14ac:dyDescent="0.25"/>
    <row r="10306" ht="16.5" customHeight="1" x14ac:dyDescent="0.25"/>
    <row r="10307" ht="16.5" customHeight="1" x14ac:dyDescent="0.25"/>
    <row r="10308" ht="16.5" customHeight="1" x14ac:dyDescent="0.25"/>
    <row r="10309" ht="16.5" customHeight="1" x14ac:dyDescent="0.25"/>
    <row r="10310" ht="16.5" customHeight="1" x14ac:dyDescent="0.25"/>
    <row r="10311" ht="16.5" customHeight="1" x14ac:dyDescent="0.25"/>
    <row r="10312" ht="16.5" customHeight="1" x14ac:dyDescent="0.25"/>
    <row r="10313" ht="16.5" customHeight="1" x14ac:dyDescent="0.25"/>
    <row r="10314" ht="16.5" customHeight="1" x14ac:dyDescent="0.25"/>
    <row r="10315" ht="16.5" customHeight="1" x14ac:dyDescent="0.25"/>
    <row r="10316" ht="16.5" customHeight="1" x14ac:dyDescent="0.25"/>
    <row r="10317" ht="16.5" customHeight="1" x14ac:dyDescent="0.25"/>
    <row r="10318" ht="16.5" customHeight="1" x14ac:dyDescent="0.25"/>
    <row r="10319" ht="16.5" customHeight="1" x14ac:dyDescent="0.25"/>
    <row r="10320" ht="16.5" customHeight="1" x14ac:dyDescent="0.25"/>
    <row r="10321" ht="16.5" customHeight="1" x14ac:dyDescent="0.25"/>
    <row r="10322" ht="16.5" customHeight="1" x14ac:dyDescent="0.25"/>
    <row r="10323" ht="16.5" customHeight="1" x14ac:dyDescent="0.25"/>
    <row r="10324" ht="16.5" customHeight="1" x14ac:dyDescent="0.25"/>
    <row r="10325" ht="16.5" customHeight="1" x14ac:dyDescent="0.25"/>
    <row r="10326" ht="16.5" customHeight="1" x14ac:dyDescent="0.25"/>
    <row r="10327" ht="16.5" customHeight="1" x14ac:dyDescent="0.25"/>
    <row r="10328" ht="16.5" customHeight="1" x14ac:dyDescent="0.25"/>
    <row r="10329" ht="16.5" customHeight="1" x14ac:dyDescent="0.25"/>
    <row r="10330" ht="16.5" customHeight="1" x14ac:dyDescent="0.25"/>
    <row r="10331" ht="16.5" customHeight="1" x14ac:dyDescent="0.25"/>
    <row r="10332" ht="16.5" customHeight="1" x14ac:dyDescent="0.25"/>
    <row r="10333" ht="16.5" customHeight="1" x14ac:dyDescent="0.25"/>
    <row r="10334" ht="16.5" customHeight="1" x14ac:dyDescent="0.25"/>
    <row r="10335" ht="16.5" customHeight="1" x14ac:dyDescent="0.25"/>
    <row r="10336" ht="16.5" customHeight="1" x14ac:dyDescent="0.25"/>
    <row r="10337" ht="16.5" customHeight="1" x14ac:dyDescent="0.25"/>
    <row r="10338" ht="16.5" customHeight="1" x14ac:dyDescent="0.25"/>
    <row r="10339" ht="16.5" customHeight="1" x14ac:dyDescent="0.25"/>
    <row r="10340" ht="16.5" customHeight="1" x14ac:dyDescent="0.25"/>
    <row r="10341" ht="16.5" customHeight="1" x14ac:dyDescent="0.25"/>
    <row r="10342" ht="16.5" customHeight="1" x14ac:dyDescent="0.25"/>
    <row r="10343" ht="16.5" customHeight="1" x14ac:dyDescent="0.25"/>
    <row r="10344" ht="16.5" customHeight="1" x14ac:dyDescent="0.25"/>
    <row r="10345" ht="16.5" customHeight="1" x14ac:dyDescent="0.25"/>
    <row r="10346" ht="16.5" customHeight="1" x14ac:dyDescent="0.25"/>
    <row r="10347" ht="16.5" customHeight="1" x14ac:dyDescent="0.25"/>
    <row r="10348" ht="16.5" customHeight="1" x14ac:dyDescent="0.25"/>
    <row r="10349" ht="16.5" customHeight="1" x14ac:dyDescent="0.25"/>
    <row r="10350" ht="16.5" customHeight="1" x14ac:dyDescent="0.25"/>
    <row r="10351" ht="16.5" customHeight="1" x14ac:dyDescent="0.25"/>
    <row r="10352" ht="16.5" customHeight="1" x14ac:dyDescent="0.25"/>
    <row r="10353" ht="16.5" customHeight="1" x14ac:dyDescent="0.25"/>
    <row r="10354" ht="16.5" customHeight="1" x14ac:dyDescent="0.25"/>
    <row r="10355" ht="16.5" customHeight="1" x14ac:dyDescent="0.25"/>
    <row r="10356" ht="16.5" customHeight="1" x14ac:dyDescent="0.25"/>
    <row r="10357" ht="16.5" customHeight="1" x14ac:dyDescent="0.25"/>
    <row r="10358" ht="16.5" customHeight="1" x14ac:dyDescent="0.25"/>
    <row r="10359" ht="16.5" customHeight="1" x14ac:dyDescent="0.25"/>
    <row r="10360" ht="16.5" customHeight="1" x14ac:dyDescent="0.25"/>
    <row r="10361" ht="16.5" customHeight="1" x14ac:dyDescent="0.25"/>
    <row r="10362" ht="16.5" customHeight="1" x14ac:dyDescent="0.25"/>
    <row r="10363" ht="16.5" customHeight="1" x14ac:dyDescent="0.25"/>
    <row r="10364" ht="16.5" customHeight="1" x14ac:dyDescent="0.25"/>
    <row r="10365" ht="16.5" customHeight="1" x14ac:dyDescent="0.25"/>
    <row r="10366" ht="16.5" customHeight="1" x14ac:dyDescent="0.25"/>
    <row r="10367" ht="16.5" customHeight="1" x14ac:dyDescent="0.25"/>
    <row r="10368" ht="16.5" customHeight="1" x14ac:dyDescent="0.25"/>
    <row r="10369" ht="16.5" customHeight="1" x14ac:dyDescent="0.25"/>
    <row r="10370" ht="16.5" customHeight="1" x14ac:dyDescent="0.25"/>
    <row r="10371" ht="16.5" customHeight="1" x14ac:dyDescent="0.25"/>
    <row r="10372" ht="16.5" customHeight="1" x14ac:dyDescent="0.25"/>
    <row r="10373" ht="16.5" customHeight="1" x14ac:dyDescent="0.25"/>
    <row r="10374" ht="16.5" customHeight="1" x14ac:dyDescent="0.25"/>
    <row r="10375" ht="16.5" customHeight="1" x14ac:dyDescent="0.25"/>
    <row r="10376" ht="16.5" customHeight="1" x14ac:dyDescent="0.25"/>
    <row r="10377" ht="16.5" customHeight="1" x14ac:dyDescent="0.25"/>
    <row r="10378" ht="16.5" customHeight="1" x14ac:dyDescent="0.25"/>
    <row r="10379" ht="16.5" customHeight="1" x14ac:dyDescent="0.25"/>
    <row r="10380" ht="16.5" customHeight="1" x14ac:dyDescent="0.25"/>
    <row r="10381" ht="16.5" customHeight="1" x14ac:dyDescent="0.25"/>
    <row r="10382" ht="16.5" customHeight="1" x14ac:dyDescent="0.25"/>
    <row r="10383" ht="16.5" customHeight="1" x14ac:dyDescent="0.25"/>
    <row r="10384" ht="16.5" customHeight="1" x14ac:dyDescent="0.25"/>
    <row r="10385" ht="16.5" customHeight="1" x14ac:dyDescent="0.25"/>
    <row r="10386" ht="16.5" customHeight="1" x14ac:dyDescent="0.25"/>
    <row r="10387" ht="16.5" customHeight="1" x14ac:dyDescent="0.25"/>
    <row r="10388" ht="16.5" customHeight="1" x14ac:dyDescent="0.25"/>
    <row r="10389" ht="16.5" customHeight="1" x14ac:dyDescent="0.25"/>
    <row r="10390" ht="16.5" customHeight="1" x14ac:dyDescent="0.25"/>
    <row r="10391" ht="16.5" customHeight="1" x14ac:dyDescent="0.25"/>
    <row r="10392" ht="16.5" customHeight="1" x14ac:dyDescent="0.25"/>
    <row r="10393" ht="16.5" customHeight="1" x14ac:dyDescent="0.25"/>
    <row r="10394" ht="16.5" customHeight="1" x14ac:dyDescent="0.25"/>
    <row r="10395" ht="16.5" customHeight="1" x14ac:dyDescent="0.25"/>
    <row r="10396" ht="16.5" customHeight="1" x14ac:dyDescent="0.25"/>
    <row r="10397" ht="16.5" customHeight="1" x14ac:dyDescent="0.25"/>
    <row r="10398" ht="16.5" customHeight="1" x14ac:dyDescent="0.25"/>
    <row r="10399" ht="16.5" customHeight="1" x14ac:dyDescent="0.25"/>
    <row r="10400" ht="16.5" customHeight="1" x14ac:dyDescent="0.25"/>
    <row r="10401" ht="16.5" customHeight="1" x14ac:dyDescent="0.25"/>
    <row r="10402" ht="16.5" customHeight="1" x14ac:dyDescent="0.25"/>
    <row r="10403" ht="16.5" customHeight="1" x14ac:dyDescent="0.25"/>
    <row r="10404" ht="16.5" customHeight="1" x14ac:dyDescent="0.25"/>
    <row r="10405" ht="16.5" customHeight="1" x14ac:dyDescent="0.25"/>
    <row r="10406" ht="16.5" customHeight="1" x14ac:dyDescent="0.25"/>
    <row r="10407" ht="16.5" customHeight="1" x14ac:dyDescent="0.25"/>
    <row r="10408" ht="16.5" customHeight="1" x14ac:dyDescent="0.25"/>
    <row r="10409" ht="16.5" customHeight="1" x14ac:dyDescent="0.25"/>
    <row r="10410" ht="16.5" customHeight="1" x14ac:dyDescent="0.25"/>
    <row r="10411" ht="16.5" customHeight="1" x14ac:dyDescent="0.25"/>
    <row r="10412" ht="16.5" customHeight="1" x14ac:dyDescent="0.25"/>
    <row r="10413" ht="16.5" customHeight="1" x14ac:dyDescent="0.25"/>
    <row r="10414" ht="16.5" customHeight="1" x14ac:dyDescent="0.25"/>
    <row r="10415" ht="16.5" customHeight="1" x14ac:dyDescent="0.25"/>
    <row r="10416" ht="16.5" customHeight="1" x14ac:dyDescent="0.25"/>
    <row r="10417" ht="16.5" customHeight="1" x14ac:dyDescent="0.25"/>
    <row r="10418" ht="16.5" customHeight="1" x14ac:dyDescent="0.25"/>
    <row r="10419" ht="16.5" customHeight="1" x14ac:dyDescent="0.25"/>
    <row r="10420" ht="16.5" customHeight="1" x14ac:dyDescent="0.25"/>
    <row r="10421" ht="16.5" customHeight="1" x14ac:dyDescent="0.25"/>
    <row r="10422" ht="16.5" customHeight="1" x14ac:dyDescent="0.25"/>
    <row r="10423" ht="16.5" customHeight="1" x14ac:dyDescent="0.25"/>
    <row r="10424" ht="16.5" customHeight="1" x14ac:dyDescent="0.25"/>
    <row r="10425" ht="16.5" customHeight="1" x14ac:dyDescent="0.25"/>
    <row r="10426" ht="16.5" customHeight="1" x14ac:dyDescent="0.25"/>
    <row r="10427" ht="16.5" customHeight="1" x14ac:dyDescent="0.25"/>
    <row r="10428" ht="16.5" customHeight="1" x14ac:dyDescent="0.25"/>
    <row r="10429" ht="16.5" customHeight="1" x14ac:dyDescent="0.25"/>
    <row r="10430" ht="16.5" customHeight="1" x14ac:dyDescent="0.25"/>
    <row r="10431" ht="16.5" customHeight="1" x14ac:dyDescent="0.25"/>
    <row r="10432" ht="16.5" customHeight="1" x14ac:dyDescent="0.25"/>
    <row r="10433" ht="16.5" customHeight="1" x14ac:dyDescent="0.25"/>
    <row r="10434" ht="16.5" customHeight="1" x14ac:dyDescent="0.25"/>
    <row r="10435" ht="16.5" customHeight="1" x14ac:dyDescent="0.25"/>
    <row r="10436" ht="16.5" customHeight="1" x14ac:dyDescent="0.25"/>
    <row r="10437" ht="16.5" customHeight="1" x14ac:dyDescent="0.25"/>
    <row r="10438" ht="16.5" customHeight="1" x14ac:dyDescent="0.25"/>
    <row r="10439" ht="16.5" customHeight="1" x14ac:dyDescent="0.25"/>
    <row r="10440" ht="16.5" customHeight="1" x14ac:dyDescent="0.25"/>
    <row r="10441" ht="16.5" customHeight="1" x14ac:dyDescent="0.25"/>
    <row r="10442" ht="16.5" customHeight="1" x14ac:dyDescent="0.25"/>
    <row r="10443" ht="16.5" customHeight="1" x14ac:dyDescent="0.25"/>
    <row r="10444" ht="16.5" customHeight="1" x14ac:dyDescent="0.25"/>
    <row r="10445" ht="16.5" customHeight="1" x14ac:dyDescent="0.25"/>
    <row r="10446" ht="16.5" customHeight="1" x14ac:dyDescent="0.25"/>
    <row r="10447" ht="16.5" customHeight="1" x14ac:dyDescent="0.25"/>
    <row r="10448" ht="16.5" customHeight="1" x14ac:dyDescent="0.25"/>
    <row r="10449" ht="16.5" customHeight="1" x14ac:dyDescent="0.25"/>
    <row r="10450" ht="16.5" customHeight="1" x14ac:dyDescent="0.25"/>
    <row r="10451" ht="16.5" customHeight="1" x14ac:dyDescent="0.25"/>
    <row r="10452" ht="16.5" customHeight="1" x14ac:dyDescent="0.25"/>
    <row r="10453" ht="16.5" customHeight="1" x14ac:dyDescent="0.25"/>
    <row r="10454" ht="16.5" customHeight="1" x14ac:dyDescent="0.25"/>
    <row r="10455" ht="16.5" customHeight="1" x14ac:dyDescent="0.25"/>
    <row r="10456" ht="16.5" customHeight="1" x14ac:dyDescent="0.25"/>
    <row r="10457" ht="16.5" customHeight="1" x14ac:dyDescent="0.25"/>
    <row r="10458" ht="16.5" customHeight="1" x14ac:dyDescent="0.25"/>
    <row r="10459" ht="16.5" customHeight="1" x14ac:dyDescent="0.25"/>
    <row r="10460" ht="16.5" customHeight="1" x14ac:dyDescent="0.25"/>
    <row r="10461" ht="16.5" customHeight="1" x14ac:dyDescent="0.25"/>
    <row r="10462" ht="16.5" customHeight="1" x14ac:dyDescent="0.25"/>
    <row r="10463" ht="16.5" customHeight="1" x14ac:dyDescent="0.25"/>
    <row r="10464" ht="16.5" customHeight="1" x14ac:dyDescent="0.25"/>
    <row r="10465" ht="16.5" customHeight="1" x14ac:dyDescent="0.25"/>
    <row r="10466" ht="16.5" customHeight="1" x14ac:dyDescent="0.25"/>
    <row r="10467" ht="16.5" customHeight="1" x14ac:dyDescent="0.25"/>
    <row r="10468" ht="16.5" customHeight="1" x14ac:dyDescent="0.25"/>
    <row r="10469" ht="16.5" customHeight="1" x14ac:dyDescent="0.25"/>
    <row r="10470" ht="16.5" customHeight="1" x14ac:dyDescent="0.25"/>
    <row r="10471" ht="16.5" customHeight="1" x14ac:dyDescent="0.25"/>
    <row r="10472" ht="16.5" customHeight="1" x14ac:dyDescent="0.25"/>
    <row r="10473" ht="16.5" customHeight="1" x14ac:dyDescent="0.25"/>
    <row r="10474" ht="16.5" customHeight="1" x14ac:dyDescent="0.25"/>
    <row r="10475" ht="16.5" customHeight="1" x14ac:dyDescent="0.25"/>
    <row r="10476" ht="16.5" customHeight="1" x14ac:dyDescent="0.25"/>
    <row r="10477" ht="16.5" customHeight="1" x14ac:dyDescent="0.25"/>
    <row r="10478" ht="16.5" customHeight="1" x14ac:dyDescent="0.25"/>
    <row r="10479" ht="16.5" customHeight="1" x14ac:dyDescent="0.25"/>
    <row r="10480" ht="16.5" customHeight="1" x14ac:dyDescent="0.25"/>
    <row r="10481" ht="16.5" customHeight="1" x14ac:dyDescent="0.25"/>
    <row r="10482" ht="16.5" customHeight="1" x14ac:dyDescent="0.25"/>
    <row r="10483" ht="16.5" customHeight="1" x14ac:dyDescent="0.25"/>
    <row r="10484" ht="16.5" customHeight="1" x14ac:dyDescent="0.25"/>
    <row r="10485" ht="16.5" customHeight="1" x14ac:dyDescent="0.25"/>
    <row r="10486" ht="16.5" customHeight="1" x14ac:dyDescent="0.25"/>
    <row r="10487" ht="16.5" customHeight="1" x14ac:dyDescent="0.25"/>
    <row r="10488" ht="16.5" customHeight="1" x14ac:dyDescent="0.25"/>
    <row r="10489" ht="16.5" customHeight="1" x14ac:dyDescent="0.25"/>
    <row r="10490" ht="16.5" customHeight="1" x14ac:dyDescent="0.25"/>
    <row r="10491" ht="16.5" customHeight="1" x14ac:dyDescent="0.25"/>
    <row r="10492" ht="16.5" customHeight="1" x14ac:dyDescent="0.25"/>
    <row r="10493" ht="16.5" customHeight="1" x14ac:dyDescent="0.25"/>
    <row r="10494" ht="16.5" customHeight="1" x14ac:dyDescent="0.25"/>
    <row r="10495" ht="16.5" customHeight="1" x14ac:dyDescent="0.25"/>
    <row r="10496" ht="16.5" customHeight="1" x14ac:dyDescent="0.25"/>
    <row r="10497" ht="16.5" customHeight="1" x14ac:dyDescent="0.25"/>
    <row r="10498" ht="16.5" customHeight="1" x14ac:dyDescent="0.25"/>
    <row r="10499" ht="16.5" customHeight="1" x14ac:dyDescent="0.25"/>
    <row r="10500" ht="16.5" customHeight="1" x14ac:dyDescent="0.25"/>
    <row r="10501" ht="16.5" customHeight="1" x14ac:dyDescent="0.25"/>
    <row r="10502" ht="16.5" customHeight="1" x14ac:dyDescent="0.25"/>
    <row r="10503" ht="16.5" customHeight="1" x14ac:dyDescent="0.25"/>
    <row r="10504" ht="16.5" customHeight="1" x14ac:dyDescent="0.25"/>
    <row r="10505" ht="16.5" customHeight="1" x14ac:dyDescent="0.25"/>
    <row r="10506" ht="16.5" customHeight="1" x14ac:dyDescent="0.25"/>
    <row r="10507" ht="16.5" customHeight="1" x14ac:dyDescent="0.25"/>
    <row r="10508" ht="16.5" customHeight="1" x14ac:dyDescent="0.25"/>
    <row r="10509" ht="16.5" customHeight="1" x14ac:dyDescent="0.25"/>
    <row r="10510" ht="16.5" customHeight="1" x14ac:dyDescent="0.25"/>
    <row r="10511" ht="16.5" customHeight="1" x14ac:dyDescent="0.25"/>
    <row r="10512" ht="16.5" customHeight="1" x14ac:dyDescent="0.25"/>
    <row r="10513" ht="16.5" customHeight="1" x14ac:dyDescent="0.25"/>
    <row r="10514" ht="16.5" customHeight="1" x14ac:dyDescent="0.25"/>
    <row r="10515" ht="16.5" customHeight="1" x14ac:dyDescent="0.25"/>
    <row r="10516" ht="16.5" customHeight="1" x14ac:dyDescent="0.25"/>
    <row r="10517" ht="16.5" customHeight="1" x14ac:dyDescent="0.25"/>
    <row r="10518" ht="16.5" customHeight="1" x14ac:dyDescent="0.25"/>
    <row r="10519" ht="16.5" customHeight="1" x14ac:dyDescent="0.25"/>
    <row r="10520" ht="16.5" customHeight="1" x14ac:dyDescent="0.25"/>
    <row r="10521" ht="16.5" customHeight="1" x14ac:dyDescent="0.25"/>
    <row r="10522" ht="16.5" customHeight="1" x14ac:dyDescent="0.25"/>
    <row r="10523" ht="16.5" customHeight="1" x14ac:dyDescent="0.25"/>
    <row r="10524" ht="16.5" customHeight="1" x14ac:dyDescent="0.25"/>
    <row r="10525" ht="16.5" customHeight="1" x14ac:dyDescent="0.25"/>
    <row r="10526" ht="16.5" customHeight="1" x14ac:dyDescent="0.25"/>
    <row r="10527" ht="16.5" customHeight="1" x14ac:dyDescent="0.25"/>
    <row r="10528" ht="16.5" customHeight="1" x14ac:dyDescent="0.25"/>
    <row r="10529" ht="16.5" customHeight="1" x14ac:dyDescent="0.25"/>
    <row r="10530" ht="16.5" customHeight="1" x14ac:dyDescent="0.25"/>
    <row r="10531" ht="16.5" customHeight="1" x14ac:dyDescent="0.25"/>
    <row r="10532" ht="16.5" customHeight="1" x14ac:dyDescent="0.25"/>
    <row r="10533" ht="16.5" customHeight="1" x14ac:dyDescent="0.25"/>
    <row r="10534" ht="16.5" customHeight="1" x14ac:dyDescent="0.25"/>
    <row r="10535" ht="16.5" customHeight="1" x14ac:dyDescent="0.25"/>
    <row r="10536" ht="16.5" customHeight="1" x14ac:dyDescent="0.25"/>
    <row r="10537" ht="16.5" customHeight="1" x14ac:dyDescent="0.25"/>
    <row r="10538" ht="16.5" customHeight="1" x14ac:dyDescent="0.25"/>
    <row r="10539" ht="16.5" customHeight="1" x14ac:dyDescent="0.25"/>
    <row r="10540" ht="16.5" customHeight="1" x14ac:dyDescent="0.25"/>
    <row r="10541" ht="16.5" customHeight="1" x14ac:dyDescent="0.25"/>
    <row r="10542" ht="16.5" customHeight="1" x14ac:dyDescent="0.25"/>
    <row r="10543" ht="16.5" customHeight="1" x14ac:dyDescent="0.25"/>
    <row r="10544" ht="16.5" customHeight="1" x14ac:dyDescent="0.25"/>
    <row r="10545" ht="16.5" customHeight="1" x14ac:dyDescent="0.25"/>
    <row r="10546" ht="16.5" customHeight="1" x14ac:dyDescent="0.25"/>
    <row r="10547" ht="16.5" customHeight="1" x14ac:dyDescent="0.25"/>
    <row r="10548" ht="16.5" customHeight="1" x14ac:dyDescent="0.25"/>
    <row r="10549" ht="16.5" customHeight="1" x14ac:dyDescent="0.25"/>
    <row r="10550" ht="16.5" customHeight="1" x14ac:dyDescent="0.25"/>
    <row r="10551" ht="16.5" customHeight="1" x14ac:dyDescent="0.25"/>
    <row r="10552" ht="16.5" customHeight="1" x14ac:dyDescent="0.25"/>
    <row r="10553" ht="16.5" customHeight="1" x14ac:dyDescent="0.25"/>
    <row r="10554" ht="16.5" customHeight="1" x14ac:dyDescent="0.25"/>
    <row r="10555" ht="16.5" customHeight="1" x14ac:dyDescent="0.25"/>
    <row r="10556" ht="16.5" customHeight="1" x14ac:dyDescent="0.25"/>
    <row r="10557" ht="16.5" customHeight="1" x14ac:dyDescent="0.25"/>
    <row r="10558" ht="16.5" customHeight="1" x14ac:dyDescent="0.25"/>
    <row r="10559" ht="16.5" customHeight="1" x14ac:dyDescent="0.25"/>
    <row r="10560" ht="16.5" customHeight="1" x14ac:dyDescent="0.25"/>
    <row r="10561" ht="16.5" customHeight="1" x14ac:dyDescent="0.25"/>
    <row r="10562" ht="16.5" customHeight="1" x14ac:dyDescent="0.25"/>
    <row r="10563" ht="16.5" customHeight="1" x14ac:dyDescent="0.25"/>
    <row r="10564" ht="16.5" customHeight="1" x14ac:dyDescent="0.25"/>
    <row r="10565" ht="16.5" customHeight="1" x14ac:dyDescent="0.25"/>
    <row r="10566" ht="16.5" customHeight="1" x14ac:dyDescent="0.25"/>
    <row r="10567" ht="16.5" customHeight="1" x14ac:dyDescent="0.25"/>
    <row r="10568" ht="16.5" customHeight="1" x14ac:dyDescent="0.25"/>
    <row r="10569" ht="16.5" customHeight="1" x14ac:dyDescent="0.25"/>
    <row r="10570" ht="16.5" customHeight="1" x14ac:dyDescent="0.25"/>
    <row r="10571" ht="16.5" customHeight="1" x14ac:dyDescent="0.25"/>
    <row r="10572" ht="16.5" customHeight="1" x14ac:dyDescent="0.25"/>
    <row r="10573" ht="16.5" customHeight="1" x14ac:dyDescent="0.25"/>
    <row r="10574" ht="16.5" customHeight="1" x14ac:dyDescent="0.25"/>
    <row r="10575" ht="16.5" customHeight="1" x14ac:dyDescent="0.25"/>
    <row r="10576" ht="16.5" customHeight="1" x14ac:dyDescent="0.25"/>
    <row r="10577" ht="16.5" customHeight="1" x14ac:dyDescent="0.25"/>
    <row r="10578" ht="16.5" customHeight="1" x14ac:dyDescent="0.25"/>
    <row r="10579" ht="16.5" customHeight="1" x14ac:dyDescent="0.25"/>
    <row r="10580" ht="16.5" customHeight="1" x14ac:dyDescent="0.25"/>
    <row r="10581" ht="16.5" customHeight="1" x14ac:dyDescent="0.25"/>
    <row r="10582" ht="16.5" customHeight="1" x14ac:dyDescent="0.25"/>
    <row r="10583" ht="16.5" customHeight="1" x14ac:dyDescent="0.25"/>
    <row r="10584" ht="16.5" customHeight="1" x14ac:dyDescent="0.25"/>
    <row r="10585" ht="16.5" customHeight="1" x14ac:dyDescent="0.25"/>
    <row r="10586" ht="16.5" customHeight="1" x14ac:dyDescent="0.25"/>
    <row r="10587" ht="16.5" customHeight="1" x14ac:dyDescent="0.25"/>
    <row r="10588" ht="16.5" customHeight="1" x14ac:dyDescent="0.25"/>
    <row r="10589" ht="16.5" customHeight="1" x14ac:dyDescent="0.25"/>
    <row r="10590" ht="16.5" customHeight="1" x14ac:dyDescent="0.25"/>
    <row r="10591" ht="16.5" customHeight="1" x14ac:dyDescent="0.25"/>
    <row r="10592" ht="16.5" customHeight="1" x14ac:dyDescent="0.25"/>
    <row r="10593" ht="16.5" customHeight="1" x14ac:dyDescent="0.25"/>
    <row r="10594" ht="16.5" customHeight="1" x14ac:dyDescent="0.25"/>
    <row r="10595" ht="16.5" customHeight="1" x14ac:dyDescent="0.25"/>
    <row r="10596" ht="16.5" customHeight="1" x14ac:dyDescent="0.25"/>
    <row r="10597" ht="16.5" customHeight="1" x14ac:dyDescent="0.25"/>
    <row r="10598" ht="16.5" customHeight="1" x14ac:dyDescent="0.25"/>
    <row r="10599" ht="16.5" customHeight="1" x14ac:dyDescent="0.25"/>
    <row r="10600" ht="16.5" customHeight="1" x14ac:dyDescent="0.25"/>
    <row r="10601" ht="16.5" customHeight="1" x14ac:dyDescent="0.25"/>
    <row r="10602" ht="16.5" customHeight="1" x14ac:dyDescent="0.25"/>
    <row r="10603" ht="16.5" customHeight="1" x14ac:dyDescent="0.25"/>
    <row r="10604" ht="16.5" customHeight="1" x14ac:dyDescent="0.25"/>
    <row r="10605" ht="16.5" customHeight="1" x14ac:dyDescent="0.25"/>
    <row r="10606" ht="16.5" customHeight="1" x14ac:dyDescent="0.25"/>
    <row r="10607" ht="16.5" customHeight="1" x14ac:dyDescent="0.25"/>
    <row r="10608" ht="16.5" customHeight="1" x14ac:dyDescent="0.25"/>
    <row r="10609" ht="16.5" customHeight="1" x14ac:dyDescent="0.25"/>
    <row r="10610" ht="16.5" customHeight="1" x14ac:dyDescent="0.25"/>
    <row r="10611" ht="16.5" customHeight="1" x14ac:dyDescent="0.25"/>
    <row r="10612" ht="16.5" customHeight="1" x14ac:dyDescent="0.25"/>
    <row r="10613" ht="16.5" customHeight="1" x14ac:dyDescent="0.25"/>
    <row r="10614" ht="16.5" customHeight="1" x14ac:dyDescent="0.25"/>
    <row r="10615" ht="16.5" customHeight="1" x14ac:dyDescent="0.25"/>
    <row r="10616" ht="16.5" customHeight="1" x14ac:dyDescent="0.25"/>
    <row r="10617" ht="16.5" customHeight="1" x14ac:dyDescent="0.25"/>
    <row r="10618" ht="16.5" customHeight="1" x14ac:dyDescent="0.25"/>
    <row r="10619" ht="16.5" customHeight="1" x14ac:dyDescent="0.25"/>
    <row r="10620" ht="16.5" customHeight="1" x14ac:dyDescent="0.25"/>
    <row r="10621" ht="16.5" customHeight="1" x14ac:dyDescent="0.25"/>
    <row r="10622" ht="16.5" customHeight="1" x14ac:dyDescent="0.25"/>
    <row r="10623" ht="16.5" customHeight="1" x14ac:dyDescent="0.25"/>
    <row r="10624" ht="16.5" customHeight="1" x14ac:dyDescent="0.25"/>
    <row r="10625" ht="16.5" customHeight="1" x14ac:dyDescent="0.25"/>
    <row r="10626" ht="16.5" customHeight="1" x14ac:dyDescent="0.25"/>
    <row r="10627" ht="16.5" customHeight="1" x14ac:dyDescent="0.25"/>
    <row r="10628" ht="16.5" customHeight="1" x14ac:dyDescent="0.25"/>
    <row r="10629" ht="16.5" customHeight="1" x14ac:dyDescent="0.25"/>
    <row r="10630" ht="16.5" customHeight="1" x14ac:dyDescent="0.25"/>
    <row r="10631" ht="16.5" customHeight="1" x14ac:dyDescent="0.25"/>
    <row r="10632" ht="16.5" customHeight="1" x14ac:dyDescent="0.25"/>
    <row r="10633" ht="16.5" customHeight="1" x14ac:dyDescent="0.25"/>
    <row r="10634" ht="16.5" customHeight="1" x14ac:dyDescent="0.25"/>
    <row r="10635" ht="16.5" customHeight="1" x14ac:dyDescent="0.25"/>
    <row r="10636" ht="16.5" customHeight="1" x14ac:dyDescent="0.25"/>
    <row r="10637" ht="16.5" customHeight="1" x14ac:dyDescent="0.25"/>
    <row r="10638" ht="16.5" customHeight="1" x14ac:dyDescent="0.25"/>
    <row r="10639" ht="16.5" customHeight="1" x14ac:dyDescent="0.25"/>
    <row r="10640" ht="16.5" customHeight="1" x14ac:dyDescent="0.25"/>
    <row r="10641" ht="16.5" customHeight="1" x14ac:dyDescent="0.25"/>
    <row r="10642" ht="16.5" customHeight="1" x14ac:dyDescent="0.25"/>
    <row r="10643" ht="16.5" customHeight="1" x14ac:dyDescent="0.25"/>
    <row r="10644" ht="16.5" customHeight="1" x14ac:dyDescent="0.25"/>
    <row r="10645" ht="16.5" customHeight="1" x14ac:dyDescent="0.25"/>
    <row r="10646" ht="16.5" customHeight="1" x14ac:dyDescent="0.25"/>
    <row r="10647" ht="16.5" customHeight="1" x14ac:dyDescent="0.25"/>
    <row r="10648" ht="16.5" customHeight="1" x14ac:dyDescent="0.25"/>
    <row r="10649" ht="16.5" customHeight="1" x14ac:dyDescent="0.25"/>
    <row r="10650" ht="16.5" customHeight="1" x14ac:dyDescent="0.25"/>
    <row r="10651" ht="16.5" customHeight="1" x14ac:dyDescent="0.25"/>
    <row r="10652" ht="16.5" customHeight="1" x14ac:dyDescent="0.25"/>
    <row r="10653" ht="16.5" customHeight="1" x14ac:dyDescent="0.25"/>
    <row r="10654" ht="16.5" customHeight="1" x14ac:dyDescent="0.25"/>
    <row r="10655" ht="16.5" customHeight="1" x14ac:dyDescent="0.25"/>
    <row r="10656" ht="16.5" customHeight="1" x14ac:dyDescent="0.25"/>
    <row r="10657" ht="16.5" customHeight="1" x14ac:dyDescent="0.25"/>
    <row r="10658" ht="16.5" customHeight="1" x14ac:dyDescent="0.25"/>
    <row r="10659" ht="16.5" customHeight="1" x14ac:dyDescent="0.25"/>
    <row r="10660" ht="16.5" customHeight="1" x14ac:dyDescent="0.25"/>
    <row r="10661" ht="16.5" customHeight="1" x14ac:dyDescent="0.25"/>
    <row r="10662" ht="16.5" customHeight="1" x14ac:dyDescent="0.25"/>
    <row r="10663" ht="16.5" customHeight="1" x14ac:dyDescent="0.25"/>
    <row r="10664" ht="16.5" customHeight="1" x14ac:dyDescent="0.25"/>
    <row r="10665" ht="16.5" customHeight="1" x14ac:dyDescent="0.25"/>
    <row r="10666" ht="16.5" customHeight="1" x14ac:dyDescent="0.25"/>
    <row r="10667" ht="16.5" customHeight="1" x14ac:dyDescent="0.25"/>
    <row r="10668" ht="16.5" customHeight="1" x14ac:dyDescent="0.25"/>
    <row r="10669" ht="16.5" customHeight="1" x14ac:dyDescent="0.25"/>
    <row r="10670" ht="16.5" customHeight="1" x14ac:dyDescent="0.25"/>
    <row r="10671" ht="16.5" customHeight="1" x14ac:dyDescent="0.25"/>
    <row r="10672" ht="16.5" customHeight="1" x14ac:dyDescent="0.25"/>
  </sheetData>
  <autoFilter ref="A1:H4373" xr:uid="{00000000-0001-0000-04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0"/>
  <sheetViews>
    <sheetView topLeftCell="A4" zoomScale="84" zoomScaleNormal="84" workbookViewId="0">
      <selection activeCell="D48" sqref="D48"/>
    </sheetView>
  </sheetViews>
  <sheetFormatPr baseColWidth="10" defaultColWidth="9.140625" defaultRowHeight="15" x14ac:dyDescent="0.25"/>
  <cols>
    <col min="1" max="1" width="3" customWidth="1"/>
    <col min="2" max="2" width="29.28515625" bestFit="1" customWidth="1"/>
    <col min="3" max="3" width="22.5703125" customWidth="1"/>
    <col min="4" max="4" width="18.7109375" customWidth="1"/>
    <col min="5" max="5" width="3" customWidth="1"/>
    <col min="6" max="6" width="24" customWidth="1"/>
    <col min="7" max="7" width="14" customWidth="1"/>
    <col min="8" max="8" width="38.140625" customWidth="1"/>
    <col min="9" max="9" width="21.5703125" customWidth="1"/>
    <col min="10" max="10" width="25.42578125" customWidth="1"/>
    <col min="11" max="11" width="22.28515625" customWidth="1"/>
    <col min="12" max="12" width="22.42578125" customWidth="1"/>
    <col min="13" max="13" width="57.7109375" customWidth="1"/>
    <col min="14" max="14" width="18.7109375" style="8" hidden="1" customWidth="1"/>
    <col min="15" max="15" width="81.140625" customWidth="1"/>
  </cols>
  <sheetData>
    <row r="1" spans="1:15" ht="25.5" customHeight="1" x14ac:dyDescent="0.25">
      <c r="A1" s="54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55"/>
      <c r="O1" s="39"/>
    </row>
    <row r="2" spans="1:15" ht="7.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55"/>
      <c r="O2" s="39"/>
    </row>
    <row r="3" spans="1:15" ht="12" customHeight="1" thickBo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1"/>
    </row>
    <row r="4" spans="1:15" ht="24" customHeight="1" thickBot="1" x14ac:dyDescent="0.3">
      <c r="A4" s="11"/>
      <c r="B4" s="64" t="s">
        <v>1</v>
      </c>
      <c r="C4" s="65"/>
      <c r="D4" s="66"/>
      <c r="E4" s="11"/>
      <c r="F4" s="47" t="s">
        <v>2</v>
      </c>
      <c r="G4" s="48"/>
      <c r="H4" s="49"/>
      <c r="I4" s="47" t="s">
        <v>3</v>
      </c>
      <c r="J4" s="48"/>
      <c r="K4" s="49"/>
      <c r="L4" s="57" t="s">
        <v>4</v>
      </c>
      <c r="M4" s="58"/>
      <c r="N4" s="13">
        <f ca="1">Aujourdhui</f>
        <v>46175</v>
      </c>
      <c r="O4" s="11"/>
    </row>
    <row r="5" spans="1:15" ht="18.75" customHeight="1" thickBot="1" x14ac:dyDescent="0.3">
      <c r="A5" s="11"/>
      <c r="B5" s="23" t="s">
        <v>5</v>
      </c>
      <c r="C5" s="45">
        <v>2026</v>
      </c>
      <c r="D5" s="46"/>
      <c r="E5" s="11"/>
      <c r="F5" s="38">
        <f>SUMIFS(MyR_CMD_Non_Susp!$G:$G,MyR_CMD_Non_Susp!$B:$B,$N$5,MyR_CMD_Non_Susp!$C:$C,$N$6,MyR_CMD_Non_Susp!$E:$E,$N$9,MyR_CMD_Non_Susp!$F:$F,$N$10,MyR_CMD_Non_Susp!$H:$H,$N$17)</f>
        <v>1802.1430741780002</v>
      </c>
      <c r="G5" s="39"/>
      <c r="H5" s="40"/>
      <c r="I5" s="51">
        <f ca="1">IF(N6=MONTH(Aujourdhui-1),VLOOKUP(N4-1,B13:D44,3,0),L9)</f>
        <v>2837.9703670907938</v>
      </c>
      <c r="J5" s="39"/>
      <c r="K5" s="40"/>
      <c r="L5" s="61">
        <f ca="1">IFERROR(F5/I5,0)</f>
        <v>0.63501123728271303</v>
      </c>
      <c r="M5" s="62"/>
      <c r="N5" s="15">
        <f>C5</f>
        <v>2026</v>
      </c>
      <c r="O5" s="11"/>
    </row>
    <row r="6" spans="1:15" ht="18.75" customHeight="1" x14ac:dyDescent="0.25">
      <c r="A6" s="11"/>
      <c r="B6" s="23" t="s">
        <v>6</v>
      </c>
      <c r="C6" s="36" t="s">
        <v>7</v>
      </c>
      <c r="D6" s="37"/>
      <c r="E6" s="11"/>
      <c r="F6" s="41"/>
      <c r="G6" s="39"/>
      <c r="H6" s="40"/>
      <c r="I6" s="52"/>
      <c r="J6" s="39"/>
      <c r="K6" s="40"/>
      <c r="L6" s="39"/>
      <c r="M6" s="62"/>
      <c r="N6" s="15">
        <f>MATCH(C6,PARAMS!$B$2:$B$13,0)</f>
        <v>5</v>
      </c>
      <c r="O6" s="11"/>
    </row>
    <row r="7" spans="1:15" ht="18.75" customHeight="1" thickBot="1" x14ac:dyDescent="0.3">
      <c r="A7" s="11"/>
      <c r="B7" s="23" t="s">
        <v>8</v>
      </c>
      <c r="C7" s="36" t="s">
        <v>9</v>
      </c>
      <c r="D7" s="37"/>
      <c r="E7" s="11"/>
      <c r="F7" s="42"/>
      <c r="G7" s="43"/>
      <c r="H7" s="44"/>
      <c r="I7" s="53"/>
      <c r="J7" s="43"/>
      <c r="K7" s="44"/>
      <c r="L7" s="43"/>
      <c r="M7" s="63"/>
      <c r="N7" s="15">
        <f>DAY(EOMONTH(DATE(N5,N6,1),0))</f>
        <v>31</v>
      </c>
      <c r="O7" s="11"/>
    </row>
    <row r="8" spans="1:15" ht="24" customHeight="1" thickBot="1" x14ac:dyDescent="0.3">
      <c r="A8" s="11"/>
      <c r="B8" s="23" t="s">
        <v>10</v>
      </c>
      <c r="C8" s="36" t="s">
        <v>11</v>
      </c>
      <c r="D8" s="37"/>
      <c r="E8" s="11"/>
      <c r="F8" s="47" t="s">
        <v>12</v>
      </c>
      <c r="G8" s="48"/>
      <c r="H8" s="49"/>
      <c r="I8" s="47" t="s">
        <v>13</v>
      </c>
      <c r="J8" s="48"/>
      <c r="K8" s="49"/>
      <c r="L8" s="57" t="s">
        <v>14</v>
      </c>
      <c r="M8" s="58"/>
      <c r="N8" s="15">
        <f>_xlfn.XLOOKUP(C6,PARAMS!$J$2:$J$13,PARAMS!$K$2:$K$13)</f>
        <v>17</v>
      </c>
      <c r="O8" s="11"/>
    </row>
    <row r="9" spans="1:15" ht="21" customHeight="1" thickBot="1" x14ac:dyDescent="0.3">
      <c r="A9" s="11"/>
      <c r="B9" s="23" t="s">
        <v>15</v>
      </c>
      <c r="C9" s="56" t="s">
        <v>11</v>
      </c>
      <c r="D9" s="37"/>
      <c r="E9" s="11"/>
      <c r="F9" s="38">
        <f ca="1">F5-I5</f>
        <v>-1035.8272929127936</v>
      </c>
      <c r="G9" s="39"/>
      <c r="H9" s="40"/>
      <c r="I9" s="51">
        <f>IFERROR(L9/$N$8,0)</f>
        <v>166.939433358282</v>
      </c>
      <c r="J9" s="39"/>
      <c r="K9" s="40"/>
      <c r="L9" s="67">
        <f>IF(C7="Commercial",SUMIFS(BASE_OBJECTIFS!$E:$E,BASE_OBJECTIFS!$C:$C,$N$6,BASE_OBJECTIFS!$A:$A,$N$9,BASE_OBJECTIFS!$B:$B,$N$10),SUMIFS(BASE_OBJECTIFS!$E:$E,BASE_OBJECTIFS!$C:$C,$N$6,BASE_OBJECTIFS!$F:$F,$N$15,BASE_OBJECTIFS!$B:$B,$N$10))</f>
        <v>2837.9703670907938</v>
      </c>
      <c r="M9" s="62"/>
      <c r="N9" s="15" t="str">
        <f>N16</f>
        <v>*</v>
      </c>
      <c r="O9" s="11"/>
    </row>
    <row r="10" spans="1:15" ht="21" customHeight="1" x14ac:dyDescent="0.25">
      <c r="A10" s="11"/>
      <c r="B10" s="24" t="s">
        <v>16</v>
      </c>
      <c r="C10" s="50">
        <f>_xlfn.XLOOKUP(C6,PARAMS!$J$2:$J$13,PARAMS!$K$2:$K$13)</f>
        <v>17</v>
      </c>
      <c r="D10" s="37"/>
      <c r="E10" s="11"/>
      <c r="F10" s="41"/>
      <c r="G10" s="39"/>
      <c r="H10" s="40"/>
      <c r="I10" s="52"/>
      <c r="J10" s="39"/>
      <c r="K10" s="40"/>
      <c r="L10" s="39"/>
      <c r="M10" s="62"/>
      <c r="N10" s="15" t="str">
        <f>IF(C9="Tous","*",C9)</f>
        <v>*</v>
      </c>
      <c r="O10" s="11"/>
    </row>
    <row r="11" spans="1:15" ht="21" customHeight="1" thickBot="1" x14ac:dyDescent="0.3">
      <c r="A11" s="11"/>
      <c r="B11" s="25" t="s">
        <v>17</v>
      </c>
      <c r="C11" s="59">
        <f>MAX(MyR_CMD_Non_Susp!A:A,MyR_CMD_Non_Susp!A1)</f>
        <v>46174</v>
      </c>
      <c r="D11" s="60"/>
      <c r="E11" s="11"/>
      <c r="F11" s="42"/>
      <c r="G11" s="43"/>
      <c r="H11" s="44"/>
      <c r="I11" s="53"/>
      <c r="J11" s="43"/>
      <c r="K11" s="44"/>
      <c r="L11" s="43"/>
      <c r="M11" s="63"/>
      <c r="N11" s="16">
        <f>DATE(N5,N6,1)</f>
        <v>46143</v>
      </c>
      <c r="O11" s="11"/>
    </row>
    <row r="12" spans="1:15" ht="8.2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6">
        <f>EOMONTH(N11,0)</f>
        <v>46173</v>
      </c>
      <c r="O12" s="11"/>
    </row>
    <row r="13" spans="1:15" ht="15" customHeight="1" x14ac:dyDescent="0.25">
      <c r="A13" s="11"/>
      <c r="B13" s="17" t="s">
        <v>18</v>
      </c>
      <c r="C13" s="17" t="s">
        <v>19</v>
      </c>
      <c r="D13" s="17" t="s">
        <v>20</v>
      </c>
      <c r="E13" s="11"/>
      <c r="F13" s="11"/>
      <c r="G13" s="11"/>
      <c r="H13" s="11"/>
      <c r="I13" s="11"/>
      <c r="J13" s="11"/>
      <c r="K13" s="11"/>
      <c r="L13" s="11"/>
      <c r="M13" s="11"/>
      <c r="N13" s="12" t="str">
        <f>C7</f>
        <v>Secteur</v>
      </c>
      <c r="O13" s="11"/>
    </row>
    <row r="14" spans="1:15" ht="12.75" customHeight="1" x14ac:dyDescent="0.25">
      <c r="A14" s="11"/>
      <c r="B14" s="18">
        <f t="shared" ref="B14:B44" si="0">IF(ROW()-13&lt;=$N$7,$N$11+ROW()-14,"")</f>
        <v>46143</v>
      </c>
      <c r="C14" s="19">
        <f>IF(B14="","",SUMIFS(MyR_CMD_Non_Susp!$G:$G,MyR_CMD_Non_Susp!$A:$A,"&gt;="&amp;$N$11,MyR_CMD_Non_Susp!$A:$A,"&lt;="&amp;B14,MyR_CMD_Non_Susp!$B:$B,$N$5,MyR_CMD_Non_Susp!$C:$C,$N$6,MyR_CMD_Non_Susp!$E:$E,$N$9,MyR_CMD_Non_Susp!$F:$F,$N$10,MyR_CMD_Non_Susp!$H:$H,$N$17))</f>
        <v>1.2936000000000001</v>
      </c>
      <c r="D14" s="19">
        <f t="shared" ref="D14:D44" si="1">IF(B14="","",$L$9*(ROW()-13)/$N$7)</f>
        <v>91.54743119647722</v>
      </c>
      <c r="E14" s="11"/>
      <c r="F14" s="11"/>
      <c r="G14" s="11"/>
      <c r="H14" s="11"/>
      <c r="I14" s="11"/>
      <c r="J14" s="11"/>
      <c r="K14" s="11"/>
      <c r="L14" s="11"/>
      <c r="M14" s="11"/>
      <c r="N14" s="12" t="str">
        <f>C8</f>
        <v>Tous</v>
      </c>
      <c r="O14" s="11"/>
    </row>
    <row r="15" spans="1:15" ht="12.75" customHeight="1" x14ac:dyDescent="0.25">
      <c r="A15" s="11"/>
      <c r="B15" s="18">
        <f t="shared" si="0"/>
        <v>46144</v>
      </c>
      <c r="C15" s="19">
        <f>IF(B15="","",SUMIFS(MyR_CMD_Non_Susp!$G:$G,MyR_CMD_Non_Susp!$A:$A,"&gt;="&amp;$N$11,MyR_CMD_Non_Susp!$A:$A,"&lt;="&amp;B15,MyR_CMD_Non_Susp!$B:$B,$N$5,MyR_CMD_Non_Susp!$C:$C,$N$6,MyR_CMD_Non_Susp!$E:$E,$N$9,MyR_CMD_Non_Susp!$F:$F,$N$10,MyR_CMD_Non_Susp!$H:$H,$N$17))</f>
        <v>1.2936000000000001</v>
      </c>
      <c r="D15" s="19">
        <f t="shared" si="1"/>
        <v>183.09486239295444</v>
      </c>
      <c r="E15" s="11"/>
      <c r="F15" s="11"/>
      <c r="G15" s="11"/>
      <c r="H15" s="11"/>
      <c r="I15" s="11"/>
      <c r="J15" s="11"/>
      <c r="K15" s="11"/>
      <c r="L15" s="11"/>
      <c r="M15" s="11"/>
      <c r="N15" s="12" t="str">
        <f>IF(C8="Tous","*",C8)</f>
        <v>*</v>
      </c>
      <c r="O15" s="11"/>
    </row>
    <row r="16" spans="1:15" ht="12.75" customHeight="1" x14ac:dyDescent="0.25">
      <c r="A16" s="11"/>
      <c r="B16" s="18">
        <f t="shared" si="0"/>
        <v>46145</v>
      </c>
      <c r="C16" s="19">
        <f>IF(B16="","",SUMIFS(MyR_CMD_Non_Susp!$G:$G,MyR_CMD_Non_Susp!$A:$A,"&gt;="&amp;$N$11,MyR_CMD_Non_Susp!$A:$A,"&lt;="&amp;B16,MyR_CMD_Non_Susp!$B:$B,$N$5,MyR_CMD_Non_Susp!$C:$C,$N$6,MyR_CMD_Non_Susp!$E:$E,$N$9,MyR_CMD_Non_Susp!$F:$F,$N$10,MyR_CMD_Non_Susp!$H:$H,$N$17))</f>
        <v>1.2936000000000001</v>
      </c>
      <c r="D16" s="19">
        <f t="shared" si="1"/>
        <v>274.64229358943163</v>
      </c>
      <c r="E16" s="11"/>
      <c r="F16" s="11"/>
      <c r="G16" s="11"/>
      <c r="H16" s="11"/>
      <c r="I16" s="11"/>
      <c r="J16" s="11"/>
      <c r="K16" s="11"/>
      <c r="L16" s="11"/>
      <c r="M16" s="11"/>
      <c r="N16" s="12" t="str">
        <f>IF(C7="Commercial",N15,"*")</f>
        <v>*</v>
      </c>
      <c r="O16" s="11"/>
    </row>
    <row r="17" spans="1:15" ht="12.75" customHeight="1" x14ac:dyDescent="0.25">
      <c r="A17" s="11"/>
      <c r="B17" s="18">
        <f t="shared" si="0"/>
        <v>46146</v>
      </c>
      <c r="C17" s="19">
        <f>IF(B17="","",SUMIFS(MyR_CMD_Non_Susp!$G:$G,MyR_CMD_Non_Susp!$A:$A,"&gt;="&amp;$N$11,MyR_CMD_Non_Susp!$A:$A,"&lt;="&amp;B17,MyR_CMD_Non_Susp!$B:$B,$N$5,MyR_CMD_Non_Susp!$C:$C,$N$6,MyR_CMD_Non_Susp!$E:$E,$N$9,MyR_CMD_Non_Susp!$F:$F,$N$10,MyR_CMD_Non_Susp!$H:$H,$N$17))</f>
        <v>109.2076264</v>
      </c>
      <c r="D17" s="19">
        <f t="shared" si="1"/>
        <v>366.18972478590888</v>
      </c>
      <c r="E17" s="11"/>
      <c r="F17" s="11"/>
      <c r="G17" s="11"/>
      <c r="H17" s="11"/>
      <c r="I17" s="11"/>
      <c r="J17" s="11"/>
      <c r="K17" s="11"/>
      <c r="L17" s="11"/>
      <c r="M17" s="11"/>
      <c r="N17" s="12" t="str">
        <f>IF(C7="Secteur",N15,"*")</f>
        <v>*</v>
      </c>
      <c r="O17" s="11"/>
    </row>
    <row r="18" spans="1:15" ht="12.75" customHeight="1" x14ac:dyDescent="0.25">
      <c r="A18" s="11"/>
      <c r="B18" s="18">
        <f t="shared" si="0"/>
        <v>46147</v>
      </c>
      <c r="C18" s="19">
        <f>IF(B18="","",SUMIFS(MyR_CMD_Non_Susp!$G:$G,MyR_CMD_Non_Susp!$A:$A,"&gt;="&amp;$N$11,MyR_CMD_Non_Susp!$A:$A,"&lt;="&amp;B18,MyR_CMD_Non_Susp!$B:$B,$N$5,MyR_CMD_Non_Susp!$C:$C,$N$6,MyR_CMD_Non_Susp!$E:$E,$N$9,MyR_CMD_Non_Susp!$F:$F,$N$10,MyR_CMD_Non_Susp!$H:$H,$N$17))</f>
        <v>155.94117335999999</v>
      </c>
      <c r="D18" s="19">
        <f t="shared" si="1"/>
        <v>457.73715598238613</v>
      </c>
      <c r="E18" s="11"/>
      <c r="F18" s="11"/>
      <c r="G18" s="11"/>
      <c r="H18" s="11"/>
      <c r="I18" s="11"/>
      <c r="J18" s="11"/>
      <c r="K18" s="11"/>
      <c r="L18" s="11"/>
      <c r="M18" s="11"/>
      <c r="N18" s="12" t="str">
        <f>IF(C7="Commercial","PARAMS!$D$2:$D$20","PARAMS!$M$2:$M$7")</f>
        <v>PARAMS!$M$2:$M$7</v>
      </c>
      <c r="O18" s="11"/>
    </row>
    <row r="19" spans="1:15" ht="12.75" customHeight="1" x14ac:dyDescent="0.25">
      <c r="A19" s="11"/>
      <c r="B19" s="18">
        <f t="shared" si="0"/>
        <v>46148</v>
      </c>
      <c r="C19" s="19">
        <f>IF(B19="","",SUMIFS(MyR_CMD_Non_Susp!$G:$G,MyR_CMD_Non_Susp!$A:$A,"&gt;="&amp;$N$11,MyR_CMD_Non_Susp!$A:$A,"&lt;="&amp;B19,MyR_CMD_Non_Susp!$B:$B,$N$5,MyR_CMD_Non_Susp!$C:$C,$N$6,MyR_CMD_Non_Susp!$E:$E,$N$9,MyR_CMD_Non_Susp!$F:$F,$N$10,MyR_CMD_Non_Susp!$H:$H,$N$17))</f>
        <v>180.85154425999997</v>
      </c>
      <c r="D19" s="19">
        <f t="shared" si="1"/>
        <v>549.28458717886326</v>
      </c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11"/>
    </row>
    <row r="20" spans="1:15" ht="12.75" customHeight="1" x14ac:dyDescent="0.25">
      <c r="A20" s="11"/>
      <c r="B20" s="18">
        <f t="shared" si="0"/>
        <v>46149</v>
      </c>
      <c r="C20" s="19">
        <f>IF(B20="","",SUMIFS(MyR_CMD_Non_Susp!$G:$G,MyR_CMD_Non_Susp!$A:$A,"&gt;="&amp;$N$11,MyR_CMD_Non_Susp!$A:$A,"&lt;="&amp;B20,MyR_CMD_Non_Susp!$B:$B,$N$5,MyR_CMD_Non_Susp!$C:$C,$N$6,MyR_CMD_Non_Susp!$E:$E,$N$9,MyR_CMD_Non_Susp!$F:$F,$N$10,MyR_CMD_Non_Susp!$H:$H,$N$17))</f>
        <v>302.84611330999996</v>
      </c>
      <c r="D20" s="19">
        <f t="shared" si="1"/>
        <v>640.83201837534057</v>
      </c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11"/>
    </row>
    <row r="21" spans="1:15" ht="12.75" customHeight="1" x14ac:dyDescent="0.25">
      <c r="A21" s="11"/>
      <c r="B21" s="18">
        <f t="shared" si="0"/>
        <v>46150</v>
      </c>
      <c r="C21" s="19">
        <f>IF(B21="","",SUMIFS(MyR_CMD_Non_Susp!$G:$G,MyR_CMD_Non_Susp!$A:$A,"&gt;="&amp;$N$11,MyR_CMD_Non_Susp!$A:$A,"&lt;="&amp;B21,MyR_CMD_Non_Susp!$B:$B,$N$5,MyR_CMD_Non_Susp!$C:$C,$N$6,MyR_CMD_Non_Susp!$E:$E,$N$9,MyR_CMD_Non_Susp!$F:$F,$N$10,MyR_CMD_Non_Susp!$H:$H,$N$17))</f>
        <v>302.84611330999996</v>
      </c>
      <c r="D21" s="19">
        <f t="shared" si="1"/>
        <v>732.37944957181776</v>
      </c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1"/>
    </row>
    <row r="22" spans="1:15" ht="12.75" customHeight="1" x14ac:dyDescent="0.25">
      <c r="A22" s="11"/>
      <c r="B22" s="18">
        <f t="shared" si="0"/>
        <v>46151</v>
      </c>
      <c r="C22" s="19">
        <f>IF(B22="","",SUMIFS(MyR_CMD_Non_Susp!$G:$G,MyR_CMD_Non_Susp!$A:$A,"&gt;="&amp;$N$11,MyR_CMD_Non_Susp!$A:$A,"&lt;="&amp;B22,MyR_CMD_Non_Susp!$B:$B,$N$5,MyR_CMD_Non_Susp!$C:$C,$N$6,MyR_CMD_Non_Susp!$E:$E,$N$9,MyR_CMD_Non_Susp!$F:$F,$N$10,MyR_CMD_Non_Susp!$H:$H,$N$17))</f>
        <v>302.84611330999996</v>
      </c>
      <c r="D22" s="19">
        <f t="shared" si="1"/>
        <v>823.92688076829506</v>
      </c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1"/>
    </row>
    <row r="23" spans="1:15" ht="12.75" customHeight="1" x14ac:dyDescent="0.25">
      <c r="A23" s="11"/>
      <c r="B23" s="18">
        <f t="shared" si="0"/>
        <v>46152</v>
      </c>
      <c r="C23" s="19">
        <f>IF(B23="","",SUMIFS(MyR_CMD_Non_Susp!$G:$G,MyR_CMD_Non_Susp!$A:$A,"&gt;="&amp;$N$11,MyR_CMD_Non_Susp!$A:$A,"&lt;="&amp;B23,MyR_CMD_Non_Susp!$B:$B,$N$5,MyR_CMD_Non_Susp!$C:$C,$N$6,MyR_CMD_Non_Susp!$E:$E,$N$9,MyR_CMD_Non_Susp!$F:$F,$N$10,MyR_CMD_Non_Susp!$H:$H,$N$17))</f>
        <v>302.84611330999996</v>
      </c>
      <c r="D23" s="19">
        <f t="shared" si="1"/>
        <v>915.47431196477226</v>
      </c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1"/>
    </row>
    <row r="24" spans="1:15" ht="12.75" customHeight="1" x14ac:dyDescent="0.25">
      <c r="A24" s="11"/>
      <c r="B24" s="18">
        <f t="shared" si="0"/>
        <v>46153</v>
      </c>
      <c r="C24" s="19">
        <f>IF(B24="","",SUMIFS(MyR_CMD_Non_Susp!$G:$G,MyR_CMD_Non_Susp!$A:$A,"&gt;="&amp;$N$11,MyR_CMD_Non_Susp!$A:$A,"&lt;="&amp;B24,MyR_CMD_Non_Susp!$B:$B,$N$5,MyR_CMD_Non_Susp!$C:$C,$N$6,MyR_CMD_Non_Susp!$E:$E,$N$9,MyR_CMD_Non_Susp!$F:$F,$N$10,MyR_CMD_Non_Susp!$H:$H,$N$17))</f>
        <v>494.46920530999989</v>
      </c>
      <c r="D24" s="19">
        <f t="shared" si="1"/>
        <v>1007.0217431612494</v>
      </c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</row>
    <row r="25" spans="1:15" ht="12.75" customHeight="1" x14ac:dyDescent="0.25">
      <c r="A25" s="11"/>
      <c r="B25" s="18">
        <f t="shared" si="0"/>
        <v>46154</v>
      </c>
      <c r="C25" s="19">
        <f>IF(B25="","",SUMIFS(MyR_CMD_Non_Susp!$G:$G,MyR_CMD_Non_Susp!$A:$A,"&gt;="&amp;$N$11,MyR_CMD_Non_Susp!$A:$A,"&lt;="&amp;B25,MyR_CMD_Non_Susp!$B:$B,$N$5,MyR_CMD_Non_Susp!$C:$C,$N$6,MyR_CMD_Non_Susp!$E:$E,$N$9,MyR_CMD_Non_Susp!$F:$F,$N$10,MyR_CMD_Non_Susp!$H:$H,$N$17))</f>
        <v>535.18488421999996</v>
      </c>
      <c r="D25" s="19">
        <f t="shared" si="1"/>
        <v>1098.5691743577265</v>
      </c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11"/>
    </row>
    <row r="26" spans="1:15" ht="12.75" customHeight="1" x14ac:dyDescent="0.25">
      <c r="A26" s="11"/>
      <c r="B26" s="18">
        <f t="shared" si="0"/>
        <v>46155</v>
      </c>
      <c r="C26" s="19">
        <f>IF(B26="","",SUMIFS(MyR_CMD_Non_Susp!$G:$G,MyR_CMD_Non_Susp!$A:$A,"&gt;="&amp;$N$11,MyR_CMD_Non_Susp!$A:$A,"&lt;="&amp;B26,MyR_CMD_Non_Susp!$B:$B,$N$5,MyR_CMD_Non_Susp!$C:$C,$N$6,MyR_CMD_Non_Susp!$E:$E,$N$9,MyR_CMD_Non_Susp!$F:$F,$N$10,MyR_CMD_Non_Susp!$H:$H,$N$17))</f>
        <v>620.90528052800005</v>
      </c>
      <c r="D26" s="19">
        <f t="shared" si="1"/>
        <v>1190.1166055542039</v>
      </c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11"/>
    </row>
    <row r="27" spans="1:15" ht="12.75" customHeight="1" x14ac:dyDescent="0.25">
      <c r="A27" s="11"/>
      <c r="B27" s="18">
        <f t="shared" si="0"/>
        <v>46156</v>
      </c>
      <c r="C27" s="19">
        <f>IF(B27="","",SUMIFS(MyR_CMD_Non_Susp!$G:$G,MyR_CMD_Non_Susp!$A:$A,"&gt;="&amp;$N$11,MyR_CMD_Non_Susp!$A:$A,"&lt;="&amp;B27,MyR_CMD_Non_Susp!$B:$B,$N$5,MyR_CMD_Non_Susp!$C:$C,$N$6,MyR_CMD_Non_Susp!$E:$E,$N$9,MyR_CMD_Non_Susp!$F:$F,$N$10,MyR_CMD_Non_Susp!$H:$H,$N$17))</f>
        <v>621.55208052800003</v>
      </c>
      <c r="D27" s="19">
        <f t="shared" si="1"/>
        <v>1281.6640367506811</v>
      </c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</row>
    <row r="28" spans="1:15" ht="12.75" customHeight="1" x14ac:dyDescent="0.25">
      <c r="A28" s="11"/>
      <c r="B28" s="18">
        <f t="shared" si="0"/>
        <v>46157</v>
      </c>
      <c r="C28" s="19">
        <f>IF(B28="","",SUMIFS(MyR_CMD_Non_Susp!$G:$G,MyR_CMD_Non_Susp!$A:$A,"&gt;="&amp;$N$11,MyR_CMD_Non_Susp!$A:$A,"&lt;="&amp;B28,MyR_CMD_Non_Susp!$B:$B,$N$5,MyR_CMD_Non_Susp!$C:$C,$N$6,MyR_CMD_Non_Susp!$E:$E,$N$9,MyR_CMD_Non_Susp!$F:$F,$N$10,MyR_CMD_Non_Susp!$H:$H,$N$17))</f>
        <v>623.25075552800001</v>
      </c>
      <c r="D28" s="19">
        <f t="shared" si="1"/>
        <v>1373.2114679471583</v>
      </c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1"/>
    </row>
    <row r="29" spans="1:15" ht="12.75" customHeight="1" x14ac:dyDescent="0.25">
      <c r="A29" s="11"/>
      <c r="B29" s="18">
        <f t="shared" si="0"/>
        <v>46158</v>
      </c>
      <c r="C29" s="19">
        <f>IF(B29="","",SUMIFS(MyR_CMD_Non_Susp!$G:$G,MyR_CMD_Non_Susp!$A:$A,"&gt;="&amp;$N$11,MyR_CMD_Non_Susp!$A:$A,"&lt;="&amp;B29,MyR_CMD_Non_Susp!$B:$B,$N$5,MyR_CMD_Non_Susp!$C:$C,$N$6,MyR_CMD_Non_Susp!$E:$E,$N$9,MyR_CMD_Non_Susp!$F:$F,$N$10,MyR_CMD_Non_Susp!$H:$H,$N$17))</f>
        <v>624.30352052800004</v>
      </c>
      <c r="D29" s="19">
        <f t="shared" si="1"/>
        <v>1464.7588991436355</v>
      </c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1"/>
    </row>
    <row r="30" spans="1:15" ht="12.75" customHeight="1" x14ac:dyDescent="0.25">
      <c r="A30" s="11"/>
      <c r="B30" s="18">
        <f t="shared" si="0"/>
        <v>46159</v>
      </c>
      <c r="C30" s="19">
        <f>IF(B30="","",SUMIFS(MyR_CMD_Non_Susp!$G:$G,MyR_CMD_Non_Susp!$A:$A,"&gt;="&amp;$N$11,MyR_CMD_Non_Susp!$A:$A,"&lt;="&amp;B30,MyR_CMD_Non_Susp!$B:$B,$N$5,MyR_CMD_Non_Susp!$C:$C,$N$6,MyR_CMD_Non_Susp!$E:$E,$N$9,MyR_CMD_Non_Susp!$F:$F,$N$10,MyR_CMD_Non_Susp!$H:$H,$N$17))</f>
        <v>624.30352052800004</v>
      </c>
      <c r="D30" s="19">
        <f t="shared" si="1"/>
        <v>1556.3063303401127</v>
      </c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11"/>
    </row>
    <row r="31" spans="1:15" ht="12.75" customHeight="1" x14ac:dyDescent="0.25">
      <c r="A31" s="11"/>
      <c r="B31" s="18">
        <f t="shared" si="0"/>
        <v>46160</v>
      </c>
      <c r="C31" s="19">
        <f>IF(B31="","",SUMIFS(MyR_CMD_Non_Susp!$G:$G,MyR_CMD_Non_Susp!$A:$A,"&gt;="&amp;$N$11,MyR_CMD_Non_Susp!$A:$A,"&lt;="&amp;B31,MyR_CMD_Non_Susp!$B:$B,$N$5,MyR_CMD_Non_Susp!$C:$C,$N$6,MyR_CMD_Non_Susp!$E:$E,$N$9,MyR_CMD_Non_Susp!$F:$F,$N$10,MyR_CMD_Non_Susp!$H:$H,$N$17))</f>
        <v>669.66023967799981</v>
      </c>
      <c r="D31" s="19">
        <f t="shared" si="1"/>
        <v>1647.8537615365901</v>
      </c>
      <c r="E31" s="11"/>
      <c r="F31" s="11"/>
      <c r="G31" s="11"/>
      <c r="H31" s="11"/>
      <c r="I31" s="11"/>
      <c r="J31" s="11"/>
      <c r="K31" s="11"/>
      <c r="L31" s="11"/>
      <c r="M31" s="11"/>
      <c r="N31" s="12"/>
      <c r="O31" s="11"/>
    </row>
    <row r="32" spans="1:15" ht="12.75" customHeight="1" x14ac:dyDescent="0.25">
      <c r="A32" s="11"/>
      <c r="B32" s="18">
        <f t="shared" si="0"/>
        <v>46161</v>
      </c>
      <c r="C32" s="19">
        <f>IF(B32="","",SUMIFS(MyR_CMD_Non_Susp!$G:$G,MyR_CMD_Non_Susp!$A:$A,"&gt;="&amp;$N$11,MyR_CMD_Non_Susp!$A:$A,"&lt;="&amp;B32,MyR_CMD_Non_Susp!$B:$B,$N$5,MyR_CMD_Non_Susp!$C:$C,$N$6,MyR_CMD_Non_Susp!$E:$E,$N$9,MyR_CMD_Non_Susp!$F:$F,$N$10,MyR_CMD_Non_Susp!$H:$H,$N$17))</f>
        <v>742.14866209799993</v>
      </c>
      <c r="D32" s="19">
        <f t="shared" si="1"/>
        <v>1739.4011927330671</v>
      </c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1"/>
    </row>
    <row r="33" spans="1:15" ht="12.75" customHeight="1" x14ac:dyDescent="0.25">
      <c r="A33" s="11"/>
      <c r="B33" s="18">
        <f t="shared" si="0"/>
        <v>46162</v>
      </c>
      <c r="C33" s="19">
        <f>IF(B33="","",SUMIFS(MyR_CMD_Non_Susp!$G:$G,MyR_CMD_Non_Susp!$A:$A,"&gt;="&amp;$N$11,MyR_CMD_Non_Susp!$A:$A,"&lt;="&amp;B33,MyR_CMD_Non_Susp!$B:$B,$N$5,MyR_CMD_Non_Susp!$C:$C,$N$6,MyR_CMD_Non_Susp!$E:$E,$N$9,MyR_CMD_Non_Susp!$F:$F,$N$10,MyR_CMD_Non_Susp!$H:$H,$N$17))</f>
        <v>817.74496274799992</v>
      </c>
      <c r="D33" s="19">
        <f t="shared" si="1"/>
        <v>1830.9486239295445</v>
      </c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1"/>
    </row>
    <row r="34" spans="1:15" ht="12.75" customHeight="1" x14ac:dyDescent="0.25">
      <c r="A34" s="11"/>
      <c r="B34" s="18">
        <f t="shared" si="0"/>
        <v>46163</v>
      </c>
      <c r="C34" s="19">
        <f>IF(B34="","",SUMIFS(MyR_CMD_Non_Susp!$G:$G,MyR_CMD_Non_Susp!$A:$A,"&gt;="&amp;$N$11,MyR_CMD_Non_Susp!$A:$A,"&lt;="&amp;B34,MyR_CMD_Non_Susp!$B:$B,$N$5,MyR_CMD_Non_Susp!$C:$C,$N$6,MyR_CMD_Non_Susp!$E:$E,$N$9,MyR_CMD_Non_Susp!$F:$F,$N$10,MyR_CMD_Non_Susp!$H:$H,$N$17))</f>
        <v>1247.0752903479997</v>
      </c>
      <c r="D34" s="19">
        <f t="shared" si="1"/>
        <v>1922.4960551260217</v>
      </c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1"/>
    </row>
    <row r="35" spans="1:15" ht="12.75" customHeight="1" x14ac:dyDescent="0.25">
      <c r="A35" s="11"/>
      <c r="B35" s="18">
        <f t="shared" si="0"/>
        <v>46164</v>
      </c>
      <c r="C35" s="19">
        <f>IF(B35="","",SUMIFS(MyR_CMD_Non_Susp!$G:$G,MyR_CMD_Non_Susp!$A:$A,"&gt;="&amp;$N$11,MyR_CMD_Non_Susp!$A:$A,"&lt;="&amp;B35,MyR_CMD_Non_Susp!$B:$B,$N$5,MyR_CMD_Non_Susp!$C:$C,$N$6,MyR_CMD_Non_Susp!$E:$E,$N$9,MyR_CMD_Non_Susp!$F:$F,$N$10,MyR_CMD_Non_Susp!$H:$H,$N$17))</f>
        <v>1423.6612352479995</v>
      </c>
      <c r="D35" s="19">
        <f t="shared" si="1"/>
        <v>2014.0434863224989</v>
      </c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1"/>
    </row>
    <row r="36" spans="1:15" ht="12.75" customHeight="1" x14ac:dyDescent="0.25">
      <c r="A36" s="11"/>
      <c r="B36" s="18">
        <f t="shared" si="0"/>
        <v>46165</v>
      </c>
      <c r="C36" s="19">
        <f>IF(B36="","",SUMIFS(MyR_CMD_Non_Susp!$G:$G,MyR_CMD_Non_Susp!$A:$A,"&gt;="&amp;$N$11,MyR_CMD_Non_Susp!$A:$A,"&lt;="&amp;B36,MyR_CMD_Non_Susp!$B:$B,$N$5,MyR_CMD_Non_Susp!$C:$C,$N$6,MyR_CMD_Non_Susp!$E:$E,$N$9,MyR_CMD_Non_Susp!$F:$F,$N$10,MyR_CMD_Non_Susp!$H:$H,$N$17))</f>
        <v>1423.6612352479995</v>
      </c>
      <c r="D36" s="19">
        <f t="shared" si="1"/>
        <v>2105.5909175189763</v>
      </c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1"/>
    </row>
    <row r="37" spans="1:15" ht="12.75" customHeight="1" x14ac:dyDescent="0.25">
      <c r="A37" s="11"/>
      <c r="B37" s="18">
        <f t="shared" si="0"/>
        <v>46166</v>
      </c>
      <c r="C37" s="19">
        <f>IF(B37="","",SUMIFS(MyR_CMD_Non_Susp!$G:$G,MyR_CMD_Non_Susp!$A:$A,"&gt;="&amp;$N$11,MyR_CMD_Non_Susp!$A:$A,"&lt;="&amp;B37,MyR_CMD_Non_Susp!$B:$B,$N$5,MyR_CMD_Non_Susp!$C:$C,$N$6,MyR_CMD_Non_Susp!$E:$E,$N$9,MyR_CMD_Non_Susp!$F:$F,$N$10,MyR_CMD_Non_Susp!$H:$H,$N$17))</f>
        <v>1423.6612352479995</v>
      </c>
      <c r="D37" s="19">
        <f t="shared" si="1"/>
        <v>2197.138348715453</v>
      </c>
      <c r="E37" s="11"/>
      <c r="F37" s="11"/>
      <c r="G37" s="11"/>
      <c r="H37" s="11"/>
      <c r="I37" s="11"/>
      <c r="J37" s="11"/>
      <c r="K37" s="11"/>
      <c r="L37" s="11"/>
      <c r="M37" s="11"/>
      <c r="N37" s="12"/>
      <c r="O37" s="11"/>
    </row>
    <row r="38" spans="1:15" ht="12.75" customHeight="1" x14ac:dyDescent="0.25">
      <c r="A38" s="11"/>
      <c r="B38" s="18">
        <f t="shared" si="0"/>
        <v>46167</v>
      </c>
      <c r="C38" s="19">
        <f>IF(B38="","",SUMIFS(MyR_CMD_Non_Susp!$G:$G,MyR_CMD_Non_Susp!$A:$A,"&gt;="&amp;$N$11,MyR_CMD_Non_Susp!$A:$A,"&lt;="&amp;B38,MyR_CMD_Non_Susp!$B:$B,$N$5,MyR_CMD_Non_Susp!$C:$C,$N$6,MyR_CMD_Non_Susp!$E:$E,$N$9,MyR_CMD_Non_Susp!$F:$F,$N$10,MyR_CMD_Non_Susp!$H:$H,$N$17))</f>
        <v>1423.6612352479995</v>
      </c>
      <c r="D38" s="19">
        <f t="shared" si="1"/>
        <v>2288.6857799119307</v>
      </c>
      <c r="E38" s="11"/>
      <c r="F38" s="11"/>
      <c r="G38" s="11"/>
      <c r="H38" s="11"/>
      <c r="I38" s="11"/>
      <c r="J38" s="11"/>
      <c r="K38" s="11"/>
      <c r="L38" s="11"/>
      <c r="M38" s="11"/>
      <c r="N38" s="12"/>
      <c r="O38" s="11"/>
    </row>
    <row r="39" spans="1:15" ht="12.75" customHeight="1" x14ac:dyDescent="0.25">
      <c r="A39" s="11"/>
      <c r="B39" s="18">
        <f t="shared" si="0"/>
        <v>46168</v>
      </c>
      <c r="C39" s="19">
        <f>IF(B39="","",SUMIFS(MyR_CMD_Non_Susp!$G:$G,MyR_CMD_Non_Susp!$A:$A,"&gt;="&amp;$N$11,MyR_CMD_Non_Susp!$A:$A,"&lt;="&amp;B39,MyR_CMD_Non_Susp!$B:$B,$N$5,MyR_CMD_Non_Susp!$C:$C,$N$6,MyR_CMD_Non_Susp!$E:$E,$N$9,MyR_CMD_Non_Susp!$F:$F,$N$10,MyR_CMD_Non_Susp!$H:$H,$N$17))</f>
        <v>1506.1047276879997</v>
      </c>
      <c r="D39" s="19">
        <f t="shared" si="1"/>
        <v>2380.2332111084079</v>
      </c>
      <c r="E39" s="11"/>
      <c r="F39" s="11"/>
      <c r="G39" s="11"/>
      <c r="H39" s="11"/>
      <c r="I39" s="11"/>
      <c r="J39" s="11"/>
      <c r="K39" s="11"/>
      <c r="L39" s="11"/>
      <c r="M39" s="11"/>
      <c r="N39" s="12"/>
      <c r="O39" s="11"/>
    </row>
    <row r="40" spans="1:15" ht="12.75" customHeight="1" x14ac:dyDescent="0.25">
      <c r="A40" s="11"/>
      <c r="B40" s="18">
        <f t="shared" si="0"/>
        <v>46169</v>
      </c>
      <c r="C40" s="19">
        <f>IF(B40="","",SUMIFS(MyR_CMD_Non_Susp!$G:$G,MyR_CMD_Non_Susp!$A:$A,"&gt;="&amp;$N$11,MyR_CMD_Non_Susp!$A:$A,"&lt;="&amp;B40,MyR_CMD_Non_Susp!$B:$B,$N$5,MyR_CMD_Non_Susp!$C:$C,$N$6,MyR_CMD_Non_Susp!$E:$E,$N$9,MyR_CMD_Non_Susp!$F:$F,$N$10,MyR_CMD_Non_Susp!$H:$H,$N$17))</f>
        <v>1675.5943641280001</v>
      </c>
      <c r="D40" s="19">
        <f t="shared" si="1"/>
        <v>2471.7806423048851</v>
      </c>
      <c r="E40" s="11"/>
      <c r="F40" s="11"/>
      <c r="G40" s="11"/>
      <c r="H40" s="11"/>
      <c r="I40" s="11"/>
      <c r="J40" s="11"/>
      <c r="K40" s="11"/>
      <c r="L40" s="11"/>
      <c r="M40" s="11"/>
      <c r="N40" s="12"/>
      <c r="O40" s="11"/>
    </row>
    <row r="41" spans="1:15" ht="12.75" customHeight="1" x14ac:dyDescent="0.25">
      <c r="A41" s="11"/>
      <c r="B41" s="18">
        <f t="shared" si="0"/>
        <v>46170</v>
      </c>
      <c r="C41" s="19">
        <f>IF(B41="","",SUMIFS(MyR_CMD_Non_Susp!$G:$G,MyR_CMD_Non_Susp!$A:$A,"&gt;="&amp;$N$11,MyR_CMD_Non_Susp!$A:$A,"&lt;="&amp;B41,MyR_CMD_Non_Susp!$B:$B,$N$5,MyR_CMD_Non_Susp!$C:$C,$N$6,MyR_CMD_Non_Susp!$E:$E,$N$9,MyR_CMD_Non_Susp!$F:$F,$N$10,MyR_CMD_Non_Susp!$H:$H,$N$17))</f>
        <v>1754.4449416780001</v>
      </c>
      <c r="D41" s="19">
        <f t="shared" si="1"/>
        <v>2563.3280735013623</v>
      </c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</row>
    <row r="42" spans="1:15" ht="12.75" customHeight="1" x14ac:dyDescent="0.25">
      <c r="A42" s="11"/>
      <c r="B42" s="18">
        <f t="shared" si="0"/>
        <v>46171</v>
      </c>
      <c r="C42" s="19">
        <f>IF(B42="","",SUMIFS(MyR_CMD_Non_Susp!$G:$G,MyR_CMD_Non_Susp!$A:$A,"&gt;="&amp;$N$11,MyR_CMD_Non_Susp!$A:$A,"&lt;="&amp;B42,MyR_CMD_Non_Susp!$B:$B,$N$5,MyR_CMD_Non_Susp!$C:$C,$N$6,MyR_CMD_Non_Susp!$E:$E,$N$9,MyR_CMD_Non_Susp!$F:$F,$N$10,MyR_CMD_Non_Susp!$H:$H,$N$17))</f>
        <v>1799.5067991780002</v>
      </c>
      <c r="D42" s="19">
        <f t="shared" si="1"/>
        <v>2654.875504697839</v>
      </c>
      <c r="E42" s="11"/>
      <c r="F42" s="11"/>
      <c r="G42" s="11"/>
      <c r="H42" s="11"/>
      <c r="I42" s="11"/>
      <c r="J42" s="11"/>
      <c r="K42" s="11"/>
      <c r="L42" s="11"/>
      <c r="M42" s="11"/>
      <c r="N42" s="12"/>
      <c r="O42" s="11"/>
    </row>
    <row r="43" spans="1:15" ht="12.75" customHeight="1" x14ac:dyDescent="0.25">
      <c r="A43" s="11"/>
      <c r="B43" s="18">
        <f t="shared" si="0"/>
        <v>46172</v>
      </c>
      <c r="C43" s="19">
        <f>IF(B43="","",SUMIFS(MyR_CMD_Non_Susp!$G:$G,MyR_CMD_Non_Susp!$A:$A,"&gt;="&amp;$N$11,MyR_CMD_Non_Susp!$A:$A,"&lt;="&amp;B43,MyR_CMD_Non_Susp!$B:$B,$N$5,MyR_CMD_Non_Susp!$C:$C,$N$6,MyR_CMD_Non_Susp!$E:$E,$N$9,MyR_CMD_Non_Susp!$F:$F,$N$10,MyR_CMD_Non_Susp!$H:$H,$N$17))</f>
        <v>1802.1430741780002</v>
      </c>
      <c r="D43" s="19">
        <f t="shared" si="1"/>
        <v>2746.4229358943167</v>
      </c>
      <c r="E43" s="11"/>
      <c r="F43" s="11"/>
      <c r="G43" s="11"/>
      <c r="H43" s="11"/>
      <c r="I43" s="11"/>
      <c r="J43" s="11"/>
      <c r="K43" s="11"/>
      <c r="L43" s="11"/>
      <c r="M43" s="11"/>
      <c r="N43" s="12"/>
      <c r="O43" s="11"/>
    </row>
    <row r="44" spans="1:15" ht="12.75" customHeight="1" x14ac:dyDescent="0.25">
      <c r="A44" s="11"/>
      <c r="B44" s="18">
        <f t="shared" si="0"/>
        <v>46173</v>
      </c>
      <c r="C44" s="19">
        <f>IF(B44="","",SUMIFS(MyR_CMD_Non_Susp!$G:$G,MyR_CMD_Non_Susp!$A:$A,"&gt;="&amp;$N$11,MyR_CMD_Non_Susp!$A:$A,"&lt;="&amp;B44,MyR_CMD_Non_Susp!$B:$B,$N$5,MyR_CMD_Non_Susp!$C:$C,$N$6,MyR_CMD_Non_Susp!$E:$E,$N$9,MyR_CMD_Non_Susp!$F:$F,$N$10,MyR_CMD_Non_Susp!$H:$H,$N$17))</f>
        <v>1802.1430741780002</v>
      </c>
      <c r="D44" s="19">
        <f t="shared" si="1"/>
        <v>2837.9703670907938</v>
      </c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1"/>
    </row>
    <row r="45" spans="1:15" ht="1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  <c r="O45" s="11"/>
    </row>
    <row r="46" spans="1:15" ht="1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/>
      <c r="O46" s="11"/>
    </row>
    <row r="47" spans="1:15" ht="1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/>
      <c r="O47" s="11"/>
    </row>
    <row r="48" spans="1:15" ht="1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1"/>
    </row>
    <row r="49" spans="1:15" ht="1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1"/>
    </row>
    <row r="50" spans="1:15" ht="1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/>
      <c r="O50" s="11"/>
    </row>
    <row r="51" spans="1:15" ht="1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/>
      <c r="O51" s="11"/>
    </row>
    <row r="52" spans="1:15" ht="1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2"/>
      <c r="O52" s="11"/>
    </row>
    <row r="53" spans="1:15" ht="1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  <c r="O53" s="11"/>
    </row>
    <row r="54" spans="1:15" ht="1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/>
      <c r="O54" s="11"/>
    </row>
    <row r="55" spans="1:15" ht="1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1"/>
    </row>
    <row r="56" spans="1:15" ht="1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1"/>
    </row>
    <row r="57" spans="1:15" ht="1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2"/>
      <c r="O57" s="11"/>
    </row>
    <row r="58" spans="1:15" ht="1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</row>
    <row r="59" spans="1:15" ht="1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  <c r="O59" s="11"/>
    </row>
    <row r="60" spans="1:15" ht="1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2"/>
      <c r="O60" s="11"/>
    </row>
    <row r="61" spans="1:15" ht="1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2"/>
      <c r="O61" s="11"/>
    </row>
    <row r="62" spans="1:15" ht="1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2"/>
      <c r="O62" s="11"/>
    </row>
    <row r="63" spans="1:15" ht="1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2"/>
      <c r="O63" s="11"/>
    </row>
    <row r="64" spans="1:15" ht="1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2"/>
      <c r="O64" s="11"/>
    </row>
    <row r="65" spans="1:15" ht="1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2"/>
      <c r="O65" s="11"/>
    </row>
    <row r="66" spans="1:15" ht="1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  <c r="O66" s="11"/>
    </row>
    <row r="67" spans="1:15" ht="1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2"/>
      <c r="O67" s="11"/>
    </row>
    <row r="68" spans="1:15" ht="1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2"/>
      <c r="O68" s="11"/>
    </row>
    <row r="69" spans="1:15" ht="1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2"/>
      <c r="O69" s="11"/>
    </row>
    <row r="70" spans="1:15" ht="1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2"/>
      <c r="O70" s="11"/>
    </row>
    <row r="71" spans="1:15" ht="1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/>
      <c r="O71" s="11"/>
    </row>
    <row r="72" spans="1:15" ht="1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2"/>
      <c r="O72" s="11"/>
    </row>
    <row r="73" spans="1:15" ht="1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2"/>
      <c r="O73" s="11"/>
    </row>
    <row r="74" spans="1:15" ht="1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2"/>
      <c r="O74" s="11"/>
    </row>
    <row r="75" spans="1:15" ht="1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2"/>
      <c r="O75" s="11"/>
    </row>
    <row r="76" spans="1:15" ht="1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2"/>
      <c r="O76" s="11"/>
    </row>
    <row r="77" spans="1:15" ht="1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/>
      <c r="O77" s="11"/>
    </row>
    <row r="78" spans="1:15" ht="1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2"/>
      <c r="O78" s="11"/>
    </row>
    <row r="79" spans="1:15" ht="1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/>
      <c r="O79" s="11"/>
    </row>
    <row r="80" spans="1:15" ht="1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/>
      <c r="O80" s="11"/>
    </row>
  </sheetData>
  <mergeCells count="21">
    <mergeCell ref="C11:D11"/>
    <mergeCell ref="L5:M7"/>
    <mergeCell ref="F9:H11"/>
    <mergeCell ref="B4:D4"/>
    <mergeCell ref="F4:H4"/>
    <mergeCell ref="C8:D8"/>
    <mergeCell ref="C7:D7"/>
    <mergeCell ref="I9:K11"/>
    <mergeCell ref="L9:M11"/>
    <mergeCell ref="I8:K8"/>
    <mergeCell ref="I5:K7"/>
    <mergeCell ref="A1:O2"/>
    <mergeCell ref="I4:K4"/>
    <mergeCell ref="C9:D9"/>
    <mergeCell ref="L8:M8"/>
    <mergeCell ref="L4:M4"/>
    <mergeCell ref="C6:D6"/>
    <mergeCell ref="F5:H7"/>
    <mergeCell ref="C5:D5"/>
    <mergeCell ref="F8:H8"/>
    <mergeCell ref="C10:D10"/>
  </mergeCells>
  <conditionalFormatting sqref="B14:B44">
    <cfRule type="cellIs" dxfId="1" priority="18" operator="equal">
      <formula>$C$11</formula>
    </cfRule>
  </conditionalFormatting>
  <dataValidations count="2">
    <dataValidation type="list" sqref="C7" xr:uid="{00000000-0002-0000-0500-000000000000}">
      <formula1>"Commercial,Secteur"</formula1>
      <formula2>0</formula2>
    </dataValidation>
    <dataValidation type="list" sqref="C8" xr:uid="{00000000-0002-0000-0500-000001000000}">
      <formula1>INDIRECT($N$18)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7CF1BE7E-B35C-4FD8-AA42-A3C011991CE2}">
          <x14:formula1>
            <xm:f>PARAMS!$J$2:$J$13</xm:f>
          </x14:formula1>
          <xm:sqref>C6:D6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9"/>
  <sheetViews>
    <sheetView showGridLines="0" tabSelected="1" zoomScaleNormal="100" workbookViewId="0">
      <selection activeCell="Q16" sqref="Q16"/>
    </sheetView>
  </sheetViews>
  <sheetFormatPr baseColWidth="10" defaultColWidth="9.140625" defaultRowHeight="15" x14ac:dyDescent="0.25"/>
  <cols>
    <col min="1" max="1" width="3" customWidth="1"/>
    <col min="2" max="2" width="19.85546875" customWidth="1"/>
    <col min="3" max="3" width="16.5703125" bestFit="1" customWidth="1"/>
    <col min="4" max="4" width="17.140625" bestFit="1" customWidth="1"/>
    <col min="5" max="5" width="11.5703125" bestFit="1" customWidth="1"/>
    <col min="6" max="6" width="12.140625" bestFit="1" customWidth="1"/>
    <col min="7" max="7" width="10.28515625" bestFit="1" customWidth="1"/>
    <col min="8" max="11" width="13" customWidth="1"/>
    <col min="12" max="12" width="33.5703125" customWidth="1"/>
    <col min="13" max="13" width="9.140625" hidden="1" customWidth="1"/>
    <col min="14" max="17" width="23.5703125" customWidth="1"/>
  </cols>
  <sheetData>
    <row r="1" spans="1:17" ht="26.25" customHeight="1" x14ac:dyDescent="0.25">
      <c r="A1" s="9"/>
      <c r="B1" s="10" t="s">
        <v>90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5" customHeight="1" x14ac:dyDescent="0.25">
      <c r="A4" s="11"/>
      <c r="B4" s="20" t="s">
        <v>1</v>
      </c>
      <c r="C4" s="73"/>
      <c r="D4" s="7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1"/>
      <c r="B5" s="21" t="s">
        <v>5</v>
      </c>
      <c r="C5" s="71">
        <v>2026</v>
      </c>
      <c r="D5" s="72"/>
      <c r="E5" s="11"/>
      <c r="F5" s="11"/>
      <c r="G5" s="11"/>
      <c r="H5" s="11"/>
      <c r="I5" s="11"/>
      <c r="J5" s="11"/>
      <c r="K5" s="11"/>
      <c r="L5" s="11"/>
      <c r="M5" s="11">
        <f>C5</f>
        <v>2026</v>
      </c>
      <c r="N5" s="11"/>
      <c r="O5" s="11"/>
      <c r="P5" s="11"/>
      <c r="Q5" s="11"/>
    </row>
    <row r="6" spans="1:17" ht="15" customHeight="1" x14ac:dyDescent="0.25">
      <c r="A6" s="11"/>
      <c r="B6" s="21" t="s">
        <v>8</v>
      </c>
      <c r="C6" s="71" t="s">
        <v>9</v>
      </c>
      <c r="D6" s="7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5" customHeight="1" x14ac:dyDescent="0.25">
      <c r="A7" s="11"/>
      <c r="B7" s="21" t="s">
        <v>10</v>
      </c>
      <c r="C7" s="71" t="s">
        <v>11</v>
      </c>
      <c r="D7" s="72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15" customHeight="1" x14ac:dyDescent="0.25">
      <c r="A8" s="11"/>
      <c r="B8" s="21" t="s">
        <v>15</v>
      </c>
      <c r="C8" s="71" t="s">
        <v>11</v>
      </c>
      <c r="D8" s="72"/>
      <c r="E8" s="11"/>
      <c r="F8" s="11"/>
      <c r="G8" s="11"/>
      <c r="H8" s="11"/>
      <c r="I8" s="11"/>
      <c r="J8" s="11"/>
      <c r="K8" s="11"/>
      <c r="L8" s="11"/>
      <c r="M8" s="11" t="str">
        <f>M13</f>
        <v>*</v>
      </c>
      <c r="N8" s="11"/>
      <c r="O8" s="11"/>
      <c r="P8" s="11"/>
      <c r="Q8" s="11"/>
    </row>
    <row r="9" spans="1:17" ht="15" customHeight="1" x14ac:dyDescent="0.25">
      <c r="A9" s="11"/>
      <c r="B9" s="21" t="s">
        <v>91</v>
      </c>
      <c r="C9" s="71" t="str">
        <f>PROPER(TEXT(Suivi_JOURNALIER!C11,"mmmm"))</f>
        <v>Juin</v>
      </c>
      <c r="D9" s="72"/>
      <c r="E9" s="11"/>
      <c r="F9" s="11"/>
      <c r="G9" s="11"/>
      <c r="H9" s="11"/>
      <c r="I9" s="11"/>
      <c r="J9" s="11"/>
      <c r="K9" s="11"/>
      <c r="L9" s="11"/>
      <c r="M9" s="11" t="str">
        <f>IF(C8="Tous","*",C8)</f>
        <v>*</v>
      </c>
      <c r="N9" s="11"/>
      <c r="O9" s="11"/>
      <c r="P9" s="11"/>
      <c r="Q9" s="11"/>
    </row>
    <row r="10" spans="1:17" ht="15" customHeight="1" x14ac:dyDescent="0.25">
      <c r="A10" s="11"/>
      <c r="E10" s="11"/>
      <c r="F10" s="11"/>
      <c r="G10" s="11"/>
      <c r="H10" s="11"/>
      <c r="I10" s="11"/>
      <c r="J10" s="11"/>
      <c r="K10" s="11"/>
      <c r="L10" s="11"/>
      <c r="M10" s="11" t="str">
        <f>C6</f>
        <v>Secteur</v>
      </c>
      <c r="N10" s="11"/>
      <c r="O10" s="11"/>
      <c r="P10" s="11"/>
      <c r="Q10" s="11"/>
    </row>
    <row r="11" spans="1:17" ht="1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tr">
        <f>C7</f>
        <v>Tous</v>
      </c>
      <c r="N11" s="11"/>
      <c r="O11" s="11"/>
      <c r="P11" s="11"/>
      <c r="Q11" s="11"/>
    </row>
    <row r="12" spans="1:17" ht="25.5" customHeight="1" x14ac:dyDescent="0.25">
      <c r="A12" s="11"/>
      <c r="B12" s="22" t="s">
        <v>6</v>
      </c>
      <c r="C12" s="22" t="s">
        <v>95</v>
      </c>
      <c r="D12" s="22" t="s">
        <v>96</v>
      </c>
      <c r="E12" s="22" t="s">
        <v>92</v>
      </c>
      <c r="F12" s="22" t="s">
        <v>93</v>
      </c>
      <c r="G12" s="74" t="s">
        <v>94</v>
      </c>
      <c r="H12" s="11"/>
      <c r="I12" s="11"/>
      <c r="J12" s="11"/>
      <c r="K12" s="11"/>
      <c r="L12" s="11"/>
      <c r="M12" s="11" t="str">
        <f>IF(C7="Tous","*",C7)</f>
        <v>*</v>
      </c>
      <c r="N12" s="11"/>
      <c r="O12" s="11"/>
      <c r="P12" s="11"/>
      <c r="Q12" s="11"/>
    </row>
    <row r="13" spans="1:17" ht="15" customHeight="1" x14ac:dyDescent="0.25">
      <c r="A13" s="11"/>
      <c r="B13" s="14" t="s">
        <v>35</v>
      </c>
      <c r="C13" s="35">
        <f>E13</f>
        <v>2621.5010458029992</v>
      </c>
      <c r="D13" s="35">
        <f>F13</f>
        <v>2163.3783654504541</v>
      </c>
      <c r="E13" s="35">
        <f>SUMIFS(MyR_CMD_Non_Susp!$G:$G,MyR_CMD_Non_Susp!$B:$B,$M$5,MyR_CMD_Non_Susp!$C:$C,1,MyR_CMD_Non_Susp!$E:$E,$M$8,MyR_CMD_Non_Susp!$F:$F,$M$9,MyR_CMD_Non_Susp!$H:$H,$M$14)</f>
        <v>2621.5010458029992</v>
      </c>
      <c r="F13" s="35">
        <f>IF(C6="Commercial",SUMIFS(BASE_OBJECTIFS!$E:$E,BASE_OBJECTIFS!$C:$C,1,BASE_OBJECTIFS!$A:$A,$M$8,BASE_OBJECTIFS!$B:$B,$M$9),SUMIFS(BASE_OBJECTIFS!$E:$E,BASE_OBJECTIFS!$C:$C,1,BASE_OBJECTIFS!$F:$F,$M$12,BASE_OBJECTIFS!$B:$B,$M$9))</f>
        <v>2163.3783654504541</v>
      </c>
      <c r="G13" s="75">
        <f t="shared" ref="G13:G24" si="0">IFERROR(E13/F13,0)</f>
        <v>1.2117626244529609</v>
      </c>
      <c r="H13" s="11"/>
      <c r="I13" s="11"/>
      <c r="J13" s="11"/>
      <c r="K13" s="11"/>
      <c r="L13" s="11"/>
      <c r="M13" s="11" t="str">
        <f>IF(C6="Commercial",M12,"*")</f>
        <v>*</v>
      </c>
      <c r="N13" s="11"/>
      <c r="O13" s="11"/>
      <c r="P13" s="11"/>
      <c r="Q13" s="11"/>
    </row>
    <row r="14" spans="1:17" ht="15" customHeight="1" x14ac:dyDescent="0.25">
      <c r="A14" s="11"/>
      <c r="B14" s="14" t="s">
        <v>37</v>
      </c>
      <c r="C14" s="35">
        <f>E14-E13</f>
        <v>2940.1653030840007</v>
      </c>
      <c r="D14" s="35">
        <f>F14-F13</f>
        <v>2616.3890832942261</v>
      </c>
      <c r="E14" s="35">
        <f>SUMIFS(MyR_CMD_Non_Susp!$G:$G,MyR_CMD_Non_Susp!$B:$B,$M$5,MyR_CMD_Non_Susp!$C:$C,2,MyR_CMD_Non_Susp!$E:$E,$M$8,MyR_CMD_Non_Susp!$F:$F,$M$9,MyR_CMD_Non_Susp!$H:$H,$M$14)+E13</f>
        <v>5561.6663488869999</v>
      </c>
      <c r="F14" s="35">
        <f>IF(C6="Commercial",SUMIFS(BASE_OBJECTIFS!$E:$E,BASE_OBJECTIFS!$C:$C,2,BASE_OBJECTIFS!$A:$A,$M$8,BASE_OBJECTIFS!$B:$B,$M$9),SUMIFS(BASE_OBJECTIFS!$E:$E,BASE_OBJECTIFS!$C:$C,2,BASE_OBJECTIFS!$F:$F,$M$12,BASE_OBJECTIFS!$B:$B,$M$9))+F13</f>
        <v>4779.7674487446802</v>
      </c>
      <c r="G14" s="75">
        <f t="shared" si="0"/>
        <v>1.1635851343244055</v>
      </c>
      <c r="H14" s="11"/>
      <c r="I14" s="11"/>
      <c r="J14" s="11"/>
      <c r="K14" s="11"/>
      <c r="L14" s="11"/>
      <c r="M14" s="11" t="str">
        <f>IF(C6="Secteur",M12,"*")</f>
        <v>*</v>
      </c>
      <c r="N14" s="11"/>
      <c r="O14" s="11"/>
      <c r="P14" s="11"/>
      <c r="Q14" s="11"/>
    </row>
    <row r="15" spans="1:17" ht="15" customHeight="1" x14ac:dyDescent="0.25">
      <c r="A15" s="11"/>
      <c r="B15" s="14" t="s">
        <v>41</v>
      </c>
      <c r="C15" s="35">
        <f>E15-E14</f>
        <v>3375.2331769140001</v>
      </c>
      <c r="D15" s="35">
        <f>F15-F14</f>
        <v>3043.1513831844122</v>
      </c>
      <c r="E15" s="35">
        <f>SUMIFS(MyR_CMD_Non_Susp!$G:$G,MyR_CMD_Non_Susp!$B:$B,$M$5,MyR_CMD_Non_Susp!$C:$C,3,MyR_CMD_Non_Susp!$E:$E,$M$8,MyR_CMD_Non_Susp!$F:$F,$M$9,MyR_CMD_Non_Susp!$H:$H,$M$14)+E14</f>
        <v>8936.899525801</v>
      </c>
      <c r="F15" s="35">
        <f>IF(C6="Commercial",SUMIFS(BASE_OBJECTIFS!$E:$E,BASE_OBJECTIFS!$C:$C,3,BASE_OBJECTIFS!$A:$A,$M$8,BASE_OBJECTIFS!$B:$B,$M$9),SUMIFS(BASE_OBJECTIFS!$E:$E,BASE_OBJECTIFS!$C:$C,3,BASE_OBJECTIFS!$F:$F,$M$12,BASE_OBJECTIFS!$B:$B,$M$9))+F14</f>
        <v>7822.9188319290924</v>
      </c>
      <c r="G15" s="75">
        <f t="shared" si="0"/>
        <v>1.1423996231847908</v>
      </c>
      <c r="H15" s="11"/>
      <c r="I15" s="11"/>
      <c r="J15" s="11"/>
      <c r="K15" s="11"/>
      <c r="L15" s="11"/>
      <c r="M15" s="11" t="str">
        <f>IF(C6="Commercial","PARAMS!$D$2:$D$20","PARAMS!$M$2:$M$7")</f>
        <v>PARAMS!$M$2:$M$7</v>
      </c>
      <c r="N15" s="11"/>
      <c r="O15" s="11"/>
      <c r="P15" s="11"/>
      <c r="Q15" s="11"/>
    </row>
    <row r="16" spans="1:17" ht="15" customHeight="1" x14ac:dyDescent="0.25">
      <c r="A16" s="11"/>
      <c r="B16" s="14" t="s">
        <v>45</v>
      </c>
      <c r="C16" s="35">
        <f>E16-E15</f>
        <v>2924.8597270239952</v>
      </c>
      <c r="D16" s="35">
        <f>F16-F15</f>
        <v>3094.5961044828246</v>
      </c>
      <c r="E16" s="35">
        <f>SUMIFS(MyR_CMD_Non_Susp!$G:$G,MyR_CMD_Non_Susp!$B:$B,$M$5,MyR_CMD_Non_Susp!$C:$C,4,MyR_CMD_Non_Susp!$E:$E,$M$8,MyR_CMD_Non_Susp!$F:$F,$M$9,MyR_CMD_Non_Susp!$H:$H,$M$14)+E15</f>
        <v>11861.759252824995</v>
      </c>
      <c r="F16" s="35">
        <f>IF(C6="Commercial",SUMIFS(BASE_OBJECTIFS!$E:$E,BASE_OBJECTIFS!$C:$C,4,BASE_OBJECTIFS!$A:$A,$M$8,BASE_OBJECTIFS!$B:$B,$M$9),SUMIFS(BASE_OBJECTIFS!$E:$E,BASE_OBJECTIFS!$C:$C,4,BASE_OBJECTIFS!$F:$F,$M$12,BASE_OBJECTIFS!$B:$B,$M$9))+F15</f>
        <v>10917.514936411917</v>
      </c>
      <c r="G16" s="75">
        <f t="shared" si="0"/>
        <v>1.0864889420268939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15" customHeight="1" x14ac:dyDescent="0.25">
      <c r="A17" s="11"/>
      <c r="B17" s="14" t="s">
        <v>7</v>
      </c>
      <c r="C17" s="35">
        <f>E17-E16</f>
        <v>1802.1430741780005</v>
      </c>
      <c r="D17" s="35">
        <f>F17-F16</f>
        <v>2837.9703670907948</v>
      </c>
      <c r="E17" s="35">
        <f>SUMIFS(MyR_CMD_Non_Susp!$G:$G,MyR_CMD_Non_Susp!$B:$B,$M$5,MyR_CMD_Non_Susp!$C:$C,5,MyR_CMD_Non_Susp!$E:$E,$M$8,MyR_CMD_Non_Susp!$F:$F,$M$9,MyR_CMD_Non_Susp!$H:$H,$M$14)+E16</f>
        <v>13663.902327002996</v>
      </c>
      <c r="F17" s="35">
        <f>IF(C6="Commercial",SUMIFS(BASE_OBJECTIFS!$E:$E,BASE_OBJECTIFS!$C:$C,5,BASE_OBJECTIFS!$A:$A,$M$8,BASE_OBJECTIFS!$B:$B,$M$9),SUMIFS(BASE_OBJECTIFS!$E:$E,BASE_OBJECTIFS!$C:$C,5,BASE_OBJECTIFS!$F:$F,$M$12,BASE_OBJECTIFS!$B:$B,$M$9))+F16</f>
        <v>13755.485303502712</v>
      </c>
      <c r="G17" s="75">
        <f t="shared" si="0"/>
        <v>0.993342075944322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15" customHeight="1" x14ac:dyDescent="0.25">
      <c r="A18" s="11"/>
      <c r="B18" s="14" t="s">
        <v>53</v>
      </c>
      <c r="C18" s="35">
        <f>E18-E17</f>
        <v>67.030541808000635</v>
      </c>
      <c r="D18" s="35">
        <f>F18-F17</f>
        <v>3911.9938561888775</v>
      </c>
      <c r="E18" s="35">
        <f>SUMIFS(MyR_CMD_Non_Susp!$G:$G,MyR_CMD_Non_Susp!$B:$B,$M$5,MyR_CMD_Non_Susp!$C:$C,6,MyR_CMD_Non_Susp!$E:$E,$M$8,MyR_CMD_Non_Susp!$F:$F,$M$9,MyR_CMD_Non_Susp!$H:$H,$M$14)+E17</f>
        <v>13730.932868810996</v>
      </c>
      <c r="F18" s="35">
        <f>IF(C6="Commercial",SUMIFS(BASE_OBJECTIFS!$E:$E,BASE_OBJECTIFS!$C:$C,6,BASE_OBJECTIFS!$A:$A,$M$8,BASE_OBJECTIFS!$B:$B,$M$9),SUMIFS(BASE_OBJECTIFS!$E:$E,BASE_OBJECTIFS!$C:$C,6,BASE_OBJECTIFS!$F:$F,$M$12,BASE_OBJECTIFS!$B:$B,$M$9))+F17</f>
        <v>17667.479159691589</v>
      </c>
      <c r="G18" s="75">
        <f t="shared" si="0"/>
        <v>0.77718687225839012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ht="15" customHeight="1" x14ac:dyDescent="0.25">
      <c r="A19" s="11"/>
      <c r="B19" s="14" t="s">
        <v>56</v>
      </c>
      <c r="C19" s="35">
        <f>E19-E18</f>
        <v>0</v>
      </c>
      <c r="D19" s="35">
        <f>F19-F18</f>
        <v>2650.9849798793221</v>
      </c>
      <c r="E19" s="35">
        <f>SUMIFS(MyR_CMD_Non_Susp!$G:$G,MyR_CMD_Non_Susp!$B:$B,$M$5,MyR_CMD_Non_Susp!$C:$C,7,MyR_CMD_Non_Susp!$E:$E,$M$8,MyR_CMD_Non_Susp!$F:$F,$M$9,MyR_CMD_Non_Susp!$H:$H,$M$14)+E18</f>
        <v>13730.932868810996</v>
      </c>
      <c r="F19" s="35">
        <f>IF(C6="Commercial",SUMIFS(BASE_OBJECTIFS!$E:$E,BASE_OBJECTIFS!$C:$C,7,BASE_OBJECTIFS!$A:$A,$M$8,BASE_OBJECTIFS!$B:$B,$M$9),SUMIFS(BASE_OBJECTIFS!$E:$E,BASE_OBJECTIFS!$C:$C,7,BASE_OBJECTIFS!$F:$F,$M$12,BASE_OBJECTIFS!$B:$B,$M$9))+F18</f>
        <v>20318.464139570911</v>
      </c>
      <c r="G19" s="75">
        <f t="shared" si="0"/>
        <v>0.67578596366787047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ht="15" customHeight="1" x14ac:dyDescent="0.25">
      <c r="A20" s="11"/>
      <c r="B20" s="14" t="s">
        <v>60</v>
      </c>
      <c r="C20" s="35">
        <f>E20-E19</f>
        <v>0</v>
      </c>
      <c r="D20" s="35">
        <f>F20-F19</f>
        <v>1732.6070716843278</v>
      </c>
      <c r="E20" s="35">
        <f>SUMIFS(MyR_CMD_Non_Susp!$G:$G,MyR_CMD_Non_Susp!$B:$B,$M$5,MyR_CMD_Non_Susp!$C:$C,8,MyR_CMD_Non_Susp!$E:$E,$M$8,MyR_CMD_Non_Susp!$F:$F,$M$9,MyR_CMD_Non_Susp!$H:$H,$M$14)+E19</f>
        <v>13730.932868810996</v>
      </c>
      <c r="F20" s="35">
        <f>IF(C6="Commercial",SUMIFS(BASE_OBJECTIFS!$E:$E,BASE_OBJECTIFS!$C:$C,8,BASE_OBJECTIFS!$A:$A,$M$8,BASE_OBJECTIFS!$B:$B,$M$9),SUMIFS(BASE_OBJECTIFS!$E:$E,BASE_OBJECTIFS!$C:$C,8,BASE_OBJECTIFS!$F:$F,$M$12,BASE_OBJECTIFS!$B:$B,$M$9))+F19</f>
        <v>22051.071211255239</v>
      </c>
      <c r="G20" s="75">
        <f t="shared" si="0"/>
        <v>0.62268779313553235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15" customHeight="1" x14ac:dyDescent="0.25">
      <c r="A21" s="11"/>
      <c r="B21" s="14" t="s">
        <v>63</v>
      </c>
      <c r="C21" s="35">
        <f>E21-E20</f>
        <v>0</v>
      </c>
      <c r="D21" s="35">
        <f>F21-F20</f>
        <v>2866.2074427324806</v>
      </c>
      <c r="E21" s="35">
        <f>SUMIFS(MyR_CMD_Non_Susp!$G:$G,MyR_CMD_Non_Susp!$B:$B,$M$5,MyR_CMD_Non_Susp!$C:$C,9,MyR_CMD_Non_Susp!$E:$E,$M$8,MyR_CMD_Non_Susp!$F:$F,$M$9,MyR_CMD_Non_Susp!$H:$H,$M$14)+E20</f>
        <v>13730.932868810996</v>
      </c>
      <c r="F21" s="35">
        <f>IF(C6="Commercial",SUMIFS(BASE_OBJECTIFS!$E:$E,BASE_OBJECTIFS!$C:$C,9,BASE_OBJECTIFS!$A:$A,$M$8,BASE_OBJECTIFS!$B:$B,$M$9),SUMIFS(BASE_OBJECTIFS!$E:$E,BASE_OBJECTIFS!$C:$C,9,BASE_OBJECTIFS!$F:$F,$M$12,BASE_OBJECTIFS!$B:$B,$M$9))+F20</f>
        <v>24917.27865398772</v>
      </c>
      <c r="G21" s="75">
        <f t="shared" si="0"/>
        <v>0.55106069404627867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ht="15" customHeight="1" x14ac:dyDescent="0.25">
      <c r="A22" s="11"/>
      <c r="B22" s="14" t="s">
        <v>65</v>
      </c>
      <c r="C22" s="35">
        <f>E22-E21</f>
        <v>0</v>
      </c>
      <c r="D22" s="35">
        <f>F22-F21</f>
        <v>3078.2235657914389</v>
      </c>
      <c r="E22" s="35">
        <f>SUMIFS(MyR_CMD_Non_Susp!$G:$G,MyR_CMD_Non_Susp!$B:$B,$M$5,MyR_CMD_Non_Susp!$C:$C,10,MyR_CMD_Non_Susp!$E:$E,$M$8,MyR_CMD_Non_Susp!$F:$F,$M$9,MyR_CMD_Non_Susp!$H:$H,$M$14)+E21</f>
        <v>13730.932868810996</v>
      </c>
      <c r="F22" s="35">
        <f>IF(C6="Commercial",SUMIFS(BASE_OBJECTIFS!$E:$E,BASE_OBJECTIFS!$C:$C,10,BASE_OBJECTIFS!$A:$A,$M$8,BASE_OBJECTIFS!$B:$B,$M$9),SUMIFS(BASE_OBJECTIFS!$E:$E,BASE_OBJECTIFS!$C:$C,10,BASE_OBJECTIFS!$F:$F,$M$12,BASE_OBJECTIFS!$B:$B,$M$9))+F21</f>
        <v>27995.502219779159</v>
      </c>
      <c r="G22" s="75">
        <f t="shared" si="0"/>
        <v>0.49046924613161352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ht="15" customHeight="1" x14ac:dyDescent="0.25">
      <c r="A23" s="11"/>
      <c r="B23" s="14" t="s">
        <v>67</v>
      </c>
      <c r="C23" s="35">
        <f>E23-E22</f>
        <v>0</v>
      </c>
      <c r="D23" s="35">
        <f>F23-F22</f>
        <v>2673.6146364025408</v>
      </c>
      <c r="E23" s="35">
        <f>SUMIFS(MyR_CMD_Non_Susp!$G:$G,MyR_CMD_Non_Susp!$B:$B,$M$5,MyR_CMD_Non_Susp!$C:$C,11,MyR_CMD_Non_Susp!$E:$E,$M$8,MyR_CMD_Non_Susp!$F:$F,$M$9,MyR_CMD_Non_Susp!$H:$H,$M$14)+E22</f>
        <v>13730.932868810996</v>
      </c>
      <c r="F23" s="35">
        <f>IF(C6="Commercial",SUMIFS(BASE_OBJECTIFS!$E:$E,BASE_OBJECTIFS!$C:$C,11,BASE_OBJECTIFS!$A:$A,$M$8,BASE_OBJECTIFS!$B:$B,$M$9),SUMIFS(BASE_OBJECTIFS!$E:$E,BASE_OBJECTIFS!$C:$C,11,BASE_OBJECTIFS!$F:$F,$M$12,BASE_OBJECTIFS!$B:$B,$M$9))+F22</f>
        <v>30669.116856181699</v>
      </c>
      <c r="G23" s="75">
        <f t="shared" si="0"/>
        <v>0.44771203987386338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15" customHeight="1" x14ac:dyDescent="0.25">
      <c r="A24" s="11"/>
      <c r="B24" s="14" t="s">
        <v>70</v>
      </c>
      <c r="C24" s="35">
        <f>E24-E23</f>
        <v>0</v>
      </c>
      <c r="D24" s="35">
        <f>F24-F23</f>
        <v>2536.3114638889492</v>
      </c>
      <c r="E24" s="35">
        <f>SUMIFS(MyR_CMD_Non_Susp!$G:$G,MyR_CMD_Non_Susp!$B:$B,$M$5,MyR_CMD_Non_Susp!$C:$C,12,MyR_CMD_Non_Susp!$E:$E,$M$8,MyR_CMD_Non_Susp!$F:$F,$M$9,MyR_CMD_Non_Susp!$H:$H,$M$14)+E23</f>
        <v>13730.932868810996</v>
      </c>
      <c r="F24" s="35">
        <f>IF(C6="Commercial",SUMIFS(BASE_OBJECTIFS!$E:$E,BASE_OBJECTIFS!$C:$C,12,BASE_OBJECTIFS!$A:$A,$M$8,BASE_OBJECTIFS!$B:$B,$M$9),SUMIFS(BASE_OBJECTIFS!$E:$E,BASE_OBJECTIFS!$C:$C,12,BASE_OBJECTIFS!$F:$F,$M$12,BASE_OBJECTIFS!$B:$B,$M$9))+F23</f>
        <v>33205.428320070649</v>
      </c>
      <c r="G24" s="75">
        <f t="shared" si="0"/>
        <v>0.41351470417598823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15" customHeight="1" x14ac:dyDescent="0.25">
      <c r="A25" s="11"/>
      <c r="B25" s="11"/>
      <c r="C25" s="11"/>
      <c r="D25" s="11"/>
      <c r="E25" s="11"/>
      <c r="F25" s="11"/>
      <c r="G25" s="11" t="s">
        <v>97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1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ht="1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ht="1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ht="1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ht="1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ht="1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ht="1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</sheetData>
  <mergeCells count="6">
    <mergeCell ref="C4:D4"/>
    <mergeCell ref="C6:D6"/>
    <mergeCell ref="C7:D7"/>
    <mergeCell ref="C5:D5"/>
    <mergeCell ref="C9:D9"/>
    <mergeCell ref="C8:D8"/>
  </mergeCells>
  <conditionalFormatting sqref="B13:B24">
    <cfRule type="cellIs" dxfId="0" priority="2" operator="equal">
      <formula>$C$9</formula>
    </cfRule>
  </conditionalFormatting>
  <dataValidations count="2">
    <dataValidation type="list" sqref="C6" xr:uid="{00000000-0002-0000-0600-000000000000}">
      <formula1>"Commercial,Secteur"</formula1>
      <formula2>0</formula2>
    </dataValidation>
    <dataValidation type="list" sqref="C7" xr:uid="{00000000-0002-0000-0600-000001000000}">
      <formula1>INDIRECT($M$15)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Caché</vt:lpstr>
      <vt:lpstr>PARAMS</vt:lpstr>
      <vt:lpstr>BASE_OBJECTIFS</vt:lpstr>
      <vt:lpstr>Actualiser_ICI</vt:lpstr>
      <vt:lpstr>MyR_CMD_Non_Susp</vt:lpstr>
      <vt:lpstr>Suivi_JOURNALIER</vt:lpstr>
      <vt:lpstr>Suivi_MENSUEL</vt:lpstr>
      <vt:lpstr>ANNEE_N</vt:lpstr>
      <vt:lpstr>ANNEE_N_MOINS_DEUX</vt:lpstr>
      <vt:lpstr>ANNEE_N_MOINS_UN</vt:lpstr>
      <vt:lpstr>Aujourdhui</vt:lpstr>
      <vt:lpstr>Aujourdhuiplus7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FATIH</dc:creator>
  <cp:lastModifiedBy>Mohamed FATIH</cp:lastModifiedBy>
  <cp:revision>2</cp:revision>
  <dcterms:created xsi:type="dcterms:W3CDTF">2026-02-10T13:52:22Z</dcterms:created>
  <dcterms:modified xsi:type="dcterms:W3CDTF">2026-06-02T09:58:31Z</dcterms:modified>
  <dc:language>en-US</dc:language>
</cp:coreProperties>
</file>